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12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CAJICA" sheetId="2" r:id="rId6"/>
    <sheet state="visible" name="CHIA" sheetId="3" r:id="rId7"/>
    <sheet state="visible" name="COGUA" sheetId="4" r:id="rId8"/>
    <sheet state="visible" name="COTA" sheetId="5" r:id="rId9"/>
    <sheet state="visible" name="GACHANCIPA" sheetId="6" r:id="rId10"/>
    <sheet state="visible" name="NEMOCON" sheetId="7" r:id="rId11"/>
    <sheet state="visible" name="SOPO" sheetId="8" r:id="rId12"/>
    <sheet state="visible" name="TABIO" sheetId="9" r:id="rId13"/>
    <sheet state="visible" name="TENJO" sheetId="10" r:id="rId14"/>
    <sheet state="visible" name="TOCANCIPA" sheetId="11" r:id="rId15"/>
    <sheet state="visible" name="ZIPAQUIRA" sheetId="12" r:id="rId16"/>
  </sheets>
  <definedNames>
    <definedName name="Consolidado">CONSOLIDADO!$C$13:$H$27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tc={0e23c6fc-b755-46a5-b879-a1396eaf6155}</author>
    <author>tc={307b5076-29b6-4408-a137-62296e795f47}</author>
    <author>tc={37972d91-cfc7-4ac5-8635-f4c0d9d6fd69}</author>
    <author>tc={4423c2c3-26cc-4460-a53a-d4a5c7fdf08e}</author>
    <author>tc={848f3ed3-ef91-40be-b394-91a828c89bc0}</author>
    <author>tc={854587dc-0d64-4b6c-95ef-a03feca98ae3}</author>
    <author>tc={a2893139-0c01-4162-8163-892b26eaf615}</author>
    <author>tc={a832f2a3-6760-4dac-9f8c-f0ea6b6de4cc}</author>
    <author>tc={ce3ddf49-d147-4399-856a-a21149307c59}</author>
    <author>tc={df1afa2b-9af8-4609-a91d-617c6f6a6d4c}</author>
  </authors>
  <commentList>
    <comment authorId="0" xr:uid="{0e23c6fc-b755-46a5-b879-a1396eaf6155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1" xr:uid="{307b5076-29b6-4408-a137-62296e795f47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2" xr:uid="{37972d91-cfc7-4ac5-8635-f4c0d9d6fd69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3" xr:uid="{4423c2c3-26cc-4460-a53a-d4a5c7fdf08e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4" xr:uid="{848f3ed3-ef91-40be-b394-91a828c89bc0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5" xr:uid="{854587dc-0d64-4b6c-95ef-a03feca98ae3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6" xr:uid="{a2893139-0c01-4162-8163-892b26eaf615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7" xr:uid="{a832f2a3-6760-4dac-9f8c-f0ea6b6de4cc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8" xr:uid="{ce3ddf49-d147-4399-856a-a21149307c59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9" xr:uid="{df1afa2b-9af8-4609-a91d-617c6f6a6d4c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tc={07310501-c3f1-4491-a234-34f562d1b647}</author>
    <author>tc={1e40af0b-4835-4c6a-8036-5f176b9b6fba}</author>
    <author>tc={58094b93-94ea-442d-bc83-596f53e3afc5}</author>
    <author>tc={60bb3c88-1422-468c-8815-e22fdbbf4a72}</author>
    <author>tc={6e779f41-dcdf-486d-9d01-af2dd4000d8c}</author>
    <author>tc={71d68e9a-ef32-43c6-9d28-99b1edf26393}</author>
    <author>tc={7d10c5d8-cdf8-40e8-8b44-959bbc1876d7}</author>
    <author>tc={8842094a-fb41-4766-97fb-67b6f1af806d}</author>
    <author>tc={930ed869-e8e7-49d9-8410-cda57c514f48}</author>
    <author>tc={a3865464-6954-4955-9728-7c453bdc561c}</author>
  </authors>
  <commentList>
    <comment authorId="0" xr:uid="{07310501-c3f1-4491-a234-34f562d1b647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1" xr:uid="{1e40af0b-4835-4c6a-8036-5f176b9b6fba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2" xr:uid="{58094b93-94ea-442d-bc83-596f53e3afc5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3" xr:uid="{60bb3c88-1422-468c-8815-e22fdbbf4a72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4" xr:uid="{6e779f41-dcdf-486d-9d01-af2dd4000d8c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5" xr:uid="{71d68e9a-ef32-43c6-9d28-99b1edf26393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6" xr:uid="{7d10c5d8-cdf8-40e8-8b44-959bbc1876d7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7" xr:uid="{8842094a-fb41-4766-97fb-67b6f1af806d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8" xr:uid="{930ed869-e8e7-49d9-8410-cda57c514f48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9" xr:uid="{a3865464-6954-4955-9728-7c453bdc561c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tc={00368bce-6196-40a7-b359-ae6d07d12682}</author>
    <author>tc={12390241-03a3-49ba-9bae-0cbd3b2d92d0}</author>
    <author>tc={18e2007b-1065-4a44-92be-6ceeb931edca}</author>
    <author>tc={2cd82e48-51d6-44a6-b883-edd13a0dce21}</author>
    <author>tc={3f777728-103f-474c-b26f-13425ef879b2}</author>
    <author>tc={40535a78-70e9-45e1-b0bd-273fb7d41281}</author>
    <author>tc={51bd4a88-4018-4d3e-bc84-9c34e07b94c1}</author>
    <author>tc={63e13aad-439f-40a1-bf18-792ed2dcaa70}</author>
    <author>tc={b564e120-cfbb-4017-a21d-7525c1d3ecad}</author>
    <author>tc={e15ceeb3-ba03-4ff6-a919-ed424daabcbd}</author>
  </authors>
  <commentList>
    <comment authorId="0" xr:uid="{00368bce-6196-40a7-b359-ae6d07d12682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1" xr:uid="{12390241-03a3-49ba-9bae-0cbd3b2d92d0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2" xr:uid="{18e2007b-1065-4a44-92be-6ceeb931edca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3" xr:uid="{2cd82e48-51d6-44a6-b883-edd13a0dce21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4" xr:uid="{3f777728-103f-474c-b26f-13425ef879b2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5" xr:uid="{40535a78-70e9-45e1-b0bd-273fb7d41281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6" xr:uid="{51bd4a88-4018-4d3e-bc84-9c34e07b94c1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7" xr:uid="{63e13aad-439f-40a1-bf18-792ed2dcaa70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8" xr:uid="{b564e120-cfbb-4017-a21d-7525c1d3ecad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9" xr:uid="{e15ceeb3-ba03-4ff6-a919-ed424daabcbd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tc={56f1eef1-9b5d-4e03-99f1-095bc1faa24e}</author>
    <author>tc={5e6bcd59-4e6d-477d-b597-3bd8ca03d9b4}</author>
    <author>tc={6a04a277-d445-47f9-93d0-a6d1d8824b43}</author>
    <author>tc={6a30128b-96ec-414e-a9bf-b44aee2cb4ef}</author>
    <author>tc={74230e93-7bec-407d-9f05-d7eba81fdceb}</author>
    <author>tc={98ec1a71-ec66-4af9-867f-1ef68ca26f0c}</author>
    <author>tc={cce772be-0419-43e7-859e-e0578a307bd3}</author>
    <author>tc={d0192592-2451-4d8f-933c-25c91021bb4b}</author>
    <author>tc={e7d0fa5b-be2c-4df1-89e4-93a4b12a7bcb}</author>
    <author>tc={fc24e13a-0b96-4e64-aaee-b04c4c95ef4c}</author>
  </authors>
  <commentList>
    <comment authorId="0" xr:uid="{56f1eef1-9b5d-4e03-99f1-095bc1faa24e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1" xr:uid="{5e6bcd59-4e6d-477d-b597-3bd8ca03d9b4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2" xr:uid="{6a04a277-d445-47f9-93d0-a6d1d8824b43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3" xr:uid="{6a30128b-96ec-414e-a9bf-b44aee2cb4ef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4" xr:uid="{74230e93-7bec-407d-9f05-d7eba81fdceb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5" xr:uid="{98ec1a71-ec66-4af9-867f-1ef68ca26f0c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6" xr:uid="{cce772be-0419-43e7-859e-e0578a307bd3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7" xr:uid="{d0192592-2451-4d8f-933c-25c91021bb4b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8" xr:uid="{e7d0fa5b-be2c-4df1-89e4-93a4b12a7bcb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9" xr:uid="{fc24e13a-0b96-4e64-aaee-b04c4c95ef4c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tc={5f4cd96e-5b71-4485-82a7-3c1ef87b1bfb}</author>
    <author>tc={707f6e87-ff62-49a3-84a2-71e601c72d27}</author>
    <author>tc={9881ee83-dd3e-42ca-a22f-287790641c2a}</author>
    <author>tc={a0a14975-c180-452a-8e91-c6e0ddf8c44d}</author>
    <author>tc={bdefe52b-9eae-4faa-ae1e-5450af9e50f4}</author>
    <author>tc={c5674992-13ae-466d-9032-f40fff2fd3bf}</author>
    <author>tc={cc668a98-8634-44ed-9c67-b50e92fed575}</author>
    <author>tc={cd7ad8c3-cca0-43f9-9712-faf73dacda83}</author>
    <author>tc={cdab3c67-81ac-4f6f-91f8-5bf337744120}</author>
    <author>tc={f284eeff-0f7e-44fd-aafb-274371e5e094}</author>
  </authors>
  <commentList>
    <comment authorId="0" xr:uid="{5f4cd96e-5b71-4485-82a7-3c1ef87b1bfb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1" xr:uid="{707f6e87-ff62-49a3-84a2-71e601c72d27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2" xr:uid="{9881ee83-dd3e-42ca-a22f-287790641c2a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3" xr:uid="{a0a14975-c180-452a-8e91-c6e0ddf8c44d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4" xr:uid="{bdefe52b-9eae-4faa-ae1e-5450af9e50f4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5" xr:uid="{c5674992-13ae-466d-9032-f40fff2fd3bf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6" xr:uid="{cc668a98-8634-44ed-9c67-b50e92fed575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7" xr:uid="{cd7ad8c3-cca0-43f9-9712-faf73dacda83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8" xr:uid="{cdab3c67-81ac-4f6f-91f8-5bf337744120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9" xr:uid="{f284eeff-0f7e-44fd-aafb-274371e5e094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tc={01cde496-60b7-4a41-981d-586d5ef9411c}</author>
    <author>tc={10f8438f-ac40-4a86-be1f-344504f879ca}</author>
    <author>tc={243a3b7e-ba7d-4060-a690-17d53b3a97bd}</author>
    <author>tc={5d9c7bff-135e-4774-97f9-e1e98c3dd49f}</author>
    <author>tc={94af06bb-6421-4407-aba3-44644a6546eb}</author>
    <author>tc={bdc2970b-2c47-42a5-8079-e6d99308be49}</author>
    <author>tc={c0fdd29e-84a6-41c9-8f1a-36d51fb6f7f6}</author>
    <author>tc={c4045e75-33d6-461a-b14c-cc0447412c06}</author>
    <author>tc={df073e5f-5680-4e3d-bdf9-6ebbffd887a2}</author>
    <author>tc={ede9ed5b-f8c7-4e3b-a7db-b48784cbe335}</author>
  </authors>
  <commentList>
    <comment authorId="0" xr:uid="{01cde496-60b7-4a41-981d-586d5ef9411c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1" xr:uid="{10f8438f-ac40-4a86-be1f-344504f879ca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2" xr:uid="{243a3b7e-ba7d-4060-a690-17d53b3a97bd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3" xr:uid="{5d9c7bff-135e-4774-97f9-e1e98c3dd49f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4" xr:uid="{94af06bb-6421-4407-aba3-44644a6546eb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5" xr:uid="{bdc2970b-2c47-42a5-8079-e6d99308be49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6" xr:uid="{c0fdd29e-84a6-41c9-8f1a-36d51fb6f7f6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7" xr:uid="{c4045e75-33d6-461a-b14c-cc0447412c06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8" xr:uid="{df073e5f-5680-4e3d-bdf9-6ebbffd887a2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9" xr:uid="{ede9ed5b-f8c7-4e3b-a7db-b48784cbe335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tc={11bb3b51-e41a-4e54-ae38-295bb50f8230}</author>
    <author>tc={1ea33ab2-3731-4fb0-9c7b-ee1b9859fe70}</author>
    <author>tc={2b6458ed-d545-4e8b-8e96-75b2aa3e6eb2}</author>
    <author>tc={38fc5521-e313-4722-af67-0347dd957fc3}</author>
    <author>tc={3dc37d4f-007a-485f-9cd2-a23b5ce162ca}</author>
    <author>tc={4ef551a1-9a9a-448d-bde2-34fe4ac3d2fe}</author>
    <author>tc={72813998-4d02-4ec2-b5f0-a2b9ad815f9b}</author>
    <author>tc={ac55000c-55a9-48bc-8d3e-7ce06497eff6}</author>
    <author>tc={d13d911d-33f1-4269-b8e6-7ab6ca06c6b6}</author>
    <author>tc={f9953fe8-096e-4eb8-98e9-f2a22a3f5cc2}</author>
  </authors>
  <commentList>
    <comment authorId="0" xr:uid="{11bb3b51-e41a-4e54-ae38-295bb50f8230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1" xr:uid="{1ea33ab2-3731-4fb0-9c7b-ee1b9859fe70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2" xr:uid="{2b6458ed-d545-4e8b-8e96-75b2aa3e6eb2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3" xr:uid="{38fc5521-e313-4722-af67-0347dd957fc3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4" xr:uid="{3dc37d4f-007a-485f-9cd2-a23b5ce162ca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5" xr:uid="{4ef551a1-9a9a-448d-bde2-34fe4ac3d2fe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6" xr:uid="{72813998-4d02-4ec2-b5f0-a2b9ad815f9b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7" xr:uid="{ac55000c-55a9-48bc-8d3e-7ce06497eff6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8" xr:uid="{d13d911d-33f1-4269-b8e6-7ab6ca06c6b6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9" xr:uid="{f9953fe8-096e-4eb8-98e9-f2a22a3f5cc2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tc={03c78b49-fac0-4caa-bd01-41e7ee07ce67}</author>
    <author>tc={1678ba84-9c04-46fc-a7d1-d1ef92efeaba}</author>
    <author>tc={240361f0-8be9-4aaa-9ece-5a863f6898cf}</author>
    <author>tc={30243988-08b4-4567-bc1e-af1067d08268}</author>
    <author>tc={30ce7be1-465a-42b6-ba24-72c7958017c4}</author>
    <author>tc={6a0faa55-11d2-4e49-9468-66b30944f09f}</author>
    <author>tc={962ffbdc-501a-40ca-b7e3-aa75d4f60d42}</author>
    <author>tc={b73e8a51-a6ba-4f59-a7ed-e51d3cbb9647}</author>
    <author>tc={f296f74e-b1dd-4d49-a2fe-c8efcb26681b}</author>
    <author>tc={fb75bc58-e6b3-4091-b0c5-d3e001956f88}</author>
  </authors>
  <commentList>
    <comment authorId="0" xr:uid="{03c78b49-fac0-4caa-bd01-41e7ee07ce67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1" xr:uid="{1678ba84-9c04-46fc-a7d1-d1ef92efeaba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2" xr:uid="{240361f0-8be9-4aaa-9ece-5a863f6898cf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3" xr:uid="{30243988-08b4-4567-bc1e-af1067d08268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4" xr:uid="{30ce7be1-465a-42b6-ba24-72c7958017c4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5" xr:uid="{6a0faa55-11d2-4e49-9468-66b30944f09f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6" xr:uid="{962ffbdc-501a-40ca-b7e3-aa75d4f60d42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7" xr:uid="{b73e8a51-a6ba-4f59-a7ed-e51d3cbb9647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8" xr:uid="{f296f74e-b1dd-4d49-a2fe-c8efcb26681b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9" xr:uid="{fb75bc58-e6b3-4091-b0c5-d3e001956f88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tc={2cfa440d-b574-494e-b823-ae6076f5af24}</author>
    <author>tc={2fdc81ad-1aee-4b8c-a20d-9d67cd1eae82}</author>
    <author>tc={41a82345-9b7e-4779-bb45-17e8c4168dba}</author>
    <author>tc={6c2d5486-7ab2-402e-a330-5a3ac2c46e20}</author>
    <author>tc={74d86b5c-ede4-43e8-8642-ffd3274e5372}</author>
    <author>tc={74e74b41-72b1-4a41-9c02-ffe1cdaae084}</author>
    <author>tc={98fd78fc-78f1-4014-a81d-185853208bb6}</author>
    <author>tc={c238a4b2-e8dd-4c11-ab2b-b70afb2bb7e6}</author>
    <author>tc={f8126600-7cba-472e-ac84-73705f0d68e2}</author>
    <author>tc={fd7653f2-a5d9-4073-bd2b-d8699e8f8a3f}</author>
  </authors>
  <commentList>
    <comment authorId="0" xr:uid="{2cfa440d-b574-494e-b823-ae6076f5af24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1" xr:uid="{2fdc81ad-1aee-4b8c-a20d-9d67cd1eae82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2" xr:uid="{41a82345-9b7e-4779-bb45-17e8c4168dba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3" xr:uid="{6c2d5486-7ab2-402e-a330-5a3ac2c46e20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4" xr:uid="{74d86b5c-ede4-43e8-8642-ffd3274e5372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5" xr:uid="{74e74b41-72b1-4a41-9c02-ffe1cdaae084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6" xr:uid="{98fd78fc-78f1-4014-a81d-185853208bb6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7" xr:uid="{c238a4b2-e8dd-4c11-ab2b-b70afb2bb7e6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8" xr:uid="{f8126600-7cba-472e-ac84-73705f0d68e2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9" xr:uid="{fd7653f2-a5d9-4073-bd2b-d8699e8f8a3f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tc={1bc1c31d-ad6a-41e1-8408-9f3b6cf93ef2}</author>
    <author>tc={3aa1e58d-daa5-4d59-b709-e044a8dceb33}</author>
    <author>tc={63c9ebb3-8da1-455f-a5f2-5926b3a4f3dd}</author>
    <author>tc={698c4dbb-c1b5-476c-be1c-2e5a8df8c3a5}</author>
    <author>tc={69b06057-933c-4c06-8170-18d3ce7efc0e}</author>
    <author>tc={7268a6f4-fc5b-4aa0-b342-de867b8af772}</author>
    <author>tc={adaec741-83c3-4292-a02b-975d29ca2f6d}</author>
    <author>tc={cb680a17-5569-43ee-b646-abc600521f80}</author>
    <author>tc={d5345303-fdf4-4fa6-ac38-7c6712e5e903}</author>
    <author>tc={ead2afe9-dd3d-442e-a449-3a621ee746df}</author>
  </authors>
  <commentList>
    <comment authorId="0" xr:uid="{1bc1c31d-ad6a-41e1-8408-9f3b6cf93ef2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1" xr:uid="{3aa1e58d-daa5-4d59-b709-e044a8dceb33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2" xr:uid="{63c9ebb3-8da1-455f-a5f2-5926b3a4f3dd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3" xr:uid="{698c4dbb-c1b5-476c-be1c-2e5a8df8c3a5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4" xr:uid="{69b06057-933c-4c06-8170-18d3ce7efc0e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5" xr:uid="{7268a6f4-fc5b-4aa0-b342-de867b8af772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6" xr:uid="{adaec741-83c3-4292-a02b-975d29ca2f6d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7" xr:uid="{cb680a17-5569-43ee-b646-abc600521f80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8" xr:uid="{d5345303-fdf4-4fa6-ac38-7c6712e5e903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9" xr:uid="{ead2afe9-dd3d-442e-a449-3a621ee746df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tc={1b9ea860-fc5d-402b-91a0-06beebf3a179}</author>
    <author>tc={56dba7f3-8d5b-40b8-8d42-6ac0dc4eb6c3}</author>
    <author>tc={84aba97b-2ed3-46bc-a5c0-9c09a101aa6d}</author>
    <author>tc={9d9aa939-0063-4c3f-863a-aa9ad871048a}</author>
    <author>tc={c9be1ab5-bf6d-491c-9348-9d61a59e7b73}</author>
    <author>tc={d2de83dd-b507-4b30-9522-e1c39f3ab0c8}</author>
    <author>tc={d948da48-2ce4-4cb0-8122-4ed94f701102}</author>
    <author>tc={e2ab833e-c3ab-4bc2-873e-2101cfe9419c}</author>
    <author>tc={ee5848f8-2f91-44a0-b713-3b746d2bdd86}</author>
    <author>tc={f9d3e670-43d4-488e-ac24-5ee3451e0554}</author>
  </authors>
  <commentList>
    <comment authorId="0" xr:uid="{1b9ea860-fc5d-402b-91a0-06beebf3a179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1" xr:uid="{56dba7f3-8d5b-40b8-8d42-6ac0dc4eb6c3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2" xr:uid="{84aba97b-2ed3-46bc-a5c0-9c09a101aa6d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3" xr:uid="{9d9aa939-0063-4c3f-863a-aa9ad871048a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4" xr:uid="{c9be1ab5-bf6d-491c-9348-9d61a59e7b73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5" xr:uid="{d2de83dd-b507-4b30-9522-e1c39f3ab0c8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6" xr:uid="{d948da48-2ce4-4cb0-8122-4ed94f701102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7" xr:uid="{e2ab833e-c3ab-4bc2-873e-2101cfe9419c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8" xr:uid="{ee5848f8-2f91-44a0-b713-3b746d2bdd86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  <comment authorId="9" xr:uid="{f9d3e670-43d4-488e-ac24-5ee3451e0554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tc={05978d34-8b57-4946-bf23-04a49daec24d}</author>
    <author>tc={0cd25099-5115-4b17-b1e9-54ef57d36822}</author>
    <author>tc={12ca8bc3-e968-4b3b-8e2f-8d473dc429ac}</author>
    <author>tc={489286cd-10eb-4c66-8683-7bcb4637d404}</author>
    <author>tc={5a6f014a-06c4-43fe-b16f-baa54c31555b}</author>
    <author>tc={957d2ace-a29e-44e7-bb7a-a4219893a456}</author>
    <author>tc={d5962db1-e248-4706-9801-4e972785018c}</author>
    <author>tc={ef192a12-0134-4e06-85c7-726edf02b6b5}</author>
    <author>tc={ef2dff27-19de-4437-a70e-c618262a43d2}</author>
    <author>tc={ff0e7853-e8e1-4688-b441-c61134e8a0aa}</author>
  </authors>
  <commentList>
    <comment authorId="0" xr:uid="{05978d34-8b57-4946-bf23-04a49daec24d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mujeres 134 y 25, masculino de 46 años
</t>
      </text>
    </comment>
    <comment authorId="1" xr:uid="{0cd25099-5115-4b17-b1e9-54ef57d36822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 menore de 1 año
46 de 0 a 5 años
</t>
      </text>
    </comment>
    <comment authorId="2" xr:uid="{12ca8bc3-e968-4b3b-8e2f-8d473dc429ac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 MIGRANTES
</t>
      </text>
    </comment>
    <comment authorId="3" xr:uid="{489286cd-10eb-4c66-8683-7bcb4637d404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446 hombres 444 mujeres
</t>
      </text>
    </comment>
    <comment authorId="4" xr:uid="{5a6f014a-06c4-43fe-b16f-baa54c31555b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MENOR DE 5 AÑOS
</t>
      </text>
    </comment>
    <comment authorId="5" xr:uid="{957d2ace-a29e-44e7-bb7a-a4219893a456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ACCIDENTE TRANSITO EN MENOR DE 5 A 14 AÑOS
</t>
      </text>
    </comment>
    <comment authorId="6" xr:uid="{d5962db1-e248-4706-9801-4e972785018c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menores de 1 años
94 de 0 hasta 5 años
</t>
      </text>
    </comment>
    <comment authorId="7" xr:uid="{ef192a12-0134-4e06-85c7-726edf02b6b5}" ref="L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EXCLUYEN NEOPLASIAS
</t>
      </text>
    </comment>
    <comment authorId="8" xr:uid="{ef2dff27-19de-4437-a70e-c618262a43d2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 notificados
</t>
      </text>
    </comment>
    <comment authorId="9" xr:uid="{ff0e7853-e8e1-4688-b441-c61134e8a0aa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macculinos 27 y 15
</t>
      </text>
    </comment>
  </commentList>
</comments>
</file>

<file path=xl/sharedStrings.xml><?xml version="1.0" encoding="utf-8"?>
<sst xmlns="http://schemas.openxmlformats.org/spreadsheetml/2006/main" count="2490" uniqueCount="248">
  <si>
    <t>MATRIZ DE PRIORIZACIÓN DE NECESIDADES EN SALUD PUBLICA</t>
  </si>
  <si>
    <t>MATRIZ DE INDICADRORES SALUD PÚBLICA</t>
  </si>
  <si>
    <t>MATRIZ DE INDICADORES SALUD PÚBLICA</t>
  </si>
  <si>
    <t>Fuente de datos: ASIS municipal, oficina de epidemiología o vigilancia en salud publica de cada municipio.</t>
  </si>
  <si>
    <t>RECOMENDACIONES.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</si>
  <si>
    <t>INDICADOR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</si>
  <si>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</si>
  <si>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</si>
  <si>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CASOS 2020</t>
  </si>
  <si>
    <t>VALOR DEL INDICADOR 2020 CORTE 31/12/2020</t>
  </si>
  <si>
    <t>CASOS 2021</t>
  </si>
  <si>
    <t xml:space="preserve">VALOR DEL INDICADOR 2021 corte 31/12/2021 mortalidad </t>
  </si>
  <si>
    <t>CASOS 2022</t>
  </si>
  <si>
    <t xml:space="preserve">VALOR DEL INDICADOR 2022 </t>
  </si>
  <si>
    <t>CASOS 2023</t>
  </si>
  <si>
    <t>VALOR DEL INDICADOR 2023  31-12-2023</t>
  </si>
  <si>
    <t>CASOS 2024</t>
  </si>
  <si>
    <t>VALOR DEL INDICADOR 2024 preliminar  31-12-2024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</si>
  <si>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</si>
  <si>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CASOS 2025</t>
  </si>
  <si>
    <t>VALOR DEL INDICADOR 2024 preliminar  24-06-2025</t>
  </si>
  <si>
    <t>VALOR  PROMEDIO INDICADOR CUATRENIO ANTERIOR</t>
  </si>
  <si>
    <t>VALOR  PROMEDIO CASOS CUATRENIO ANTERIOR</t>
  </si>
  <si>
    <t>VALOR  PROMEDIO INDICADOR PERIODO 2024-2025</t>
  </si>
  <si>
    <t>VALOR  PROMEDIO CASOS PERIODO ACTUAL 2024-2025</t>
  </si>
  <si>
    <t>FUENTE</t>
  </si>
  <si>
    <t>TASA DE MORTALIDAD</t>
  </si>
  <si>
    <t>VALOR DEL INDICADOR 2025 preliminar  24-06-2025</t>
  </si>
  <si>
    <t>DANE</t>
  </si>
  <si>
    <t>TASA DE NATALIDAD</t>
  </si>
  <si>
    <t xml:space="preserve">RUAF </t>
  </si>
  <si>
    <t>Columna1</t>
  </si>
  <si>
    <t>AÑO 2020</t>
  </si>
  <si>
    <t>AÑO 2021</t>
  </si>
  <si>
    <t>AÑO 2022</t>
  </si>
  <si>
    <t>AÑO 2023</t>
  </si>
  <si>
    <t>AÑO 2024</t>
  </si>
  <si>
    <t>AÑO 2025</t>
  </si>
  <si>
    <t>RAZON DE MORTALIDAD MATERNA</t>
  </si>
  <si>
    <t>DANE - RUAF</t>
  </si>
  <si>
    <t>RAZON DE MORTALIDAD FETAL</t>
  </si>
  <si>
    <t>POBLACION TOTAL</t>
  </si>
  <si>
    <t>RAZON DE MORTALIDAD PERINATAL</t>
  </si>
  <si>
    <t>DANE - SIVIGILA</t>
  </si>
  <si>
    <t>POBLACION TOTAL CABECERA</t>
  </si>
  <si>
    <t>TASA DE MORTALIDAD POR DESNUTRICION &lt; 5 AÑOS</t>
  </si>
  <si>
    <t>RANGO EDAD</t>
  </si>
  <si>
    <t>POBLACION TOTAL RURAL DISPERSA</t>
  </si>
  <si>
    <t>TASA DE MORTALIDAD BRUTA POR CAUSA EXTERNA</t>
  </si>
  <si>
    <t>26,87</t>
  </si>
  <si>
    <t>POBLACION MASCULINA</t>
  </si>
  <si>
    <t>TASA DE MORTALIDAD POR IRA &lt; 5 AÑOS</t>
  </si>
  <si>
    <t>POBLACION FEMENINA</t>
  </si>
  <si>
    <t>TASA DE MORTALIDAD POR EDA &lt; 5 AÑOS</t>
  </si>
  <si>
    <t>NACIMIENTOS</t>
  </si>
  <si>
    <t>TASA BRUTA DE VIOLENCIA INTRAFAMILIAR</t>
  </si>
  <si>
    <t>12,43</t>
  </si>
  <si>
    <t>SIVIGILA</t>
  </si>
  <si>
    <t>DEFUNCIONES</t>
  </si>
  <si>
    <t>TASA DE VIOLENCIA DE GENERO FEMENINA</t>
  </si>
  <si>
    <t>POBLACION MENOR 1 AÑO</t>
  </si>
  <si>
    <t>TASA DE MORTALIDAD INFANTIL</t>
  </si>
  <si>
    <t>POBLACION MENOR 5 AÑOS</t>
  </si>
  <si>
    <t>TASA DE MORTALIDAD INFANTIL &lt; 5 AÑOS</t>
  </si>
  <si>
    <t>POBLACION MAYOR 15 AÑOS</t>
  </si>
  <si>
    <t>PROPORCION DE BAJO PESO AL NACER</t>
  </si>
  <si>
    <t>POBLACION MENOR 19 AÑOS</t>
  </si>
  <si>
    <t>PROPORCION DE BAJO PESO AL NACER A TERMINO</t>
  </si>
  <si>
    <t>POBLACION MENOR 65 AÑOS</t>
  </si>
  <si>
    <t>TASA DE DESNUTRICION AGUDA &lt; 5 AÑOS</t>
  </si>
  <si>
    <t>POBLACION 20 A 65</t>
  </si>
  <si>
    <t>PROPORCION DE EMBARAZO EN ADOLESCENTE</t>
  </si>
  <si>
    <t>RUAF</t>
  </si>
  <si>
    <t>POBLACION MUJERES 10 A 14</t>
  </si>
  <si>
    <t>TASA DE FECUNDIDAD 10 A 14 AÑOS</t>
  </si>
  <si>
    <t>POBLACION MUJERES 15 A 19</t>
  </si>
  <si>
    <t>TASA DE FECUNDIDAD 15 A 19 AÑOS</t>
  </si>
  <si>
    <t>POBLACION MUJERES EN EDAD FERTIL</t>
  </si>
  <si>
    <t>TASA DE MORTALIDAD POR ACCIDENTE DE TRANSITO</t>
  </si>
  <si>
    <t>POBLACION 0 A 5 AÑOS</t>
  </si>
  <si>
    <t>TASA DE MORTALIDAD POR SUICIDIO</t>
  </si>
  <si>
    <t>POBLACION 6 A 11 AÑOS</t>
  </si>
  <si>
    <t>TASA DE MORTALIDAD POR HOMICIDIO</t>
  </si>
  <si>
    <t>POBLACION 12 A 17 AÑOS</t>
  </si>
  <si>
    <t>TASA DE INTENCION SUICIDA</t>
  </si>
  <si>
    <t>POBLACION 18 A 28 AÑOS</t>
  </si>
  <si>
    <t>TASA DE MORTALIDAD PREMATURA (&lt;65 AÑOS)</t>
  </si>
  <si>
    <t>POBLACION ADULTO MAYOR</t>
  </si>
  <si>
    <t>TASA DE MORTALIDAD POR CANCER DE CUELLO UTERINO</t>
  </si>
  <si>
    <t>TASA DE MORTALIDAD POR CANCER DE MAMA</t>
  </si>
  <si>
    <t>TASA DE MORTALIDAD POR CANCER DE PROSTATA</t>
  </si>
  <si>
    <t>MOMENTO CURSO DE VIDA</t>
  </si>
  <si>
    <t>TASA DE MORTALIDAD POR ENFERMEDADES TRASMISIBLES</t>
  </si>
  <si>
    <t xml:space="preserve">POBLACION PRIMERA INFANCIA </t>
  </si>
  <si>
    <t>TASA DE MORTALIDAD POR VIH</t>
  </si>
  <si>
    <t xml:space="preserve">POBLACIÓN INFANCIA </t>
  </si>
  <si>
    <t xml:space="preserve">PORCENTAJE DE PREVALENCIA VIH </t>
  </si>
  <si>
    <t>4,01</t>
  </si>
  <si>
    <t>4,24</t>
  </si>
  <si>
    <t>POBLACION ADOLESCENCIA</t>
  </si>
  <si>
    <t>TASA DE MORBILIDAD POR IRA</t>
  </si>
  <si>
    <t>POBLACIÓN JUVENTUD</t>
  </si>
  <si>
    <t>TASA DE MORBILIDAD POR EDA</t>
  </si>
  <si>
    <t>POBLACIÓN ADULTEZ</t>
  </si>
  <si>
    <t>RAZON DE MORBILIDAD MATERNA EXTREMA</t>
  </si>
  <si>
    <t>POBLACIÓN VEJEZ</t>
  </si>
  <si>
    <t>TASA DE SIFILIS GESTACIONAL</t>
  </si>
  <si>
    <t>TASA DE SIFILIS CONGENITA</t>
  </si>
  <si>
    <t>TASA DE ENFERMEDAD TRASMITIDA POR ALIMENTOS</t>
  </si>
  <si>
    <t>TASA DE VIOLENCIA INTRAFAMILIAR Y DE GENERO INFANTIL NNAJ (0 a 19 años)</t>
  </si>
  <si>
    <t>TASA DE VIOLENCIA SEXUAL</t>
  </si>
  <si>
    <t>TASA DE APAPTVR</t>
  </si>
  <si>
    <t>TASA DE VARICELA</t>
  </si>
  <si>
    <t>TASA DE VIOLENCIA DE PAREJA</t>
  </si>
  <si>
    <t>MORTALIDAD CARDIOCIRCULATORIA</t>
  </si>
  <si>
    <t>COBERTURA DE ATENCION INSTITUCIONAL DEL PARTO POR MEDICO</t>
  </si>
  <si>
    <t>DANE RUAF</t>
  </si>
  <si>
    <t>ATENCION DE PARTO CON 4 O MAS CONTROLES</t>
  </si>
  <si>
    <t>TASA DE ENFERMEDADES HUERFANAS</t>
  </si>
  <si>
    <t>TASA DE MORTALIDAD ENFERMEDAD HIPERTENSIVA</t>
  </si>
  <si>
    <t xml:space="preserve">TASA DE MORTALIDAD POR DIABETES </t>
  </si>
  <si>
    <t>INCIDENCIA DE LA HEPATITIS B</t>
  </si>
  <si>
    <t>TASA DE INCIDENCIA DE MALARIA</t>
  </si>
  <si>
    <t>TASA DE INCIDENCIA DE TUBERCULOSIS</t>
  </si>
  <si>
    <t>TASA DE MORTALIDAD POR CANCER INFANTIL</t>
  </si>
  <si>
    <t>TASA DE MORTALIDAD PREMATURA POR DIABETES</t>
  </si>
  <si>
    <t>TASA DE MORTALIDAD PREMATURA POR CANCER</t>
  </si>
  <si>
    <t>TASA DE LETALIDAD POR DENGUE</t>
  </si>
  <si>
    <t>PORCENTAJE DE TRASMISION MATERNO INFANTIL DE HEPATITIS B</t>
  </si>
  <si>
    <t>TASA DE MORTALIDAD POR CANCER</t>
  </si>
  <si>
    <t>TASA DE MORTALIDAD POR TUBERCULOSIS</t>
  </si>
  <si>
    <t>TASA DE INCIDENCIA DE CANCER INFANTIL (MENOR DE 19 AÑOS)</t>
  </si>
  <si>
    <t>TASA DE EDA HASTA 5 AÑOS</t>
  </si>
  <si>
    <t>TASA DE IRA HASTA 5 AÑOS</t>
  </si>
  <si>
    <t>TASA DE VIOLENCIA DE PAREJA EN POBLACION A Y J</t>
  </si>
  <si>
    <t>TASA DE MORTALIDAD POR CAUSA EXTERNA EN NNAJ</t>
  </si>
  <si>
    <t>DANE - EEVV</t>
  </si>
  <si>
    <t>TASA DE INTENCION SUICIDA EN NNAJ</t>
  </si>
  <si>
    <t>TASA DE VIOLENCIA SEXUAL EN NNAJ</t>
  </si>
  <si>
    <t>TASA DE ENFERMEDADS HUERFANAS EN NNAJ</t>
  </si>
  <si>
    <t>TASA DE INCIDENCIA DE CANCER DE MAMA</t>
  </si>
  <si>
    <t>TASA DE INCIDENCIA DE CANCER DE CERVIX</t>
  </si>
  <si>
    <t>TASA DE MORTALIDAD POR CANCER DE ESTOMAGO</t>
  </si>
  <si>
    <t>0,00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</si>
  <si>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</si>
  <si>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</si>
  <si>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</si>
  <si>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sd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</si>
  <si>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</si>
  <si>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</si>
  <si>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0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</si>
  <si>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</si>
  <si>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23716</t>
  </si>
  <si>
    <t>24394</t>
  </si>
  <si>
    <t>25180</t>
  </si>
  <si>
    <t>26012</t>
  </si>
  <si>
    <t>26834</t>
  </si>
  <si>
    <t>27644</t>
  </si>
  <si>
    <t>10165</t>
  </si>
  <si>
    <t>10950</t>
  </si>
  <si>
    <t>11698</t>
  </si>
  <si>
    <t>12444</t>
  </si>
  <si>
    <t>13124</t>
  </si>
  <si>
    <t>13754</t>
  </si>
  <si>
    <t>13551</t>
  </si>
  <si>
    <t>13444</t>
  </si>
  <si>
    <t>13482</t>
  </si>
  <si>
    <t>13568</t>
  </si>
  <si>
    <t>13710</t>
  </si>
  <si>
    <t>13890</t>
  </si>
  <si>
    <t>11646</t>
  </si>
  <si>
    <t>11977</t>
  </si>
  <si>
    <t>12365</t>
  </si>
  <si>
    <t>12774</t>
  </si>
  <si>
    <t>13157</t>
  </si>
  <si>
    <t>13558</t>
  </si>
  <si>
    <t>12070</t>
  </si>
  <si>
    <t>12417</t>
  </si>
  <si>
    <t>12815</t>
  </si>
  <si>
    <t>13384</t>
  </si>
  <si>
    <t>13677</t>
  </si>
  <si>
    <t>14086</t>
  </si>
  <si>
    <t>244</t>
  </si>
  <si>
    <t>238</t>
  </si>
  <si>
    <t>257</t>
  </si>
  <si>
    <t>246</t>
  </si>
  <si>
    <t>241</t>
  </si>
  <si>
    <t>130</t>
  </si>
  <si>
    <t>93</t>
  </si>
  <si>
    <t>162</t>
  </si>
  <si>
    <t>119</t>
  </si>
  <si>
    <t>102</t>
  </si>
  <si>
    <t>105</t>
  </si>
  <si>
    <t>54</t>
  </si>
  <si>
    <t>674</t>
  </si>
  <si>
    <t>684</t>
  </si>
  <si>
    <t>696</t>
  </si>
  <si>
    <t>704</t>
  </si>
  <si>
    <t>5710</t>
  </si>
  <si>
    <t>5730</t>
  </si>
  <si>
    <t>5810</t>
  </si>
  <si>
    <t>5836</t>
  </si>
  <si>
    <t>19855</t>
  </si>
  <si>
    <t>20570</t>
  </si>
  <si>
    <t>21289</t>
  </si>
  <si>
    <t>22003</t>
  </si>
  <si>
    <t>7245</t>
  </si>
  <si>
    <t>7376</t>
  </si>
  <si>
    <t>7501</t>
  </si>
  <si>
    <t>7617</t>
  </si>
  <si>
    <t>23223</t>
  </si>
  <si>
    <t>23950</t>
  </si>
  <si>
    <t>24656</t>
  </si>
  <si>
    <t>25329</t>
  </si>
  <si>
    <t>15978</t>
  </si>
  <si>
    <t>16574</t>
  </si>
  <si>
    <t>17155</t>
  </si>
  <si>
    <t>17712</t>
  </si>
  <si>
    <t>872</t>
  </si>
  <si>
    <t>894</t>
  </si>
  <si>
    <t>917</t>
  </si>
  <si>
    <t>942</t>
  </si>
  <si>
    <t>957</t>
  </si>
  <si>
    <t>964</t>
  </si>
  <si>
    <t>975</t>
  </si>
  <si>
    <t>985</t>
  </si>
  <si>
    <t>8791</t>
  </si>
  <si>
    <t>9065</t>
  </si>
  <si>
    <t>9350</t>
  </si>
  <si>
    <t>9607</t>
  </si>
  <si>
    <t>2115</t>
  </si>
  <si>
    <t>2186</t>
  </si>
  <si>
    <t>2250</t>
  </si>
  <si>
    <t>2310</t>
  </si>
  <si>
    <t>2205</t>
  </si>
  <si>
    <t>2243</t>
  </si>
  <si>
    <t>2282</t>
  </si>
  <si>
    <t>2325</t>
  </si>
  <si>
    <t>4701</t>
  </si>
  <si>
    <t>4771</t>
  </si>
  <si>
    <t>4824</t>
  </si>
  <si>
    <t>4859</t>
  </si>
  <si>
    <t>3198</t>
  </si>
  <si>
    <t>3361</t>
  </si>
  <si>
    <t>3544</t>
  </si>
  <si>
    <t>3746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</si>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</sst>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32">
    <font>
      <sz val="11.0"/>
      <color theme="1"/>
      <name val="Calibri"/>
      <scheme val="minor"/>
    </font>
    <font>
      <sz val="11.0"/>
      <color theme="1"/>
      <name val="Calibri"/>
    </font>
    <font>
      <sz val="20.0"/>
      <color theme="1"/>
      <name val="Calibri"/>
    </font>
    <font/>
    <font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9.0"/>
      <color theme="1"/>
      <name val="Calibri"/>
    </font>
    <font>
      <sz val="9.0"/>
      <color theme="1"/>
      <name val="Arial Narrow"/>
    </font>
    <font>
      <b/>
      <sz val="11.0"/>
      <color theme="1"/>
      <name val="Calibri"/>
    </font>
    <font>
      <sz val="9.0"/>
      <color rgb="FF000000"/>
      <name val="Calibri"/>
    </font>
    <font>
      <sz val="9.0"/>
      <color theme="1"/>
      <name val="Quattrocento Sans"/>
    </font>
    <font>
      <sz val="12.0"/>
      <color theme="1"/>
      <name val="Calibri"/>
    </font>
    <font>
      <b/>
      <sz val="10.0"/>
      <color theme="1"/>
      <name val="Calibri"/>
    </font>
    <font>
      <sz val="10.0"/>
      <color theme="1"/>
      <name val="Arial Narrow"/>
    </font>
    <font>
      <sz val="10.0"/>
      <color rgb="FF000000"/>
      <name val="Arial Narrow"/>
    </font>
    <font>
      <b/>
      <sz val="9.0"/>
      <color rgb="FF000000"/>
      <name val="Calibri"/>
    </font>
    <font>
      <b/>
      <sz val="10.0"/>
      <color theme="1"/>
      <name val="Arial"/>
    </font>
    <font>
      <b/>
      <sz val="8.0"/>
      <color theme="1"/>
      <name val="Arial"/>
    </font>
    <font>
      <color theme="1"/>
      <name val="Calibri"/>
      <scheme val="minor"/>
    </font>
    <font>
      <sz val="11.0"/>
      <color rgb="FF000000"/>
      <name val="Calibri"/>
    </font>
    <font>
      <sz val="9.0"/>
      <color rgb="FF000000"/>
      <name val="&quot;Arial Narrow&quot;"/>
    </font>
    <font>
      <sz val="9.0"/>
      <color rgb="FF000000"/>
      <name val="&quot;Quattrocento Sans&quot;"/>
    </font>
    <font>
      <b/>
      <sz val="11.0"/>
      <color rgb="FF000000"/>
      <name val="Calibri"/>
    </font>
    <font>
      <sz val="10.0"/>
      <color theme="1"/>
      <name val="Calibri"/>
    </font>
    <font>
      <color rgb="FF000000"/>
      <name val="Calibri"/>
      <scheme val="minor"/>
    </font>
    <font>
      <sz val="9.0"/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</font>
    <font>
      <b/>
      <sz val="11.0"/>
      <color theme="1"/>
      <name val="Arial Narrow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shrinkToFit="0" vertical="top" wrapText="1"/>
    </xf>
    <xf borderId="0" fillId="2" fontId="4" numFmtId="0" xfId="0" applyAlignment="1" applyFill="1" applyFont="1">
      <alignment readingOrder="0" shrinkToFit="0" vertical="top" wrapText="1"/>
    </xf>
    <xf borderId="0" fillId="0" fontId="1" numFmtId="0" xfId="0" applyAlignment="1" applyFont="1">
      <alignment horizontal="center" shrinkToFit="0" wrapText="1"/>
    </xf>
    <xf borderId="5" fillId="0" fontId="5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6" numFmtId="1" xfId="0" applyAlignment="1" applyBorder="1" applyFont="1" applyNumberFormat="1">
      <alignment horizontal="center" shrinkToFit="0" vertical="center" wrapText="1"/>
    </xf>
    <xf borderId="9" fillId="3" fontId="7" numFmtId="1" xfId="0" applyAlignment="1" applyBorder="1" applyFill="1" applyFont="1" applyNumberFormat="1">
      <alignment horizontal="center" readingOrder="0"/>
    </xf>
    <xf borderId="9" fillId="0" fontId="6" numFmtId="2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3" fontId="7" numFmtId="0" xfId="0" applyAlignment="1" applyBorder="1" applyFill="1" applyFont="1">
      <alignment horizontal="center" readingOrder="0"/>
    </xf>
    <xf borderId="10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9" fillId="4" fontId="7" numFmtId="1" xfId="0" applyAlignment="1" applyBorder="1" applyFill="1" applyFont="1" applyNumberFormat="1">
      <alignment horizontal="center" readingOrder="0"/>
    </xf>
    <xf borderId="9" fillId="4" fontId="7" numFmtId="0" xfId="0" applyAlignment="1" applyBorder="1" applyFill="1" applyFont="1">
      <alignment horizontal="center" readingOrder="0"/>
    </xf>
    <xf borderId="11" fillId="0" fontId="4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wrapText="1"/>
    </xf>
    <xf borderId="13" fillId="0" fontId="8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wrapText="1"/>
    </xf>
    <xf borderId="8" fillId="0" fontId="8" numFmtId="0" xfId="0" applyAlignment="1" applyBorder="1" applyFont="1">
      <alignment horizontal="center" shrinkToFit="0" vertical="center" wrapText="1"/>
    </xf>
    <xf borderId="9" fillId="0" fontId="9" numFmtId="3" xfId="0" applyAlignment="1" applyBorder="1" applyFont="1" applyNumberFormat="1">
      <alignment horizontal="center" shrinkToFit="0" wrapText="1"/>
    </xf>
    <xf borderId="9" fillId="0" fontId="4" numFmtId="3" xfId="0" applyAlignment="1" applyBorder="1" applyFont="1" applyNumberFormat="1">
      <alignment horizontal="center" shrinkToFit="0" wrapText="1"/>
    </xf>
    <xf borderId="10" fillId="0" fontId="4" numFmtId="3" xfId="0" applyAlignment="1" applyBorder="1" applyFont="1" applyNumberFormat="1">
      <alignment horizontal="center" shrinkToFit="0" wrapText="1"/>
    </xf>
    <xf borderId="9" fillId="5" fontId="6" numFmtId="2" xfId="0" applyAlignment="1" applyBorder="1" applyFill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/>
    </xf>
    <xf borderId="9" fillId="6" fontId="11" numFmtId="3" xfId="0" applyAlignment="1" applyBorder="1" applyFill="1" applyFont="1" applyNumberFormat="1">
      <alignment horizontal="center" readingOrder="0" vertical="bottom"/>
    </xf>
    <xf borderId="9" fillId="4" fontId="11" numFmtId="3" xfId="0" applyAlignment="1" applyBorder="1" applyFill="1" applyFont="1" applyNumberFormat="1">
      <alignment horizontal="center" readingOrder="0" vertical="bottom"/>
    </xf>
    <xf borderId="10" fillId="4" fontId="11" numFmtId="3" xfId="0" applyAlignment="1" applyBorder="1" applyFill="1" applyFont="1" applyNumberFormat="1">
      <alignment horizontal="center" readingOrder="0" vertical="bottom"/>
    </xf>
    <xf borderId="9" fillId="3" fontId="11" numFmtId="3" xfId="0" applyAlignment="1" applyBorder="1" applyFill="1" applyFont="1" applyNumberFormat="1">
      <alignment horizontal="center" readingOrder="0" vertical="bottom"/>
    </xf>
    <xf borderId="9" fillId="0" fontId="12" numFmtId="3" xfId="0" applyAlignment="1" applyBorder="1" applyFont="1" applyNumberFormat="1">
      <alignment horizontal="center" shrinkToFit="0" wrapText="1"/>
    </xf>
    <xf borderId="10" fillId="3" fontId="11" numFmtId="3" xfId="0" applyAlignment="1" applyBorder="1" applyFill="1" applyFont="1" applyNumberFormat="1">
      <alignment horizontal="center" readingOrder="0" vertical="bottom"/>
    </xf>
    <xf borderId="8" fillId="0" fontId="1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8" fillId="0" fontId="14" numFmtId="0" xfId="0" applyAlignment="1" applyBorder="1" applyFont="1">
      <alignment horizontal="center" shrinkToFit="0" vertical="center" wrapText="1"/>
    </xf>
    <xf borderId="9" fillId="0" fontId="15" numFmtId="3" xfId="0" applyAlignment="1" applyBorder="1" applyFont="1" applyNumberFormat="1">
      <alignment horizontal="center"/>
    </xf>
    <xf borderId="0" fillId="0" fontId="13" numFmtId="0" xfId="0" applyAlignment="1" applyFont="1">
      <alignment horizontal="center"/>
    </xf>
    <xf borderId="14" fillId="5" fontId="5" numFmtId="0" xfId="0" applyAlignment="1" applyBorder="1" applyFill="1" applyFont="1">
      <alignment horizontal="center" shrinkToFit="0" vertical="center" wrapText="1"/>
    </xf>
    <xf borderId="9" fillId="4" fontId="7" numFmtId="1" xfId="0" applyAlignment="1" applyBorder="1" applyFill="1" applyFont="1" applyNumberFormat="1">
      <alignment horizontal="center"/>
    </xf>
    <xf borderId="9" fillId="0" fontId="6" numFmtId="1" xfId="0" applyAlignment="1" applyBorder="1" applyFont="1" applyNumberFormat="1">
      <alignment horizontal="center" shrinkToFit="0" wrapText="1"/>
    </xf>
    <xf borderId="9" fillId="0" fontId="6" numFmtId="2" xfId="0" applyAlignment="1" applyBorder="1" applyFont="1" applyNumberFormat="1">
      <alignment horizontal="center" shrinkToFit="0" wrapText="1"/>
    </xf>
    <xf borderId="9" fillId="4" fontId="7" numFmtId="1" xfId="0" applyAlignment="1" applyBorder="1" applyFill="1" applyFont="1" applyNumberFormat="1">
      <alignment horizontal="center" readingOrder="0" vertical="bottom"/>
    </xf>
    <xf borderId="9" fillId="4" fontId="7" numFmtId="1" xfId="0" applyAlignment="1" applyBorder="1" applyFill="1" applyFont="1" applyNumberFormat="1">
      <alignment horizontal="center" vertical="bottom"/>
    </xf>
    <xf borderId="0" fillId="0" fontId="15" numFmtId="3" xfId="0" applyAlignment="1" applyFont="1" applyNumberFormat="1">
      <alignment horizontal="center"/>
    </xf>
    <xf borderId="9" fillId="0" fontId="4" numFmtId="1" xfId="0" applyAlignment="1" applyBorder="1" applyFont="1" applyNumberFormat="1">
      <alignment horizontal="center" shrinkToFit="0" wrapText="1"/>
    </xf>
    <xf borderId="15" fillId="0" fontId="8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3" xfId="0" applyAlignment="1" applyBorder="1" applyFont="1" applyNumberFormat="1">
      <alignment horizontal="center" shrinkToFit="0" wrapText="1"/>
    </xf>
    <xf borderId="17" fillId="0" fontId="4" numFmtId="3" xfId="0" applyAlignment="1" applyBorder="1" applyFont="1" applyNumberFormat="1">
      <alignment horizontal="center" shrinkToFit="0" wrapText="1"/>
    </xf>
    <xf borderId="0" fillId="0" fontId="12" numFmtId="3" xfId="0" applyFont="1" applyNumberFormat="1"/>
    <xf borderId="9" fillId="3" fontId="7" numFmtId="1" xfId="0" applyAlignment="1" applyBorder="1" applyFill="1" applyFont="1" applyNumberFormat="1">
      <alignment horizontal="center" readingOrder="0" vertical="bottom"/>
    </xf>
    <xf borderId="9" fillId="3" fontId="7" numFmtId="1" xfId="0" applyAlignment="1" applyBorder="1" applyFill="1" applyFont="1" applyNumberFormat="1">
      <alignment horizontal="center" vertical="bottom"/>
    </xf>
    <xf borderId="9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/>
    </xf>
    <xf borderId="9" fillId="0" fontId="5" numFmtId="0" xfId="0" applyAlignment="1" applyBorder="1" applyFont="1">
      <alignment horizontal="center" vertical="center"/>
    </xf>
    <xf borderId="9" fillId="0" fontId="6" numFmtId="164" xfId="0" applyAlignment="1" applyBorder="1" applyFont="1" applyNumberFormat="1">
      <alignment horizontal="center" shrinkToFit="0" wrapText="1"/>
    </xf>
    <xf borderId="16" fillId="4" fontId="11" numFmtId="3" xfId="0" applyAlignment="1" applyBorder="1" applyFill="1" applyFont="1" applyNumberFormat="1">
      <alignment horizontal="center" readingOrder="0" vertical="bottom"/>
    </xf>
    <xf borderId="9" fillId="0" fontId="6" numFmtId="164" xfId="0" applyAlignment="1" applyBorder="1" applyFont="1" applyNumberFormat="1">
      <alignment horizontal="center" shrinkToFit="0" vertical="center" wrapText="1"/>
    </xf>
    <xf borderId="17" fillId="4" fontId="11" numFmtId="3" xfId="0" applyAlignment="1" applyBorder="1" applyFill="1" applyFont="1" applyNumberForma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9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3" fontId="11" numFmtId="0" xfId="0" applyAlignment="1" applyBorder="1" applyFill="1" applyFont="1">
      <alignment horizontal="center" readingOrder="0" vertical="bottom"/>
    </xf>
    <xf borderId="9" fillId="4" fontId="11" numFmtId="0" xfId="0" applyAlignment="1" applyBorder="1" applyFill="1" applyFont="1">
      <alignment horizontal="center" readingOrder="0" vertical="bottom"/>
    </xf>
    <xf borderId="9" fillId="0" fontId="6" numFmtId="0" xfId="0" applyAlignment="1" applyBorder="1" applyFont="1">
      <alignment horizontal="center" shrinkToFit="0" wrapText="1"/>
    </xf>
    <xf borderId="9" fillId="3" fontId="17" numFmtId="0" xfId="0" applyAlignment="1" applyBorder="1" applyFill="1" applyFont="1">
      <alignment horizontal="center" readingOrder="0" shrinkToFit="0" vertical="bottom" wrapText="0"/>
    </xf>
    <xf borderId="0" fillId="0" fontId="14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/>
    </xf>
    <xf borderId="16" fillId="4" fontId="11" numFmtId="0" xfId="0" applyAlignment="1" applyBorder="1" applyFill="1" applyFont="1">
      <alignment horizontal="center" readingOrder="0" vertical="bottom"/>
    </xf>
    <xf borderId="17" fillId="4" fontId="11" numFmtId="0" xfId="0" applyAlignment="1" applyBorder="1" applyFill="1" applyFont="1">
      <alignment horizontal="center" readingOrder="0" vertical="bottom"/>
    </xf>
    <xf borderId="10" fillId="0" fontId="6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shrinkToFit="0" vertical="center" wrapText="1"/>
    </xf>
    <xf borderId="9" fillId="4" fontId="7" numFmtId="0" xfId="0" applyAlignment="1" applyBorder="1" applyFill="1" applyFont="1">
      <alignment horizontal="center" readingOrder="0" vertical="bottom"/>
    </xf>
    <xf borderId="15" fillId="0" fontId="5" numFmtId="0" xfId="0" applyAlignment="1" applyBorder="1" applyFont="1">
      <alignment horizontal="center" shrinkToFit="0" vertical="center" wrapText="1"/>
    </xf>
    <xf borderId="9" fillId="3" fontId="7" numFmtId="0" xfId="0" applyAlignment="1" applyBorder="1" applyFill="1" applyFont="1">
      <alignment horizontal="center" readingOrder="0" vertical="bottom"/>
    </xf>
    <xf borderId="16" fillId="0" fontId="6" numFmtId="1" xfId="0" applyAlignment="1" applyBorder="1" applyFont="1" applyNumberFormat="1">
      <alignment horizontal="center" shrinkToFit="0" wrapText="1"/>
    </xf>
    <xf borderId="16" fillId="0" fontId="6" numFmtId="2" xfId="0" applyAlignment="1" applyBorder="1" applyFont="1" applyNumberFormat="1">
      <alignment horizontal="center" shrinkToFit="0" wrapText="1"/>
    </xf>
    <xf borderId="16" fillId="0" fontId="6" numFmtId="2" xfId="0" applyAlignment="1" applyBorder="1" applyFont="1" applyNumberFormat="1">
      <alignment horizontal="center" shrinkToFit="0" vertical="center" wrapText="1"/>
    </xf>
    <xf borderId="17" fillId="0" fontId="6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9" fillId="3" fontId="7" numFmtId="1" xfId="0" applyAlignment="1" applyBorder="1" applyFill="1" applyFont="1" applyNumberFormat="1">
      <alignment horizontal="center"/>
    </xf>
    <xf borderId="8" fillId="0" fontId="19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wrapText="1"/>
    </xf>
    <xf borderId="17" fillId="0" fontId="6" numFmtId="0" xfId="0" applyAlignment="1" applyBorder="1" applyFont="1">
      <alignment horizontal="center" shrinkToFit="0" vertical="center" wrapText="1"/>
    </xf>
    <xf borderId="16" fillId="3" fontId="7" numFmtId="1" xfId="0" applyAlignment="1" applyBorder="1" applyFill="1" applyFont="1" applyNumberFormat="1">
      <alignment horizontal="center" readingOrder="0" vertical="bottom"/>
    </xf>
    <xf borderId="9" fillId="4" fontId="7" numFmtId="2" xfId="0" applyAlignment="1" applyBorder="1" applyFill="1" applyFont="1" applyNumberFormat="1">
      <alignment horizontal="center" readingOrder="0" vertical="bottom"/>
    </xf>
    <xf borderId="16" fillId="4" fontId="7" numFmtId="0" xfId="0" applyAlignment="1" applyBorder="1" applyFill="1" applyFont="1">
      <alignment horizontal="center" readingOrder="0" vertical="bottom"/>
    </xf>
    <xf borderId="16" fillId="4" fontId="7" numFmtId="1" xfId="0" applyAlignment="1" applyBorder="1" applyFill="1" applyFont="1" applyNumberFormat="1">
      <alignment horizontal="center" vertical="bottom"/>
    </xf>
    <xf borderId="15" fillId="0" fontId="14" numFmtId="0" xfId="0" applyAlignment="1" applyBorder="1" applyFont="1">
      <alignment horizontal="center" shrinkToFit="0" vertical="center" wrapText="1"/>
    </xf>
    <xf borderId="9" fillId="0" fontId="1" numFmtId="3" xfId="0" applyAlignment="1" applyBorder="1" applyFont="1" applyNumberFormat="1">
      <alignment horizontal="center"/>
    </xf>
    <xf borderId="9" fillId="0" fontId="1" numFmtId="1" xfId="0" applyAlignment="1" applyBorder="1" applyFont="1" applyNumberFormat="1">
      <alignment horizontal="center"/>
    </xf>
    <xf borderId="0" fillId="7" fontId="1" numFmtId="0" xfId="0" applyAlignment="1" applyFill="1" applyFont="1">
      <alignment vertical="bottom"/>
    </xf>
    <xf borderId="0" fillId="7" fontId="20" numFmtId="0" xfId="0" applyFill="1" applyFont="1"/>
    <xf borderId="9" fillId="0" fontId="21" numFmtId="1" xfId="0" applyAlignment="1" applyBorder="1" applyFont="1" applyNumberFormat="1">
      <alignment horizontal="center" readingOrder="0" shrinkToFit="0" wrapText="0"/>
    </xf>
    <xf borderId="9" fillId="0" fontId="21" numFmtId="1" xfId="0" applyAlignment="1" applyBorder="1" applyFont="1" applyNumberFormat="1">
      <alignment horizontal="center" readingOrder="0" shrinkToFit="0" vertical="bottom" wrapText="0"/>
    </xf>
    <xf borderId="9" fillId="0" fontId="21" numFmtId="0" xfId="0" applyAlignment="1" applyBorder="1" applyFont="1">
      <alignment horizontal="center" readingOrder="0" shrinkToFit="0" vertical="bottom" wrapText="0"/>
    </xf>
    <xf borderId="9" fillId="0" fontId="6" numFmtId="1" xfId="0" applyAlignment="1" applyBorder="1" applyFont="1" applyNumberFormat="1">
      <alignment horizontal="center" readingOrder="0" shrinkToFit="0" vertical="center" wrapText="1"/>
    </xf>
    <xf borderId="9" fillId="0" fontId="1" numFmtId="3" xfId="0" applyAlignment="1" applyBorder="1" applyFont="1" applyNumberFormat="1">
      <alignment horizontal="center" readingOrder="0" shrinkToFit="0" wrapText="0"/>
    </xf>
    <xf borderId="9" fillId="0" fontId="21" numFmtId="3" xfId="0" applyAlignment="1" applyBorder="1" applyFont="1" applyNumberFormat="1">
      <alignment horizontal="center" readingOrder="0" shrinkToFit="0" wrapText="0"/>
    </xf>
    <xf borderId="9" fillId="0" fontId="21" numFmtId="3" xfId="0" applyAlignment="1" applyBorder="1" applyFont="1" applyNumberFormat="1">
      <alignment horizontal="center" readingOrder="0" shrinkToFit="0" vertical="bottom" wrapText="0"/>
    </xf>
    <xf borderId="9" fillId="7" fontId="21" numFmtId="3" xfId="0" applyAlignment="1" applyBorder="1" applyFill="1" applyFont="1" applyNumberFormat="1">
      <alignment horizontal="center" readingOrder="0" shrinkToFit="0" wrapText="0"/>
    </xf>
    <xf borderId="9" fillId="7" fontId="21" numFmtId="3" xfId="0" applyAlignment="1" applyBorder="1" applyFill="1" applyFont="1" applyNumberFormat="1">
      <alignment horizontal="center" readingOrder="0" shrinkToFit="0" vertical="bottom" wrapText="0"/>
    </xf>
    <xf borderId="9" fillId="0" fontId="6" numFmtId="1" xfId="0" applyAlignment="1" applyBorder="1" applyFont="1" applyNumberFormat="1">
      <alignment horizontal="center" readingOrder="0" shrinkToFit="0" wrapText="1"/>
    </xf>
    <xf borderId="12" fillId="0" fontId="21" numFmtId="1" xfId="0" applyAlignment="1" applyBorder="1" applyFont="1" applyNumberFormat="1">
      <alignment horizontal="center" readingOrder="0" shrinkToFit="0" wrapText="0"/>
    </xf>
    <xf borderId="9" fillId="0" fontId="10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horizontal="center" shrinkToFit="0" vertical="top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0" fontId="1" numFmtId="2" xfId="0" applyAlignment="1" applyFont="1" applyNumberFormat="1">
      <alignment horizontal="center" readingOrder="0" shrinkToFit="0" wrapText="1"/>
    </xf>
    <xf borderId="9" fillId="0" fontId="4" numFmtId="3" xfId="0" applyAlignment="1" applyBorder="1" applyFont="1" applyNumberFormat="1">
      <alignment horizontal="center" readingOrder="0" shrinkToFit="0" wrapText="1"/>
    </xf>
    <xf borderId="9" fillId="0" fontId="4" numFmtId="165" xfId="0" applyAlignment="1" applyBorder="1" applyFont="1" applyNumberFormat="1">
      <alignment horizontal="center" readingOrder="0" shrinkToFit="0" wrapText="1"/>
    </xf>
    <xf borderId="9" fillId="0" fontId="4" numFmtId="0" xfId="0" applyAlignment="1" applyBorder="1" applyFont="1">
      <alignment horizontal="center" readingOrder="0" shrinkToFit="0" wrapText="1"/>
    </xf>
    <xf borderId="10" fillId="0" fontId="4" numFmtId="3" xfId="0" applyAlignment="1" applyBorder="1" applyFont="1" applyNumberFormat="1">
      <alignment horizontal="center" readingOrder="0" shrinkToFit="0" wrapText="1"/>
    </xf>
    <xf borderId="15" fillId="0" fontId="5" numFmtId="0" xfId="0" applyAlignment="1" applyBorder="1" applyFont="1">
      <alignment horizontal="center" shrinkToFit="0" vertical="top" wrapText="1"/>
    </xf>
    <xf borderId="9" fillId="2" fontId="12" numFmtId="3" xfId="0" applyAlignment="1" applyBorder="1" applyFill="1" applyFont="1" applyNumberFormat="1">
      <alignment horizontal="center" readingOrder="0" shrinkToFit="0" wrapText="1"/>
    </xf>
    <xf borderId="16" fillId="0" fontId="6" numFmtId="1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shrinkToFit="0" wrapText="1"/>
    </xf>
    <xf borderId="9" fillId="0" fontId="6" numFmtId="2" xfId="0" applyAlignment="1" applyBorder="1" applyFont="1" applyNumberFormat="1">
      <alignment horizontal="center" readingOrder="0" shrinkToFit="0" wrapText="1"/>
    </xf>
    <xf borderId="8" fillId="0" fontId="19" numFmtId="0" xfId="0" applyAlignment="1" applyBorder="1" applyFont="1">
      <alignment horizontal="center" shrinkToFit="0" vertical="top" wrapText="1"/>
    </xf>
    <xf borderId="9" fillId="0" fontId="4" numFmtId="4" xfId="0" applyAlignment="1" applyBorder="1" applyFont="1" applyNumberFormat="1">
      <alignment horizontal="center" readingOrder="0" shrinkToFit="0" wrapText="1"/>
    </xf>
    <xf borderId="10" fillId="0" fontId="4" numFmtId="4" xfId="0" applyAlignment="1" applyBorder="1" applyFont="1" applyNumberFormat="1">
      <alignment horizontal="center" readingOrder="0" shrinkToFit="0" wrapText="1"/>
    </xf>
    <xf borderId="16" fillId="0" fontId="6" numFmtId="0" xfId="0" applyAlignment="1" applyBorder="1" applyFont="1">
      <alignment horizontal="center" readingOrder="0" shrinkToFit="0" wrapText="1"/>
    </xf>
    <xf borderId="9" fillId="0" fontId="4" numFmtId="1" xfId="0" applyAlignment="1" applyBorder="1" applyFont="1" applyNumberFormat="1">
      <alignment horizontal="center" readingOrder="0" shrinkToFit="0" wrapText="1"/>
    </xf>
    <xf borderId="16" fillId="0" fontId="4" numFmtId="0" xfId="0" applyAlignment="1" applyBorder="1" applyFont="1">
      <alignment horizontal="center" readingOrder="0" shrinkToFit="0" wrapText="1"/>
    </xf>
    <xf borderId="16" fillId="0" fontId="4" numFmtId="3" xfId="0" applyAlignment="1" applyBorder="1" applyFont="1" applyNumberFormat="1">
      <alignment horizontal="center" readingOrder="0" shrinkToFit="0" wrapText="1"/>
    </xf>
    <xf borderId="17" fillId="0" fontId="4" numFmtId="3" xfId="0" applyAlignment="1" applyBorder="1" applyFont="1" applyNumberFormat="1">
      <alignment horizontal="center" readingOrder="0" shrinkToFit="0" wrapText="1"/>
    </xf>
    <xf borderId="9" fillId="3" fontId="7" numFmtId="1" xfId="0" applyAlignment="1" applyBorder="1" applyFill="1" applyFont="1" applyNumberFormat="1">
      <alignment horizontal="center" readingOrder="0"/>
    </xf>
    <xf borderId="9" fillId="3" fontId="7" numFmtId="0" xfId="0" applyAlignment="1" applyBorder="1" applyFill="1" applyFont="1">
      <alignment horizontal="center" readingOrder="0"/>
    </xf>
    <xf borderId="9" fillId="4" fontId="7" numFmtId="1" xfId="0" applyAlignment="1" applyBorder="1" applyFill="1" applyFont="1" applyNumberFormat="1">
      <alignment horizontal="center" readingOrder="0"/>
    </xf>
    <xf borderId="9" fillId="4" fontId="7" numFmtId="0" xfId="0" applyAlignment="1" applyBorder="1" applyFill="1" applyFont="1">
      <alignment horizontal="center" readingOrder="0"/>
    </xf>
    <xf borderId="9" fillId="6" fontId="9" numFmtId="3" xfId="0" applyAlignment="1" applyBorder="1" applyFill="1" applyFont="1" applyNumberFormat="1">
      <alignment horizontal="center" readingOrder="0" shrinkToFit="0" wrapText="1"/>
    </xf>
    <xf borderId="9" fillId="4" fontId="22" numFmtId="3" xfId="0" applyAlignment="1" applyBorder="1" applyFill="1" applyFont="1" applyNumberFormat="1">
      <alignment horizontal="center" readingOrder="0" vertical="bottom"/>
    </xf>
    <xf borderId="9" fillId="6" fontId="22" numFmtId="3" xfId="0" applyAlignment="1" applyBorder="1" applyFill="1" applyFont="1" applyNumberFormat="1">
      <alignment horizontal="center" readingOrder="0" vertical="bottom"/>
    </xf>
    <xf borderId="9" fillId="4" fontId="11" numFmtId="3" xfId="0" applyAlignment="1" applyBorder="1" applyFill="1" applyFont="1" applyNumberFormat="1">
      <alignment horizontal="center" readingOrder="0" vertical="bottom"/>
    </xf>
    <xf borderId="9" fillId="3" fontId="11" numFmtId="0" xfId="0" applyAlignment="1" applyBorder="1" applyFill="1" applyFont="1">
      <alignment horizontal="center" readingOrder="0" vertical="bottom"/>
    </xf>
    <xf borderId="9" fillId="3" fontId="11" numFmtId="3" xfId="0" applyAlignment="1" applyBorder="1" applyFill="1" applyFont="1" applyNumberFormat="1">
      <alignment horizontal="center" readingOrder="0" vertical="bottom"/>
    </xf>
    <xf borderId="10" fillId="3" fontId="11" numFmtId="3" xfId="0" applyAlignment="1" applyBorder="1" applyFill="1" applyFont="1" applyNumberFormat="1">
      <alignment horizontal="center" readingOrder="0" vertical="bottom"/>
    </xf>
    <xf borderId="9" fillId="4" fontId="11" numFmtId="0" xfId="0" applyAlignment="1" applyBorder="1" applyFill="1" applyFont="1">
      <alignment horizontal="center" readingOrder="0" vertical="bottom"/>
    </xf>
    <xf borderId="10" fillId="4" fontId="11" numFmtId="3" xfId="0" applyAlignment="1" applyBorder="1" applyFill="1" applyFont="1" applyNumberFormat="1">
      <alignment horizontal="center" readingOrder="0" vertical="bottom"/>
    </xf>
    <xf borderId="9" fillId="7" fontId="23" numFmtId="3" xfId="0" applyAlignment="1" applyBorder="1" applyFill="1" applyFont="1" applyNumberFormat="1">
      <alignment horizontal="center" readingOrder="0" vertical="bottom"/>
    </xf>
    <xf borderId="9" fillId="4" fontId="7" numFmtId="1" xfId="0" applyAlignment="1" applyBorder="1" applyFill="1" applyFont="1" applyNumberFormat="1">
      <alignment horizontal="center" readingOrder="0" vertical="bottom"/>
    </xf>
    <xf borderId="9" fillId="3" fontId="7" numFmtId="1" xfId="0" applyAlignment="1" applyBorder="1" applyFill="1" applyFont="1" applyNumberFormat="1">
      <alignment horizontal="center" readingOrder="0" vertical="bottom"/>
    </xf>
    <xf borderId="9" fillId="3" fontId="7" numFmtId="1" xfId="0" applyAlignment="1" applyBorder="1" applyFill="1" applyFont="1" applyNumberFormat="1">
      <alignment horizontal="center" vertical="bottom"/>
    </xf>
    <xf borderId="9" fillId="3" fontId="11" numFmtId="1" xfId="0" applyAlignment="1" applyBorder="1" applyFill="1" applyFont="1" applyNumberFormat="1">
      <alignment horizontal="center" readingOrder="0" vertical="bottom"/>
    </xf>
    <xf borderId="16" fillId="4" fontId="11" numFmtId="0" xfId="0" applyAlignment="1" applyBorder="1" applyFill="1" applyFont="1">
      <alignment horizontal="center" readingOrder="0" vertical="bottom"/>
    </xf>
    <xf borderId="16" fillId="4" fontId="11" numFmtId="3" xfId="0" applyAlignment="1" applyBorder="1" applyFill="1" applyFont="1" applyNumberFormat="1">
      <alignment horizontal="center" readingOrder="0" vertical="bottom"/>
    </xf>
    <xf borderId="17" fillId="4" fontId="11" numFmtId="3" xfId="0" applyAlignment="1" applyBorder="1" applyFill="1" applyFont="1" applyNumberFormat="1">
      <alignment horizontal="center" readingOrder="0" vertical="bottom"/>
    </xf>
    <xf borderId="9" fillId="4" fontId="7" numFmtId="1" xfId="0" applyAlignment="1" applyBorder="1" applyFill="1" applyFont="1" applyNumberFormat="1">
      <alignment horizontal="center"/>
    </xf>
    <xf borderId="9" fillId="3" fontId="24" numFmtId="0" xfId="0" applyAlignment="1" applyBorder="1" applyFill="1" applyFont="1">
      <alignment horizontal="center" readingOrder="0" shrinkToFit="0" vertical="bottom" wrapText="0"/>
    </xf>
    <xf borderId="10" fillId="3" fontId="11" numFmtId="0" xfId="0" applyAlignment="1" applyBorder="1" applyFill="1" applyFont="1">
      <alignment horizontal="center" readingOrder="0" vertical="bottom"/>
    </xf>
    <xf borderId="10" fillId="4" fontId="11" numFmtId="0" xfId="0" applyAlignment="1" applyBorder="1" applyFill="1" applyFont="1">
      <alignment horizontal="center" readingOrder="0" vertical="bottom"/>
    </xf>
    <xf borderId="17" fillId="4" fontId="11" numFmtId="0" xfId="0" applyAlignment="1" applyBorder="1" applyFill="1" applyFont="1">
      <alignment horizontal="center" readingOrder="0" vertical="bottom"/>
    </xf>
    <xf borderId="9" fillId="4" fontId="7" numFmtId="0" xfId="0" applyAlignment="1" applyBorder="1" applyFill="1" applyFont="1">
      <alignment horizontal="center" readingOrder="0" vertical="bottom"/>
    </xf>
    <xf borderId="9" fillId="3" fontId="7" numFmtId="0" xfId="0" applyAlignment="1" applyBorder="1" applyFill="1" applyFont="1">
      <alignment horizontal="center" readingOrder="0" vertical="bottom"/>
    </xf>
    <xf borderId="9" fillId="3" fontId="7" numFmtId="1" xfId="0" applyAlignment="1" applyBorder="1" applyFill="1" applyFont="1" applyNumberFormat="1">
      <alignment horizontal="center"/>
    </xf>
    <xf borderId="16" fillId="3" fontId="7" numFmtId="1" xfId="0" applyAlignment="1" applyBorder="1" applyFill="1" applyFont="1" applyNumberFormat="1">
      <alignment horizontal="center" readingOrder="0" vertical="bottom"/>
    </xf>
    <xf borderId="9" fillId="4" fontId="7" numFmtId="1" xfId="0" applyAlignment="1" applyBorder="1" applyFill="1" applyFont="1" applyNumberFormat="1">
      <alignment horizontal="center" vertical="bottom"/>
    </xf>
    <xf borderId="9" fillId="4" fontId="7" numFmtId="0" xfId="0" applyAlignment="1" applyBorder="1" applyFill="1" applyFont="1">
      <alignment horizontal="center" vertical="bottom"/>
    </xf>
    <xf borderId="9" fillId="4" fontId="7" numFmtId="0" xfId="0" applyAlignment="1" applyBorder="1" applyFill="1" applyFont="1">
      <alignment horizontal="center" vertical="bottom"/>
    </xf>
    <xf borderId="9" fillId="4" fontId="7" numFmtId="2" xfId="0" applyAlignment="1" applyBorder="1" applyFill="1" applyFont="1" applyNumberFormat="1">
      <alignment horizontal="center" vertical="bottom"/>
    </xf>
    <xf borderId="16" fillId="4" fontId="7" numFmtId="0" xfId="0" applyAlignment="1" applyBorder="1" applyFill="1" applyFont="1">
      <alignment horizontal="center" readingOrder="0" vertical="bottom"/>
    </xf>
    <xf borderId="16" fillId="4" fontId="7" numFmtId="1" xfId="0" applyAlignment="1" applyBorder="1" applyFill="1" applyFont="1" applyNumberFormat="1">
      <alignment horizontal="center" vertical="bottom"/>
    </xf>
    <xf borderId="9" fillId="0" fontId="25" numFmtId="1" xfId="0" applyAlignment="1" applyBorder="1" applyFont="1" applyNumberFormat="1">
      <alignment horizontal="center"/>
    </xf>
    <xf quotePrefix="1" borderId="9" fillId="0" fontId="25" numFmtId="1" xfId="0" applyAlignment="1" applyBorder="1" applyFont="1" applyNumberFormat="1">
      <alignment horizontal="center"/>
    </xf>
    <xf borderId="9" fillId="0" fontId="26" numFmtId="3" xfId="0" applyAlignment="1" applyBorder="1" applyFont="1" applyNumberFormat="1">
      <alignment horizontal="center" readingOrder="0"/>
    </xf>
    <xf borderId="0" fillId="0" fontId="26" numFmtId="3" xfId="0" applyAlignment="1" applyFont="1" applyNumberFormat="1">
      <alignment horizontal="center" readingOrder="0"/>
    </xf>
    <xf borderId="9" fillId="0" fontId="25" numFmtId="1" xfId="0" applyAlignment="1" applyBorder="1" applyFont="1" applyNumberFormat="1">
      <alignment horizontal="center" vertical="bottom"/>
    </xf>
    <xf borderId="9" fillId="6" fontId="9" numFmtId="49" xfId="0" applyAlignment="1" applyBorder="1" applyFill="1" applyFont="1" applyNumberFormat="1">
      <alignment horizontal="center" readingOrder="0" shrinkToFit="0" wrapText="1"/>
    </xf>
    <xf borderId="9" fillId="0" fontId="9" numFmtId="49" xfId="0" applyAlignment="1" applyBorder="1" applyFont="1" applyNumberFormat="1">
      <alignment horizontal="center" readingOrder="0" shrinkToFit="0" wrapText="1"/>
    </xf>
    <xf borderId="9" fillId="0" fontId="4" numFmtId="49" xfId="0" applyAlignment="1" applyBorder="1" applyFont="1" applyNumberFormat="1">
      <alignment horizontal="center" readingOrder="0" shrinkToFit="0" wrapText="1"/>
    </xf>
    <xf borderId="10" fillId="0" fontId="4" numFmtId="49" xfId="0" applyAlignment="1" applyBorder="1" applyFont="1" applyNumberFormat="1">
      <alignment horizontal="center" readingOrder="0" shrinkToFit="0" wrapText="1"/>
    </xf>
    <xf borderId="9" fillId="2" fontId="12" numFmtId="49" xfId="0" applyAlignment="1" applyBorder="1" applyFill="1" applyFont="1" applyNumberFormat="1">
      <alignment horizontal="center" readingOrder="0" shrinkToFit="0" wrapText="1"/>
    </xf>
    <xf borderId="16" fillId="0" fontId="4" numFmtId="49" xfId="0" applyAlignment="1" applyBorder="1" applyFont="1" applyNumberFormat="1">
      <alignment horizontal="center" readingOrder="0" shrinkToFit="0" wrapText="1"/>
    </xf>
    <xf borderId="17" fillId="0" fontId="4" numFmtId="49" xfId="0" applyAlignment="1" applyBorder="1" applyFont="1" applyNumberFormat="1">
      <alignment horizontal="center" readingOrder="0" shrinkToFit="0" wrapText="1"/>
    </xf>
    <xf borderId="9" fillId="0" fontId="10" numFmtId="49" xfId="0" applyAlignment="1" applyBorder="1" applyFont="1" applyNumberFormat="1">
      <alignment horizontal="center" readingOrder="0"/>
    </xf>
    <xf borderId="9" fillId="0" fontId="9" numFmtId="3" xfId="0" applyAlignment="1" applyBorder="1" applyFont="1" applyNumberFormat="1">
      <alignment horizontal="center" readingOrder="0" shrinkToFit="0" wrapText="1"/>
    </xf>
    <xf borderId="0" fillId="0" fontId="27" numFmtId="3" xfId="0" applyAlignment="1" applyFont="1" applyNumberFormat="1">
      <alignment horizontal="center" readingOrder="0"/>
    </xf>
    <xf borderId="0" fillId="0" fontId="27" numFmtId="0" xfId="0" applyAlignment="1" applyFont="1">
      <alignment readingOrder="0"/>
    </xf>
    <xf borderId="0" fillId="0" fontId="28" numFmtId="3" xfId="0" applyAlignment="1" applyFont="1" applyNumberFormat="1">
      <alignment horizontal="center" readingOrder="0"/>
    </xf>
    <xf borderId="8" fillId="0" fontId="8" numFmtId="0" xfId="0" applyAlignment="1" applyBorder="1" applyFont="1">
      <alignment horizontal="center" shrinkToFit="0" vertical="center" wrapText="1"/>
    </xf>
    <xf borderId="9" fillId="3" fontId="4" numFmtId="1" xfId="0" applyAlignment="1" applyBorder="1" applyFill="1" applyFont="1" applyNumberFormat="1">
      <alignment horizontal="center" shrinkToFit="0" wrapText="1"/>
    </xf>
    <xf borderId="9" fillId="3" fontId="4" numFmtId="0" xfId="0" applyAlignment="1" applyBorder="1" applyFill="1" applyFont="1">
      <alignment horizontal="center" shrinkToFit="0" wrapText="1"/>
    </xf>
    <xf borderId="9" fillId="4" fontId="4" numFmtId="1" xfId="0" applyAlignment="1" applyBorder="1" applyFill="1" applyFont="1" applyNumberFormat="1">
      <alignment horizontal="center" shrinkToFit="0" wrapText="1"/>
    </xf>
    <xf borderId="9" fillId="4" fontId="4" numFmtId="0" xfId="0" applyAlignment="1" applyBorder="1" applyFill="1" applyFont="1">
      <alignment horizontal="center" shrinkToFit="0" wrapText="1"/>
    </xf>
    <xf borderId="9" fillId="0" fontId="10" numFmtId="3" xfId="0" applyAlignment="1" applyBorder="1" applyFont="1" applyNumberFormat="1">
      <alignment horizontal="center" readingOrder="0"/>
    </xf>
    <xf borderId="0" fillId="0" fontId="29" numFmtId="3" xfId="0" applyAlignment="1" applyFont="1" applyNumberFormat="1">
      <alignment horizontal="center" readingOrder="0"/>
    </xf>
    <xf borderId="0" fillId="0" fontId="8" numFmtId="0" xfId="0" applyAlignment="1" applyFont="1">
      <alignment horizontal="center" shrinkToFit="0" wrapText="1"/>
    </xf>
    <xf borderId="9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9" fillId="4" fontId="30" numFmtId="1" xfId="0" applyAlignment="1" applyBorder="1" applyFill="1" applyFont="1" applyNumberFormat="1">
      <alignment horizontal="center" shrinkToFit="0" vertical="bottom" wrapText="1"/>
    </xf>
    <xf borderId="9" fillId="4" fontId="30" numFmtId="1" xfId="0" applyAlignment="1" applyBorder="1" applyFill="1" applyFont="1" applyNumberFormat="1">
      <alignment horizontal="center" vertical="bottom"/>
    </xf>
    <xf borderId="9" fillId="0" fontId="10" numFmtId="3" xfId="0" applyAlignment="1" applyBorder="1" applyFont="1" applyNumberFormat="1">
      <alignment horizontal="center" readingOrder="0"/>
    </xf>
    <xf borderId="9" fillId="3" fontId="30" numFmtId="1" xfId="0" applyAlignment="1" applyBorder="1" applyFill="1" applyFont="1" applyNumberFormat="1">
      <alignment horizontal="center" vertical="bottom"/>
    </xf>
    <xf borderId="0" fillId="4" fontId="30" numFmtId="1" xfId="0" applyAlignment="1" applyFill="1" applyFont="1" applyNumberFormat="1">
      <alignment horizontal="center" vertical="bottom"/>
    </xf>
    <xf borderId="0" fillId="0" fontId="31" numFmtId="3" xfId="0" applyAlignment="1" applyFont="1" applyNumberFormat="1">
      <alignment horizontal="center" readingOrder="0"/>
    </xf>
    <xf borderId="9" fillId="3" fontId="30" numFmtId="1" xfId="0" applyAlignment="1" applyBorder="1" applyFill="1" applyFont="1" applyNumberFormat="1">
      <alignment horizontal="center" shrinkToFit="0" vertical="bottom" wrapText="1"/>
    </xf>
    <xf borderId="9" fillId="3" fontId="1" numFmtId="1" xfId="0" applyAlignment="1" applyBorder="1" applyFill="1" applyFont="1" applyNumberFormat="1">
      <alignment vertical="bottom"/>
    </xf>
    <xf borderId="9" fillId="4" fontId="1" numFmtId="1" xfId="0" applyAlignment="1" applyBorder="1" applyFill="1" applyFont="1" applyNumberFormat="1">
      <alignment vertical="bottom"/>
    </xf>
    <xf borderId="9" fillId="4" fontId="4" numFmtId="1" xfId="0" applyAlignment="1" applyBorder="1" applyFill="1" applyFont="1" applyNumberFormat="1">
      <alignment horizontal="center" shrinkToFit="0" vertical="bottom" wrapText="1"/>
    </xf>
    <xf borderId="9" fillId="3" fontId="4" numFmtId="1" xfId="0" applyAlignment="1" applyBorder="1" applyFill="1" applyFont="1" applyNumberFormat="1">
      <alignment horizontal="center" shrinkToFit="0" vertical="bottom" wrapText="1"/>
    </xf>
    <xf borderId="9" fillId="0" fontId="6" numFmtId="0" xfId="0" applyAlignment="1" applyBorder="1" applyFont="1">
      <alignment horizontal="center" shrinkToFit="0" wrapText="1"/>
    </xf>
    <xf borderId="9" fillId="4" fontId="4" numFmtId="0" xfId="0" applyAlignment="1" applyBorder="1" applyFill="1" applyFont="1">
      <alignment horizontal="center" shrinkToFit="0" vertical="bottom" wrapText="1"/>
    </xf>
    <xf borderId="9" fillId="3" fontId="4" numFmtId="0" xfId="0" applyAlignment="1" applyBorder="1" applyFill="1" applyFont="1">
      <alignment horizontal="center" shrinkToFit="0" vertical="bottom" wrapText="1"/>
    </xf>
    <xf borderId="9" fillId="3" fontId="6" numFmtId="0" xfId="0" applyAlignment="1" applyBorder="1" applyFill="1" applyFont="1">
      <alignment horizontal="center" shrinkToFit="0" vertical="bottom" wrapText="1"/>
    </xf>
    <xf borderId="9" fillId="3" fontId="6" numFmtId="1" xfId="0" applyAlignment="1" applyBorder="1" applyFill="1" applyFont="1" applyNumberFormat="1">
      <alignment horizontal="center" shrinkToFit="0" vertical="bottom" wrapText="1"/>
    </xf>
    <xf borderId="9" fillId="4" fontId="6" numFmtId="0" xfId="0" applyAlignment="1" applyBorder="1" applyFill="1" applyFont="1">
      <alignment horizontal="center" shrinkToFit="0" vertical="bottom" wrapText="1"/>
    </xf>
    <xf borderId="9" fillId="4" fontId="6" numFmtId="1" xfId="0" applyAlignment="1" applyBorder="1" applyFill="1" applyFont="1" applyNumberFormat="1">
      <alignment horizontal="center" shrinkToFit="0" vertical="bottom" wrapText="1"/>
    </xf>
    <xf borderId="16" fillId="4" fontId="6" numFmtId="0" xfId="0" applyAlignment="1" applyBorder="1" applyFill="1" applyFont="1">
      <alignment horizontal="center" shrinkToFit="0" vertical="bottom" wrapText="1"/>
    </xf>
    <xf borderId="16" fillId="4" fontId="6" numFmtId="1" xfId="0" applyAlignment="1" applyBorder="1" applyFill="1" applyFont="1" applyNumberFormat="1">
      <alignment horizontal="center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36">
    <tableStyle count="3" pivot="0" name="COGUA-style">
      <tableStyleElement dxfId="1" type="headerRow"/>
      <tableStyleElement dxfId="2" type="firstRowStripe"/>
      <tableStyleElement dxfId="3" type="secondRowStripe"/>
    </tableStyle>
    <tableStyle count="3" pivot="0" name="CONSOLIDADO-style">
      <tableStyleElement dxfId="1" type="headerRow"/>
      <tableStyleElement dxfId="2" type="firstRowStripe"/>
      <tableStyleElement dxfId="3" type="secondRowStripe"/>
    </tableStyle>
    <tableStyle count="3" pivot="0" name="CAJICA-style">
      <tableStyleElement dxfId="1" type="headerRow"/>
      <tableStyleElement dxfId="2" type="firstRowStripe"/>
      <tableStyleElement dxfId="3" type="secondRowStripe"/>
    </tableStyle>
    <tableStyle count="3" pivot="0" name="CHIA-style">
      <tableStyleElement dxfId="1" type="headerRow"/>
      <tableStyleElement dxfId="2" type="firstRowStripe"/>
      <tableStyleElement dxfId="3" type="secondRowStripe"/>
    </tableStyle>
    <tableStyle count="3" pivot="0" name="CAJICA-style 2">
      <tableStyleElement dxfId="1" type="headerRow"/>
      <tableStyleElement dxfId="2" type="firstRowStripe"/>
      <tableStyleElement dxfId="3" type="secondRowStripe"/>
    </tableStyle>
    <tableStyle count="3" pivot="0" name="CONSOLIDADO-style 2">
      <tableStyleElement dxfId="1" type="headerRow"/>
      <tableStyleElement dxfId="2" type="firstRowStripe"/>
      <tableStyleElement dxfId="3" type="secondRowStripe"/>
    </tableStyle>
    <tableStyle count="3" pivot="0" name="COGUA-style 2">
      <tableStyleElement dxfId="1" type="headerRow"/>
      <tableStyleElement dxfId="2" type="firstRowStripe"/>
      <tableStyleElement dxfId="3" type="secondRowStripe"/>
    </tableStyle>
    <tableStyle count="3" pivot="0" name="CHIA-style 2">
      <tableStyleElement dxfId="1" type="headerRow"/>
      <tableStyleElement dxfId="2" type="firstRowStripe"/>
      <tableStyleElement dxfId="3" type="secondRowStripe"/>
    </tableStyle>
    <tableStyle count="3" pivot="0" name="CAJICA-style 3">
      <tableStyleElement dxfId="1" type="headerRow"/>
      <tableStyleElement dxfId="2" type="firstRowStripe"/>
      <tableStyleElement dxfId="3" type="secondRowStripe"/>
    </tableStyle>
    <tableStyle count="3" pivot="0" name="CONSOLIDADO-style 3">
      <tableStyleElement dxfId="1" type="headerRow"/>
      <tableStyleElement dxfId="2" type="firstRowStripe"/>
      <tableStyleElement dxfId="3" type="secondRowStripe"/>
    </tableStyle>
    <tableStyle count="3" pivot="0" name="CHIA-style 3">
      <tableStyleElement dxfId="1" type="headerRow"/>
      <tableStyleElement dxfId="2" type="firstRowStripe"/>
      <tableStyleElement dxfId="3" type="secondRowStripe"/>
    </tableStyle>
    <tableStyle count="3" pivot="0" name="COGUA-style 3">
      <tableStyleElement dxfId="1" type="headerRow"/>
      <tableStyleElement dxfId="2" type="firstRowStripe"/>
      <tableStyleElement dxfId="3" type="secondRowStripe"/>
    </tableStyle>
    <tableStyle count="3" pivot="0" name="COTA-style">
      <tableStyleElement dxfId="1" type="headerRow"/>
      <tableStyleElement dxfId="2" type="firstRowStripe"/>
      <tableStyleElement dxfId="3" type="secondRowStripe"/>
    </tableStyle>
    <tableStyle count="3" pivot="0" name="COTA-style 2">
      <tableStyleElement dxfId="1" type="headerRow"/>
      <tableStyleElement dxfId="2" type="firstRowStripe"/>
      <tableStyleElement dxfId="3" type="secondRowStripe"/>
    </tableStyle>
    <tableStyle count="3" pivot="0" name="COTA-style 3">
      <tableStyleElement dxfId="1" type="headerRow"/>
      <tableStyleElement dxfId="2" type="firstRowStripe"/>
      <tableStyleElement dxfId="3" type="secondRowStripe"/>
    </tableStyle>
    <tableStyle count="3" pivot="0" name="GACHANCIPA-style">
      <tableStyleElement dxfId="1" type="headerRow"/>
      <tableStyleElement dxfId="2" type="firstRowStripe"/>
      <tableStyleElement dxfId="3" type="secondRowStripe"/>
    </tableStyle>
    <tableStyle count="3" pivot="0" name="GACHANCIPA-style 2">
      <tableStyleElement dxfId="1" type="headerRow"/>
      <tableStyleElement dxfId="2" type="firstRowStripe"/>
      <tableStyleElement dxfId="3" type="secondRowStripe"/>
    </tableStyle>
    <tableStyle count="3" pivot="0" name="GACHANCIPA-style 3">
      <tableStyleElement dxfId="1" type="headerRow"/>
      <tableStyleElement dxfId="2" type="firstRowStripe"/>
      <tableStyleElement dxfId="3" type="secondRowStripe"/>
    </tableStyle>
    <tableStyle count="3" pivot="0" name="NEMOCON-style">
      <tableStyleElement dxfId="1" type="headerRow"/>
      <tableStyleElement dxfId="2" type="firstRowStripe"/>
      <tableStyleElement dxfId="3" type="secondRowStripe"/>
    </tableStyle>
    <tableStyle count="3" pivot="0" name="NEMOCON-style 2">
      <tableStyleElement dxfId="1" type="headerRow"/>
      <tableStyleElement dxfId="2" type="firstRowStripe"/>
      <tableStyleElement dxfId="3" type="secondRowStripe"/>
    </tableStyle>
    <tableStyle count="3" pivot="0" name="NEMOCON-style 3">
      <tableStyleElement dxfId="1" type="headerRow"/>
      <tableStyleElement dxfId="2" type="firstRowStripe"/>
      <tableStyleElement dxfId="3" type="secondRowStripe"/>
    </tableStyle>
    <tableStyle count="3" pivot="0" name="SOPO-style">
      <tableStyleElement dxfId="1" type="headerRow"/>
      <tableStyleElement dxfId="2" type="firstRowStripe"/>
      <tableStyleElement dxfId="3" type="secondRowStripe"/>
    </tableStyle>
    <tableStyle count="3" pivot="0" name="SOPO-style 2">
      <tableStyleElement dxfId="1" type="headerRow"/>
      <tableStyleElement dxfId="2" type="firstRowStripe"/>
      <tableStyleElement dxfId="3" type="secondRowStripe"/>
    </tableStyle>
    <tableStyle count="3" pivot="0" name="SOPO-style 3">
      <tableStyleElement dxfId="1" type="headerRow"/>
      <tableStyleElement dxfId="2" type="firstRowStripe"/>
      <tableStyleElement dxfId="3" type="secondRowStripe"/>
    </tableStyle>
    <tableStyle count="3" pivot="0" name="TABIO-style">
      <tableStyleElement dxfId="1" type="headerRow"/>
      <tableStyleElement dxfId="2" type="firstRowStripe"/>
      <tableStyleElement dxfId="3" type="secondRowStripe"/>
    </tableStyle>
    <tableStyle count="3" pivot="0" name="TABIO-style 2">
      <tableStyleElement dxfId="1" type="headerRow"/>
      <tableStyleElement dxfId="2" type="firstRowStripe"/>
      <tableStyleElement dxfId="3" type="secondRowStripe"/>
    </tableStyle>
    <tableStyle count="3" pivot="0" name="TABIO-style 3">
      <tableStyleElement dxfId="1" type="headerRow"/>
      <tableStyleElement dxfId="2" type="firstRowStripe"/>
      <tableStyleElement dxfId="3" type="secondRowStripe"/>
    </tableStyle>
    <tableStyle count="3" pivot="0" name="TENJO-style">
      <tableStyleElement dxfId="1" type="headerRow"/>
      <tableStyleElement dxfId="2" type="firstRowStripe"/>
      <tableStyleElement dxfId="3" type="secondRowStripe"/>
    </tableStyle>
    <tableStyle count="3" pivot="0" name="TENJO-style 2">
      <tableStyleElement dxfId="1" type="headerRow"/>
      <tableStyleElement dxfId="2" type="firstRowStripe"/>
      <tableStyleElement dxfId="3" type="secondRowStripe"/>
    </tableStyle>
    <tableStyle count="3" pivot="0" name="TENJO-style 3">
      <tableStyleElement dxfId="1" type="headerRow"/>
      <tableStyleElement dxfId="2" type="firstRowStripe"/>
      <tableStyleElement dxfId="3" type="secondRowStripe"/>
    </tableStyle>
    <tableStyle count="3" pivot="0" name="TOCANCIPA-style">
      <tableStyleElement dxfId="1" type="headerRow"/>
      <tableStyleElement dxfId="2" type="firstRowStripe"/>
      <tableStyleElement dxfId="3" type="secondRowStripe"/>
    </tableStyle>
    <tableStyle count="3" pivot="0" name="TOCANCIPA-style 2">
      <tableStyleElement dxfId="1" type="headerRow"/>
      <tableStyleElement dxfId="2" type="firstRowStripe"/>
      <tableStyleElement dxfId="3" type="secondRowStripe"/>
    </tableStyle>
    <tableStyle count="3" pivot="0" name="TOCANCIPA-style 3">
      <tableStyleElement dxfId="1" type="headerRow"/>
      <tableStyleElement dxfId="2" type="firstRowStripe"/>
      <tableStyleElement dxfId="3" type="secondRowStripe"/>
    </tableStyle>
    <tableStyle count="3" pivot="0" name="ZIPAQUIRA-style">
      <tableStyleElement dxfId="1" type="headerRow"/>
      <tableStyleElement dxfId="2" type="firstRowStripe"/>
      <tableStyleElement dxfId="3" type="secondRowStripe"/>
    </tableStyle>
    <tableStyle count="3" pivot="0" name="ZIPAQUIRA-style 2">
      <tableStyleElement dxfId="1" type="headerRow"/>
      <tableStyleElement dxfId="2" type="firstRowStripe"/>
      <tableStyleElement dxfId="3" type="secondRowStripe"/>
    </tableStyle>
    <tableStyle count="3" pivot="0" name="ZIPAQUIRA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ARLOS CASTRO" id="{883f7c13-bd3f-4edd-af8d-f5fbce069528}" providerId="google-sheets"/>
  <x18tc:person displayName="Usuario de Windows" id="{22a0e18c-e4a4-4eb8-8149-e9be0344155a}" providerId="google-sheets"/>
</x18tc:personList>
</file>

<file path=xl/tables/table1.xml><?xml version="1.0" encoding="utf-8"?>
<table xmlns="http://schemas.openxmlformats.org/spreadsheetml/2006/main" ref="L2:AC70" displayName="Table_1" name="Table_1" id="3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4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ONSOLIDADO-style" showColumnStripes="0" showFirstColumn="1" showLastColumn="1" showRowStripes="1"/>
</table>
</file>

<file path=xl/tables/table2.xml><?xml version="1.0" encoding="utf-8"?>
<table xmlns="http://schemas.openxmlformats.org/spreadsheetml/2006/main" ref="B5:H27" displayName="Table_6" name="Table_6" id="6">
  <tableColumns count="7">
    <tableColumn name="RANGO EDAD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NSOLIDADO-style 2" showColumnStripes="0" showFirstColumn="1" showLastColumn="1" showRowStripes="1"/>
</table>
</file>

<file path=xl/tables/table3.xml><?xml version="1.0" encoding="utf-8"?>
<table xmlns="http://schemas.openxmlformats.org/spreadsheetml/2006/main" ref="B30:H36" displayName="Table_11" name="Table_11" id="11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NSOLIDADO-style 3" showColumnStripes="0" showFirstColumn="1" showLastColumn="1" showRowStripes="1"/>
</table>
</file>

<file path=xl/tables/table4.xml><?xml version="1.0" encoding="utf-8"?>
<table xmlns="http://schemas.openxmlformats.org/spreadsheetml/2006/main" headerRowCount="0" ref="L2:AD70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AJIC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B5:H27" displayName="Table_5" name="Table_5" id="5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AJICA-style 2" showColumnStripes="0" showFirstColumn="1" showLastColumn="1" showRowStripes="1"/>
</table>
</file>

<file path=xl/tables/table6.xml><?xml version="1.0" encoding="utf-8"?>
<table xmlns="http://schemas.openxmlformats.org/spreadsheetml/2006/main" ref="B30:H36" displayName="Table_9" name="Table_9" id="9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AJICA-style 3" showColumnStripes="0" showFirstColumn="1" showLastColumn="1" showRowStripes="1"/>
</table>
</file>

<file path=xl/tables/table7.xml><?xml version="1.0" encoding="utf-8"?>
<table xmlns="http://schemas.openxmlformats.org/spreadsheetml/2006/main" ref="L2:AC70" displayName="Table_2" name="Table_2" id="1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HIA-style" showColumnStripes="0" showFirstColumn="1" showLastColumn="1" showRowStripes="1"/>
</table>
</file>

<file path=xl/tables/table8.xml><?xml version="1.0" encoding="utf-8"?>
<table xmlns="http://schemas.openxmlformats.org/spreadsheetml/2006/main" ref="B5:H27" displayName="Table_8" name="Table_8" id="8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HIA-style 2" showColumnStripes="0" showFirstColumn="1" showLastColumn="1" showRowStripes="1"/>
</table>
</file>

<file path=xl/tables/table9.xml><?xml version="1.0" encoding="utf-8"?>
<table xmlns="http://schemas.openxmlformats.org/spreadsheetml/2006/main" ref="B30:H36" displayName="Table_12" name="Table_12" id="12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HIA-style 3" showColumnStripes="0" showFirstColumn="1" showLastColumn="1" showRowStripes="1"/>
</table>
</file>

<file path=xl/tables/table10.xml><?xml version="1.0" encoding="utf-8"?>
<table xmlns="http://schemas.openxmlformats.org/spreadsheetml/2006/main" ref="L2:AC70" displayName="Table_3" name="Table_3" id="2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OGUA-style" showColumnStripes="0" showFirstColumn="1" showLastColumn="1" showRowStripes="1"/>
</table>
</file>

<file path=xl/tables/table11.xml><?xml version="1.0" encoding="utf-8"?>
<table xmlns="http://schemas.openxmlformats.org/spreadsheetml/2006/main" ref="B5:H27" displayName="Table_7" name="Table_7" id="7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GUA-style 2" showColumnStripes="0" showFirstColumn="1" showLastColumn="1" showRowStripes="1"/>
</table>
</file>

<file path=xl/tables/table12.xml><?xml version="1.0" encoding="utf-8"?>
<table xmlns="http://schemas.openxmlformats.org/spreadsheetml/2006/main" ref="B30:H36" displayName="Table_10" name="Table_10" id="10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GUA-style 3" showColumnStripes="0" showFirstColumn="1" showLastColumn="1" showRowStripes="1"/>
</table>
</file>

<file path=xl/tables/table13.xml><?xml version="1.0" encoding="utf-8"?>
<table xmlns="http://schemas.openxmlformats.org/spreadsheetml/2006/main" headerRowCount="0" ref="L1:AC70" displayName="Table_13" name="Table_13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B5:H27" displayName="Table_14" name="Table_14" id="14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TA-style 2" showColumnStripes="0" showFirstColumn="1" showLastColumn="1" showRowStripes="1"/>
</table>
</file>

<file path=xl/tables/table15.xml><?xml version="1.0" encoding="utf-8"?>
<table xmlns="http://schemas.openxmlformats.org/spreadsheetml/2006/main" ref="B30:H36" displayName="Table_15" name="Table_15" id="15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TA-style 3" showColumnStripes="0" showFirstColumn="1" showLastColumn="1" showRowStripes="1"/>
</table>
</file>

<file path=xl/tables/table16.xml><?xml version="1.0" encoding="utf-8"?>
<table xmlns="http://schemas.openxmlformats.org/spreadsheetml/2006/main" ref="L2:AC70" displayName="Table_16" name="Table_16" id="16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GACHANCIPA-style" showColumnStripes="0" showFirstColumn="1" showLastColumn="1" showRowStripes="1"/>
</table>
</file>

<file path=xl/tables/table17.xml><?xml version="1.0" encoding="utf-8"?>
<table xmlns="http://schemas.openxmlformats.org/spreadsheetml/2006/main" ref="B5:H27" displayName="Table_17" name="Table_17" id="17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GACHANCIPA-style 2" showColumnStripes="0" showFirstColumn="1" showLastColumn="1" showRowStripes="1"/>
</table>
</file>

<file path=xl/tables/table18.xml><?xml version="1.0" encoding="utf-8"?>
<table xmlns="http://schemas.openxmlformats.org/spreadsheetml/2006/main" ref="B30:H36" displayName="Table_18" name="Table_18" id="18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GACHANCIPA-style 3" showColumnStripes="0" showFirstColumn="1" showLastColumn="1" showRowStripes="1"/>
</table>
</file>

<file path=xl/tables/table19.xml><?xml version="1.0" encoding="utf-8"?>
<table xmlns="http://schemas.openxmlformats.org/spreadsheetml/2006/main" ref="L2:AC70" displayName="Table_19" name="Table_19" id="19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NEMOCON-style" showColumnStripes="0" showFirstColumn="1" showLastColumn="1" showRowStripes="1"/>
</table>
</file>

<file path=xl/tables/table20.xml><?xml version="1.0" encoding="utf-8"?>
<table xmlns="http://schemas.openxmlformats.org/spreadsheetml/2006/main" ref="B5:H27" displayName="Table_20" name="Table_20" id="20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NEMOCON-style 2" showColumnStripes="0" showFirstColumn="1" showLastColumn="1" showRowStripes="1"/>
</table>
</file>

<file path=xl/tables/table21.xml><?xml version="1.0" encoding="utf-8"?>
<table xmlns="http://schemas.openxmlformats.org/spreadsheetml/2006/main" ref="B30:H36" displayName="Table_21" name="Table_21" id="21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NEMOCON-style 3" showColumnStripes="0" showFirstColumn="1" showLastColumn="1" showRowStripes="1"/>
</table>
</file>

<file path=xl/tables/table22.xml><?xml version="1.0" encoding="utf-8"?>
<table xmlns="http://schemas.openxmlformats.org/spreadsheetml/2006/main" ref="L2:AC70" displayName="Table_22" name="Table_22" id="22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SOPO-style" showColumnStripes="0" showFirstColumn="1" showLastColumn="1" showRowStripes="1"/>
</table>
</file>

<file path=xl/tables/table23.xml><?xml version="1.0" encoding="utf-8"?>
<table xmlns="http://schemas.openxmlformats.org/spreadsheetml/2006/main" ref="B5:H27" displayName="Table_23" name="Table_23" id="23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SOPO-style 2" showColumnStripes="0" showFirstColumn="1" showLastColumn="1" showRowStripes="1"/>
</table>
</file>

<file path=xl/tables/table24.xml><?xml version="1.0" encoding="utf-8"?>
<table xmlns="http://schemas.openxmlformats.org/spreadsheetml/2006/main" ref="B30:H36" displayName="Table_24" name="Table_24" id="24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SOPO-style 3" showColumnStripes="0" showFirstColumn="1" showLastColumn="1" showRowStripes="1"/>
</table>
</file>

<file path=xl/tables/table25.xml><?xml version="1.0" encoding="utf-8"?>
<table xmlns="http://schemas.openxmlformats.org/spreadsheetml/2006/main" ref="L2:AC70" displayName="Table_25" name="Table_25" id="25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ABIO-style" showColumnStripes="0" showFirstColumn="1" showLastColumn="1" showRowStripes="1"/>
</table>
</file>

<file path=xl/tables/table26.xml><?xml version="1.0" encoding="utf-8"?>
<table xmlns="http://schemas.openxmlformats.org/spreadsheetml/2006/main" ref="B5:H27" displayName="Table_26" name="Table_26" id="26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ABIO-style 2" showColumnStripes="0" showFirstColumn="1" showLastColumn="1" showRowStripes="1"/>
</table>
</file>

<file path=xl/tables/table27.xml><?xml version="1.0" encoding="utf-8"?>
<table xmlns="http://schemas.openxmlformats.org/spreadsheetml/2006/main" ref="B30:H36" displayName="Table_27" name="Table_27" id="27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ABIO-style 3" showColumnStripes="0" showFirstColumn="1" showLastColumn="1" showRowStripes="1"/>
</table>
</file>

<file path=xl/tables/table28.xml><?xml version="1.0" encoding="utf-8"?>
<table xmlns="http://schemas.openxmlformats.org/spreadsheetml/2006/main" ref="L2:AC70" displayName="Table_28" name="Table_28" id="28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ENJO-style" showColumnStripes="0" showFirstColumn="1" showLastColumn="1" showRowStripes="1"/>
</table>
</file>

<file path=xl/tables/table29.xml><?xml version="1.0" encoding="utf-8"?>
<table xmlns="http://schemas.openxmlformats.org/spreadsheetml/2006/main" ref="B5:H27" displayName="Table_29" name="Table_29" id="29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ENJO-style 2" showColumnStripes="0" showFirstColumn="1" showLastColumn="1" showRowStripes="1"/>
</table>
</file>

<file path=xl/tables/table30.xml><?xml version="1.0" encoding="utf-8"?>
<table xmlns="http://schemas.openxmlformats.org/spreadsheetml/2006/main" ref="B30:H36" displayName="Table_30" name="Table_30" id="30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ENJO-style 3" showColumnStripes="0" showFirstColumn="1" showLastColumn="1" showRowStripes="1"/>
</table>
</file>

<file path=xl/tables/table31.xml><?xml version="1.0" encoding="utf-8"?>
<table xmlns="http://schemas.openxmlformats.org/spreadsheetml/2006/main" ref="L2:AC70" displayName="Table_31" name="Table_31" id="31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OCANCIPA-style" showColumnStripes="0" showFirstColumn="1" showLastColumn="1" showRowStripes="1"/>
</table>
</file>

<file path=xl/tables/table32.xml><?xml version="1.0" encoding="utf-8"?>
<table xmlns="http://schemas.openxmlformats.org/spreadsheetml/2006/main" ref="B5:H27" displayName="Table_32" name="Table_32" id="32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OCANCIPA-style 2" showColumnStripes="0" showFirstColumn="1" showLastColumn="1" showRowStripes="1"/>
</table>
</file>

<file path=xl/tables/table33.xml><?xml version="1.0" encoding="utf-8"?>
<table xmlns="http://schemas.openxmlformats.org/spreadsheetml/2006/main" ref="B30:H36" displayName="Table_33" name="Table_33" id="33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OCANCIPA-style 3" showColumnStripes="0" showFirstColumn="1" showLastColumn="1" showRowStripes="1"/>
</table>
</file>

<file path=xl/tables/table34.xml><?xml version="1.0" encoding="utf-8"?>
<table xmlns="http://schemas.openxmlformats.org/spreadsheetml/2006/main" ref="L2:AC70" displayName="Table_34" name="Table_34" id="34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ZIPAQUIRA-style" showColumnStripes="0" showFirstColumn="1" showLastColumn="1" showRowStripes="1"/>
</table>
</file>

<file path=xl/tables/table35.xml><?xml version="1.0" encoding="utf-8"?>
<table xmlns="http://schemas.openxmlformats.org/spreadsheetml/2006/main" headerRowCount="0" ref="B5:I27" displayName="Table_35" name="Table_35" id="3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ZIPAQUIR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ref="B30:H36" displayName="Table_36" name="Table_36" id="36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ZIPAQUIR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64" dT="2025-07-07T17:17:44.00" personId="{883f7c13-bd3f-4edd-af8d-f5fbce069528}" id="{a2893139-0c01-4162-8163-892b26eaf615}" done="1">
    <x18tc:text xml:space="preserve">1 ACCIDENTE TRANSITO EN MENOR DE 5 A 14 AÑOS</x18tc:text>
  </x18tc:threadedComment>
  <x18tc:threadedComment ref="U21" dT="2025-07-07T17:17:44.00" personId="{883f7c13-bd3f-4edd-af8d-f5fbce069528}" id="{37972d91-cfc7-4ac5-8635-f4c0d9d6fd69}" done="1">
    <x18tc:text xml:space="preserve">8 MIGRANTES</x18tc:text>
  </x18tc:threadedComment>
  <x18tc:threadedComment ref="M23" dT="2025-07-07T17:17:44.00" personId="{883f7c13-bd3f-4edd-af8d-f5fbce069528}" id="{df1afa2b-9af8-4609-a91d-617c6f6a6d4c}" done="1">
    <x18tc:text xml:space="preserve">macculinos 27 y 15</x18tc:text>
  </x18tc:threadedComment>
  <x18tc:threadedComment ref="W25" dT="2025-07-07T17:17:44.00" personId="{883f7c13-bd3f-4edd-af8d-f5fbce069528}" id="{307b5076-29b6-4408-a137-62296e795f47}" done="1">
    <x18tc:text xml:space="preserve">55 notificados</x18tc:text>
  </x18tc:threadedComment>
  <x18tc:threadedComment ref="O23" dT="2025-07-07T17:17:44.00" personId="{883f7c13-bd3f-4edd-af8d-f5fbce069528}" id="{0e23c6fc-b755-46a5-b879-a1396eaf6155}" done="1">
    <x18tc:text xml:space="preserve">mujeres 134 y 25, masculino de 46 años</x18tc:text>
  </x18tc:threadedComment>
  <x18tc:threadedComment ref="U39" dT="2025-07-07T17:17:44.00" personId="{883f7c13-bd3f-4edd-af8d-f5fbce069528}" id="{4423c2c3-26cc-4460-a53a-d4a5c7fdf08e}" done="1">
    <x18tc:text xml:space="preserve">15 menores de 1 años
94 de 0 hasta 5 años</x18tc:text>
  </x18tc:threadedComment>
  <x18tc:threadedComment ref="S67" dT="2025-07-07T17:17:44.00" personId="{883f7c13-bd3f-4edd-af8d-f5fbce069528}" id="{848f3ed3-ef91-40be-b394-91a828c89bc0}" done="1">
    <x18tc:text xml:space="preserve">4 MENOR DE 5 AÑOS</x18tc:text>
  </x18tc:threadedComment>
  <x18tc:threadedComment ref="L26" dT="2025-07-07T17:17:44.00" personId="{22a0e18c-e4a4-4eb8-8149-e9be0344155a}" id="{854587dc-0d64-4b6c-95ef-a03feca98ae3}" done="1">
    <x18tc:text xml:space="preserve">SE EXCLUYEN NEOPLASIAS</x18tc:text>
  </x18tc:threadedComment>
  <x18tc:threadedComment ref="O4" dT="2025-07-07T17:17:44.00" personId="{883f7c13-bd3f-4edd-af8d-f5fbce069528}" id="{ce3ddf49-d147-4399-856a-a21149307c59}" done="1">
    <x18tc:text xml:space="preserve">446 hombres 444 mujeres</x18tc:text>
  </x18tc:threadedComment>
  <x18tc:threadedComment ref="S39" dT="2025-07-07T17:17:44.00" personId="{883f7c13-bd3f-4edd-af8d-f5fbce069528}" id="{a832f2a3-6760-4dac-9f8c-f0ea6b6de4cc}" done="1">
    <x18tc:text xml:space="preserve">11 menore de 1 año
46 de 0 a 5 años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3" dT="2025-07-07T17:17:44.00" personId="{883f7c13-bd3f-4edd-af8d-f5fbce069528}" id="{60bb3c88-1422-468c-8815-e22fdbbf4a72}" done="1">
    <x18tc:text xml:space="preserve">mujeres 134 y 25, masculino de 46 años</x18tc:text>
  </x18tc:threadedComment>
  <x18tc:threadedComment ref="U21" dT="2025-07-07T17:17:44.00" personId="{883f7c13-bd3f-4edd-af8d-f5fbce069528}" id="{71d68e9a-ef32-43c6-9d28-99b1edf26393}" done="1">
    <x18tc:text xml:space="preserve">8 MIGRANTES</x18tc:text>
  </x18tc:threadedComment>
  <x18tc:threadedComment ref="O4" dT="2025-07-07T17:17:44.00" personId="{883f7c13-bd3f-4edd-af8d-f5fbce069528}" id="{6e779f41-dcdf-486d-9d01-af2dd4000d8c}" done="1">
    <x18tc:text xml:space="preserve">446 hombres 444 mujeres</x18tc:text>
  </x18tc:threadedComment>
  <x18tc:threadedComment ref="U39" dT="2025-07-07T17:17:44.00" personId="{883f7c13-bd3f-4edd-af8d-f5fbce069528}" id="{58094b93-94ea-442d-bc83-596f53e3afc5}" done="1">
    <x18tc:text xml:space="preserve">15 menores de 1 años
94 de 0 hasta 5 años</x18tc:text>
  </x18tc:threadedComment>
  <x18tc:threadedComment ref="S67" dT="2025-07-07T17:17:44.00" personId="{883f7c13-bd3f-4edd-af8d-f5fbce069528}" id="{07310501-c3f1-4491-a234-34f562d1b647}" done="1">
    <x18tc:text xml:space="preserve">4 MENOR DE 5 AÑOS</x18tc:text>
  </x18tc:threadedComment>
  <x18tc:threadedComment ref="W25" dT="2025-07-07T17:17:44.00" personId="{883f7c13-bd3f-4edd-af8d-f5fbce069528}" id="{7d10c5d8-cdf8-40e8-8b44-959bbc1876d7}" done="1">
    <x18tc:text xml:space="preserve">55 notificados</x18tc:text>
  </x18tc:threadedComment>
  <x18tc:threadedComment ref="S64" dT="2025-07-07T17:17:44.00" personId="{883f7c13-bd3f-4edd-af8d-f5fbce069528}" id="{8842094a-fb41-4766-97fb-67b6f1af806d}" done="1">
    <x18tc:text xml:space="preserve">1 ACCIDENTE TRANSITO EN MENOR DE 5 A 14 AÑOS</x18tc:text>
  </x18tc:threadedComment>
  <x18tc:threadedComment ref="M23" dT="2025-07-07T17:17:44.00" personId="{883f7c13-bd3f-4edd-af8d-f5fbce069528}" id="{1e40af0b-4835-4c6a-8036-5f176b9b6fba}" done="1">
    <x18tc:text xml:space="preserve">macculinos 27 y 15</x18tc:text>
  </x18tc:threadedComment>
  <x18tc:threadedComment ref="L26" dT="2025-07-07T17:17:44.00" personId="{22a0e18c-e4a4-4eb8-8149-e9be0344155a}" id="{930ed869-e8e7-49d9-8410-cda57c514f48}" done="1">
    <x18tc:text xml:space="preserve">SE EXCLUYEN NEOPLASIAS</x18tc:text>
  </x18tc:threadedComment>
  <x18tc:threadedComment ref="S39" dT="2025-07-07T17:17:44.00" personId="{883f7c13-bd3f-4edd-af8d-f5fbce069528}" id="{a3865464-6954-4955-9728-7c453bdc561c}" done="1">
    <x18tc:text xml:space="preserve">11 menore de 1 año
46 de 0 a 5 años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4" dT="2025-07-07T17:17:44.00" personId="{883f7c13-bd3f-4edd-af8d-f5fbce069528}" id="{40535a78-70e9-45e1-b0bd-273fb7d41281}" done="1">
    <x18tc:text xml:space="preserve">446 hombres 444 mujeres</x18tc:text>
  </x18tc:threadedComment>
  <x18tc:threadedComment ref="U39" dT="2025-07-07T17:17:44.00" personId="{883f7c13-bd3f-4edd-af8d-f5fbce069528}" id="{b564e120-cfbb-4017-a21d-7525c1d3ecad}" done="1">
    <x18tc:text xml:space="preserve">15 menores de 1 años
94 de 0 hasta 5 años</x18tc:text>
  </x18tc:threadedComment>
  <x18tc:threadedComment ref="S39" dT="2025-07-07T17:17:44.00" personId="{883f7c13-bd3f-4edd-af8d-f5fbce069528}" id="{00368bce-6196-40a7-b359-ae6d07d12682}" done="1">
    <x18tc:text xml:space="preserve">11 menore de 1 año
46 de 0 a 5 años</x18tc:text>
  </x18tc:threadedComment>
  <x18tc:threadedComment ref="M23" dT="2025-07-07T17:17:44.00" personId="{883f7c13-bd3f-4edd-af8d-f5fbce069528}" id="{e15ceeb3-ba03-4ff6-a919-ed424daabcbd}" done="1">
    <x18tc:text xml:space="preserve">macculinos 27 y 15</x18tc:text>
  </x18tc:threadedComment>
  <x18tc:threadedComment ref="O23" dT="2025-07-07T17:17:44.00" personId="{883f7c13-bd3f-4edd-af8d-f5fbce069528}" id="{2cd82e48-51d6-44a6-b883-edd13a0dce21}" done="1">
    <x18tc:text xml:space="preserve">mujeres 134 y 25, masculino de 46 años</x18tc:text>
  </x18tc:threadedComment>
  <x18tc:threadedComment ref="U21" dT="2025-07-07T17:17:44.00" personId="{883f7c13-bd3f-4edd-af8d-f5fbce069528}" id="{12390241-03a3-49ba-9bae-0cbd3b2d92d0}" done="1">
    <x18tc:text xml:space="preserve">8 MIGRANTES</x18tc:text>
  </x18tc:threadedComment>
  <x18tc:threadedComment ref="S64" dT="2025-07-07T17:17:44.00" personId="{883f7c13-bd3f-4edd-af8d-f5fbce069528}" id="{18e2007b-1065-4a44-92be-6ceeb931edca}" done="1">
    <x18tc:text xml:space="preserve">1 ACCIDENTE TRANSITO EN MENOR DE 5 A 14 AÑOS</x18tc:text>
  </x18tc:threadedComment>
  <x18tc:threadedComment ref="L26" dT="2025-07-07T17:17:44.00" personId="{22a0e18c-e4a4-4eb8-8149-e9be0344155a}" id="{3f777728-103f-474c-b26f-13425ef879b2}" done="1">
    <x18tc:text xml:space="preserve">SE EXCLUYEN NEOPLASIAS</x18tc:text>
  </x18tc:threadedComment>
  <x18tc:threadedComment ref="W25" dT="2025-07-07T17:17:44.00" personId="{883f7c13-bd3f-4edd-af8d-f5fbce069528}" id="{63e13aad-439f-40a1-bf18-792ed2dcaa70}" done="1">
    <x18tc:text xml:space="preserve">55 notificados</x18tc:text>
  </x18tc:threadedComment>
  <x18tc:threadedComment ref="S67" dT="2025-07-07T17:17:44.00" personId="{883f7c13-bd3f-4edd-af8d-f5fbce069528}" id="{51bd4a88-4018-4d3e-bc84-9c34e07b94c1}" done="1">
    <x18tc:text xml:space="preserve">4 MENOR DE 5 AÑOS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64" dT="2025-07-07T17:17:44.00" personId="{883f7c13-bd3f-4edd-af8d-f5fbce069528}" id="{cce772be-0419-43e7-859e-e0578a307bd3}" done="1">
    <x18tc:text xml:space="preserve">1 ACCIDENTE TRANSITO EN MENOR DE 5 A 14 AÑOS</x18tc:text>
  </x18tc:threadedComment>
  <x18tc:threadedComment ref="S67" dT="2025-07-07T17:17:44.00" personId="{883f7c13-bd3f-4edd-af8d-f5fbce069528}" id="{fc24e13a-0b96-4e64-aaee-b04c4c95ef4c}" done="1">
    <x18tc:text xml:space="preserve">4 MENOR DE 5 AÑOS</x18tc:text>
  </x18tc:threadedComment>
  <x18tc:threadedComment ref="S39" dT="2025-07-07T17:17:44.00" personId="{883f7c13-bd3f-4edd-af8d-f5fbce069528}" id="{6a30128b-96ec-414e-a9bf-b44aee2cb4ef}" done="1">
    <x18tc:text xml:space="preserve">11 menore de 1 año
46 de 0 a 5 años</x18tc:text>
  </x18tc:threadedComment>
  <x18tc:threadedComment ref="O4" dT="2025-07-07T17:17:44.00" personId="{883f7c13-bd3f-4edd-af8d-f5fbce069528}" id="{74230e93-7bec-407d-9f05-d7eba81fdceb}" done="1">
    <x18tc:text xml:space="preserve">446 hombres 444 mujeres</x18tc:text>
  </x18tc:threadedComment>
  <x18tc:threadedComment ref="U39" dT="2025-07-07T17:17:44.00" personId="{883f7c13-bd3f-4edd-af8d-f5fbce069528}" id="{e7d0fa5b-be2c-4df1-89e4-93a4b12a7bcb}" done="1">
    <x18tc:text xml:space="preserve">15 menores de 1 años
94 de 0 hasta 5 años</x18tc:text>
  </x18tc:threadedComment>
  <x18tc:threadedComment ref="M23" dT="2025-07-07T17:17:44.00" personId="{883f7c13-bd3f-4edd-af8d-f5fbce069528}" id="{5e6bcd59-4e6d-477d-b597-3bd8ca03d9b4}" done="1">
    <x18tc:text xml:space="preserve">macculinos 27 y 15</x18tc:text>
  </x18tc:threadedComment>
  <x18tc:threadedComment ref="U21" dT="2025-07-07T17:17:44.00" personId="{883f7c13-bd3f-4edd-af8d-f5fbce069528}" id="{d0192592-2451-4d8f-933c-25c91021bb4b}" done="1">
    <x18tc:text xml:space="preserve">8 MIGRANTES</x18tc:text>
  </x18tc:threadedComment>
  <x18tc:threadedComment ref="W25" dT="2025-07-07T17:17:44.00" personId="{883f7c13-bd3f-4edd-af8d-f5fbce069528}" id="{6a04a277-d445-47f9-93d0-a6d1d8824b43}" done="1">
    <x18tc:text xml:space="preserve">55 notificados</x18tc:text>
  </x18tc:threadedComment>
  <x18tc:threadedComment ref="O23" dT="2025-07-07T17:17:44.00" personId="{883f7c13-bd3f-4edd-af8d-f5fbce069528}" id="{56f1eef1-9b5d-4e03-99f1-095bc1faa24e}" done="1">
    <x18tc:text xml:space="preserve">mujeres 134 y 25, masculino de 46 años</x18tc:text>
  </x18tc:threadedComment>
  <x18tc:threadedComment ref="L26" dT="2025-07-07T17:17:44.00" personId="{22a0e18c-e4a4-4eb8-8149-e9be0344155a}" id="{98ec1a71-ec66-4af9-867f-1ef68ca26f0c}" done="1">
    <x18tc:text xml:space="preserve">SE EXCLUYEN NEOPLASIAS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67" dT="2025-07-07T17:17:44.00" personId="{883f7c13-bd3f-4edd-af8d-f5fbce069528}" id="{f284eeff-0f7e-44fd-aafb-274371e5e094}" done="1">
    <x18tc:text xml:space="preserve">4 MENOR DE 5 AÑOS</x18tc:text>
  </x18tc:threadedComment>
  <x18tc:threadedComment ref="S64" dT="2025-07-07T17:17:44.00" personId="{883f7c13-bd3f-4edd-af8d-f5fbce069528}" id="{5f4cd96e-5b71-4485-82a7-3c1ef87b1bfb}" done="1">
    <x18tc:text xml:space="preserve">1 ACCIDENTE TRANSITO EN MENOR DE 5 A 14 AÑOS</x18tc:text>
  </x18tc:threadedComment>
  <x18tc:threadedComment ref="L26" dT="2025-07-07T17:17:44.00" personId="{22a0e18c-e4a4-4eb8-8149-e9be0344155a}" id="{c5674992-13ae-466d-9032-f40fff2fd3bf}" done="1">
    <x18tc:text xml:space="preserve">SE EXCLUYEN NEOPLASIAS</x18tc:text>
  </x18tc:threadedComment>
  <x18tc:threadedComment ref="M23" dT="2025-07-07T17:17:44.00" personId="{883f7c13-bd3f-4edd-af8d-f5fbce069528}" id="{cc668a98-8634-44ed-9c67-b50e92fed575}" done="1">
    <x18tc:text xml:space="preserve">macculinos 27 y 15</x18tc:text>
  </x18tc:threadedComment>
  <x18tc:threadedComment ref="U39" dT="2025-07-07T17:17:44.00" personId="{883f7c13-bd3f-4edd-af8d-f5fbce069528}" id="{cdab3c67-81ac-4f6f-91f8-5bf337744120}" done="1">
    <x18tc:text xml:space="preserve">15 menores de 1 años
94 de 0 hasta 5 años</x18tc:text>
  </x18tc:threadedComment>
  <x18tc:threadedComment ref="S39" dT="2025-07-07T17:17:44.00" personId="{883f7c13-bd3f-4edd-af8d-f5fbce069528}" id="{9881ee83-dd3e-42ca-a22f-287790641c2a}" done="1">
    <x18tc:text xml:space="preserve">11 menore de 1 año
46 de 0 a 5 años</x18tc:text>
  </x18tc:threadedComment>
  <x18tc:threadedComment ref="U21" dT="2025-07-07T17:17:44.00" personId="{883f7c13-bd3f-4edd-af8d-f5fbce069528}" id="{a0a14975-c180-452a-8e91-c6e0ddf8c44d}" done="1">
    <x18tc:text xml:space="preserve">8 MIGRANTES</x18tc:text>
  </x18tc:threadedComment>
  <x18tc:threadedComment ref="W25" dT="2025-07-07T17:17:44.00" personId="{883f7c13-bd3f-4edd-af8d-f5fbce069528}" id="{cd7ad8c3-cca0-43f9-9712-faf73dacda83}" done="1">
    <x18tc:text xml:space="preserve">55 notificados</x18tc:text>
  </x18tc:threadedComment>
  <x18tc:threadedComment ref="O23" dT="2025-07-07T17:17:44.00" personId="{883f7c13-bd3f-4edd-af8d-f5fbce069528}" id="{707f6e87-ff62-49a3-84a2-71e601c72d27}" done="1">
    <x18tc:text xml:space="preserve">mujeres 134 y 25, masculino de 46 años</x18tc:text>
  </x18tc:threadedComment>
  <x18tc:threadedComment ref="O4" dT="2025-07-07T17:17:44.00" personId="{883f7c13-bd3f-4edd-af8d-f5fbce069528}" id="{bdefe52b-9eae-4faa-ae1e-5450af9e50f4}" done="1">
    <x18tc:text xml:space="preserve">446 hombres 444 mujeres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5" dT="2025-07-07T17:17:44.00" personId="{883f7c13-bd3f-4edd-af8d-f5fbce069528}" id="{df073e5f-5680-4e3d-bdf9-6ebbffd887a2}" done="1">
    <x18tc:text xml:space="preserve">55 notificados</x18tc:text>
  </x18tc:threadedComment>
  <x18tc:threadedComment ref="M23" dT="2025-07-07T17:17:44.00" personId="{883f7c13-bd3f-4edd-af8d-f5fbce069528}" id="{243a3b7e-ba7d-4060-a690-17d53b3a97bd}" done="1">
    <x18tc:text xml:space="preserve">macculinos 27 y 15</x18tc:text>
  </x18tc:threadedComment>
  <x18tc:threadedComment ref="S64" dT="2025-07-07T17:17:44.00" personId="{883f7c13-bd3f-4edd-af8d-f5fbce069528}" id="{bdc2970b-2c47-42a5-8079-e6d99308be49}" done="1">
    <x18tc:text xml:space="preserve">1 ACCIDENTE TRANSITO EN MENOR DE 5 A 14 AÑOS</x18tc:text>
  </x18tc:threadedComment>
  <x18tc:threadedComment ref="U39" dT="2025-07-07T17:17:44.00" personId="{883f7c13-bd3f-4edd-af8d-f5fbce069528}" id="{10f8438f-ac40-4a86-be1f-344504f879ca}" done="1">
    <x18tc:text xml:space="preserve">15 menores de 1 años
94 de 0 hasta 5 años</x18tc:text>
  </x18tc:threadedComment>
  <x18tc:threadedComment ref="O4" dT="2025-07-07T17:17:44.00" personId="{883f7c13-bd3f-4edd-af8d-f5fbce069528}" id="{c4045e75-33d6-461a-b14c-cc0447412c06}" done="1">
    <x18tc:text xml:space="preserve">446 hombres 444 mujeres</x18tc:text>
  </x18tc:threadedComment>
  <x18tc:threadedComment ref="S67" dT="2025-07-07T17:17:44.00" personId="{883f7c13-bd3f-4edd-af8d-f5fbce069528}" id="{01cde496-60b7-4a41-981d-586d5ef9411c}" done="1">
    <x18tc:text xml:space="preserve">4 MENOR DE 5 AÑOS</x18tc:text>
  </x18tc:threadedComment>
  <x18tc:threadedComment ref="U21" dT="2025-07-07T17:17:44.00" personId="{883f7c13-bd3f-4edd-af8d-f5fbce069528}" id="{5d9c7bff-135e-4774-97f9-e1e98c3dd49f}" done="1">
    <x18tc:text xml:space="preserve">8 MIGRANTES</x18tc:text>
  </x18tc:threadedComment>
  <x18tc:threadedComment ref="S39" dT="2025-07-07T17:17:44.00" personId="{883f7c13-bd3f-4edd-af8d-f5fbce069528}" id="{c0fdd29e-84a6-41c9-8f1a-36d51fb6f7f6}" done="1">
    <x18tc:text xml:space="preserve">11 menore de 1 año
46 de 0 a 5 años</x18tc:text>
  </x18tc:threadedComment>
  <x18tc:threadedComment ref="L26" dT="2025-07-07T17:17:44.00" personId="{22a0e18c-e4a4-4eb8-8149-e9be0344155a}" id="{ede9ed5b-f8c7-4e3b-a7db-b48784cbe335}" done="1">
    <x18tc:text xml:space="preserve">SE EXCLUYEN NEOPLASIAS</x18tc:text>
  </x18tc:threadedComment>
  <x18tc:threadedComment ref="O23" dT="2025-07-07T17:17:44.00" personId="{883f7c13-bd3f-4edd-af8d-f5fbce069528}" id="{94af06bb-6421-4407-aba3-44644a6546eb}" done="1">
    <x18tc:text xml:space="preserve">mujeres 134 y 25, masculino de 46 años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1" dT="2025-07-07T17:17:44.00" personId="{883f7c13-bd3f-4edd-af8d-f5fbce069528}" id="{38fc5521-e313-4722-af67-0347dd957fc3}" done="1">
    <x18tc:text xml:space="preserve">8 MIGRANTES</x18tc:text>
  </x18tc:threadedComment>
  <x18tc:threadedComment ref="O4" dT="2025-07-07T17:17:44.00" personId="{883f7c13-bd3f-4edd-af8d-f5fbce069528}" id="{72813998-4d02-4ec2-b5f0-a2b9ad815f9b}" done="1">
    <x18tc:text xml:space="preserve">446 hombres 444 mujeres</x18tc:text>
  </x18tc:threadedComment>
  <x18tc:threadedComment ref="S67" dT="2025-07-07T17:17:44.00" personId="{883f7c13-bd3f-4edd-af8d-f5fbce069528}" id="{d13d911d-33f1-4269-b8e6-7ab6ca06c6b6}" done="1">
    <x18tc:text xml:space="preserve">4 MENOR DE 5 AÑOS</x18tc:text>
  </x18tc:threadedComment>
  <x18tc:threadedComment ref="O23" dT="2025-07-07T17:17:44.00" personId="{883f7c13-bd3f-4edd-af8d-f5fbce069528}" id="{f9953fe8-096e-4eb8-98e9-f2a22a3f5cc2}" done="1">
    <x18tc:text xml:space="preserve">mujeres 134 y 25, masculino de 46 años</x18tc:text>
  </x18tc:threadedComment>
  <x18tc:threadedComment ref="L26" dT="2025-07-07T17:17:44.00" personId="{22a0e18c-e4a4-4eb8-8149-e9be0344155a}" id="{2b6458ed-d545-4e8b-8e96-75b2aa3e6eb2}" done="1">
    <x18tc:text xml:space="preserve">SE EXCLUYEN NEOPLASIAS</x18tc:text>
  </x18tc:threadedComment>
  <x18tc:threadedComment ref="W25" dT="2025-07-07T17:17:44.00" personId="{883f7c13-bd3f-4edd-af8d-f5fbce069528}" id="{4ef551a1-9a9a-448d-bde2-34fe4ac3d2fe}" done="1">
    <x18tc:text xml:space="preserve">55 notificados</x18tc:text>
  </x18tc:threadedComment>
  <x18tc:threadedComment ref="M23" dT="2025-07-07T17:17:44.00" personId="{883f7c13-bd3f-4edd-af8d-f5fbce069528}" id="{1ea33ab2-3731-4fb0-9c7b-ee1b9859fe70}" done="1">
    <x18tc:text xml:space="preserve">macculinos 27 y 15</x18tc:text>
  </x18tc:threadedComment>
  <x18tc:threadedComment ref="S39" dT="2025-07-07T17:17:44.00" personId="{883f7c13-bd3f-4edd-af8d-f5fbce069528}" id="{3dc37d4f-007a-485f-9cd2-a23b5ce162ca}" done="1">
    <x18tc:text xml:space="preserve">11 menore de 1 año
46 de 0 a 5 años</x18tc:text>
  </x18tc:threadedComment>
  <x18tc:threadedComment ref="U39" dT="2025-07-07T17:17:44.00" personId="{883f7c13-bd3f-4edd-af8d-f5fbce069528}" id="{11bb3b51-e41a-4e54-ae38-295bb50f8230}" done="1">
    <x18tc:text xml:space="preserve">15 menores de 1 años
94 de 0 hasta 5 años</x18tc:text>
  </x18tc:threadedComment>
  <x18tc:threadedComment ref="S64" dT="2025-07-07T17:17:44.00" personId="{883f7c13-bd3f-4edd-af8d-f5fbce069528}" id="{ac55000c-55a9-48bc-8d3e-7ce06497eff6}" done="1">
    <x18tc:text xml:space="preserve">1 ACCIDENTE TRANSITO EN MENOR DE 5 A 14 AÑOS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5" dT="2025-07-07T17:17:44.00" personId="{883f7c13-bd3f-4edd-af8d-f5fbce069528}" id="{b73e8a51-a6ba-4f59-a7ed-e51d3cbb9647}" done="1">
    <x18tc:text xml:space="preserve">55 notificados</x18tc:text>
  </x18tc:threadedComment>
  <x18tc:threadedComment ref="M23" dT="2025-07-07T17:17:44.00" personId="{883f7c13-bd3f-4edd-af8d-f5fbce069528}" id="{03c78b49-fac0-4caa-bd01-41e7ee07ce67}" done="1">
    <x18tc:text xml:space="preserve">macculinos 27 y 15</x18tc:text>
  </x18tc:threadedComment>
  <x18tc:threadedComment ref="U39" dT="2025-07-07T17:17:44.00" personId="{883f7c13-bd3f-4edd-af8d-f5fbce069528}" id="{962ffbdc-501a-40ca-b7e3-aa75d4f60d42}" done="1">
    <x18tc:text xml:space="preserve">15 menores de 1 años
94 de 0 hasta 5 años</x18tc:text>
  </x18tc:threadedComment>
  <x18tc:threadedComment ref="S39" dT="2025-07-07T17:17:44.00" personId="{883f7c13-bd3f-4edd-af8d-f5fbce069528}" id="{fb75bc58-e6b3-4091-b0c5-d3e001956f88}" done="1">
    <x18tc:text xml:space="preserve">11 menore de 1 año
46 de 0 a 5 años</x18tc:text>
  </x18tc:threadedComment>
  <x18tc:threadedComment ref="L26" dT="2025-07-07T17:17:44.00" personId="{22a0e18c-e4a4-4eb8-8149-e9be0344155a}" id="{6a0faa55-11d2-4e49-9468-66b30944f09f}" done="1">
    <x18tc:text xml:space="preserve">SE EXCLUYEN NEOPLASIAS</x18tc:text>
  </x18tc:threadedComment>
  <x18tc:threadedComment ref="S64" dT="2025-07-07T17:17:44.00" personId="{883f7c13-bd3f-4edd-af8d-f5fbce069528}" id="{240361f0-8be9-4aaa-9ece-5a863f6898cf}" done="1">
    <x18tc:text xml:space="preserve">1 ACCIDENTE TRANSITO EN MENOR DE 5 A 14 AÑOS</x18tc:text>
  </x18tc:threadedComment>
  <x18tc:threadedComment ref="O4" dT="2025-07-07T17:17:44.00" personId="{883f7c13-bd3f-4edd-af8d-f5fbce069528}" id="{30ce7be1-465a-42b6-ba24-72c7958017c4}" done="1">
    <x18tc:text xml:space="preserve">446 hombres 444 mujeres</x18tc:text>
  </x18tc:threadedComment>
  <x18tc:threadedComment ref="O23" dT="2025-07-07T17:17:44.00" personId="{883f7c13-bd3f-4edd-af8d-f5fbce069528}" id="{30243988-08b4-4567-bc1e-af1067d08268}" done="1">
    <x18tc:text xml:space="preserve">mujeres 134 y 25, masculino de 46 años</x18tc:text>
  </x18tc:threadedComment>
  <x18tc:threadedComment ref="U21" dT="2025-07-07T17:17:44.00" personId="{883f7c13-bd3f-4edd-af8d-f5fbce069528}" id="{1678ba84-9c04-46fc-a7d1-d1ef92efeaba}" done="1">
    <x18tc:text xml:space="preserve">8 MIGRANTES</x18tc:text>
  </x18tc:threadedComment>
  <x18tc:threadedComment ref="S67" dT="2025-07-07T17:17:44.00" personId="{883f7c13-bd3f-4edd-af8d-f5fbce069528}" id="{f296f74e-b1dd-4d49-a2fe-c8efcb26681b}" done="1">
    <x18tc:text xml:space="preserve">4 MENOR DE 5 AÑOS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39" dT="2025-07-07T17:17:44.00" personId="{883f7c13-bd3f-4edd-af8d-f5fbce069528}" id="{98fd78fc-78f1-4014-a81d-185853208bb6}" done="1">
    <x18tc:text xml:space="preserve">15 menores de 1 años
94 de 0 hasta 5 años</x18tc:text>
  </x18tc:threadedComment>
  <x18tc:threadedComment ref="O4" dT="2025-07-07T17:17:44.00" personId="{883f7c13-bd3f-4edd-af8d-f5fbce069528}" id="{fd7653f2-a5d9-4073-bd2b-d8699e8f8a3f}" done="1">
    <x18tc:text xml:space="preserve">446 hombres 444 mujeres</x18tc:text>
  </x18tc:threadedComment>
  <x18tc:threadedComment ref="U21" dT="2025-07-07T17:17:44.00" personId="{883f7c13-bd3f-4edd-af8d-f5fbce069528}" id="{74d86b5c-ede4-43e8-8642-ffd3274e5372}" done="1">
    <x18tc:text xml:space="preserve">8 MIGRANTES</x18tc:text>
  </x18tc:threadedComment>
  <x18tc:threadedComment ref="L26" dT="2025-07-07T17:17:44.00" personId="{22a0e18c-e4a4-4eb8-8149-e9be0344155a}" id="{2cfa440d-b574-494e-b823-ae6076f5af24}" done="1">
    <x18tc:text xml:space="preserve">SE EXCLUYEN NEOPLASIAS</x18tc:text>
  </x18tc:threadedComment>
  <x18tc:threadedComment ref="M23" dT="2025-07-07T17:17:44.00" personId="{883f7c13-bd3f-4edd-af8d-f5fbce069528}" id="{f8126600-7cba-472e-ac84-73705f0d68e2}" done="1">
    <x18tc:text xml:space="preserve">macculinos 27 y 15</x18tc:text>
  </x18tc:threadedComment>
  <x18tc:threadedComment ref="S67" dT="2025-07-07T17:17:44.00" personId="{883f7c13-bd3f-4edd-af8d-f5fbce069528}" id="{41a82345-9b7e-4779-bb45-17e8c4168dba}" done="1">
    <x18tc:text xml:space="preserve">4 MENOR DE 5 AÑOS</x18tc:text>
  </x18tc:threadedComment>
  <x18tc:threadedComment ref="S64" dT="2025-07-07T17:17:44.00" personId="{883f7c13-bd3f-4edd-af8d-f5fbce069528}" id="{2fdc81ad-1aee-4b8c-a20d-9d67cd1eae82}" done="1">
    <x18tc:text xml:space="preserve">1 ACCIDENTE TRANSITO EN MENOR DE 5 A 14 AÑOS</x18tc:text>
  </x18tc:threadedComment>
  <x18tc:threadedComment ref="S39" dT="2025-07-07T17:17:44.00" personId="{883f7c13-bd3f-4edd-af8d-f5fbce069528}" id="{74e74b41-72b1-4a41-9c02-ffe1cdaae084}" done="1">
    <x18tc:text xml:space="preserve">11 menore de 1 año
46 de 0 a 5 años</x18tc:text>
  </x18tc:threadedComment>
  <x18tc:threadedComment ref="O23" dT="2025-07-07T17:17:44.00" personId="{883f7c13-bd3f-4edd-af8d-f5fbce069528}" id="{6c2d5486-7ab2-402e-a330-5a3ac2c46e20}" done="1">
    <x18tc:text xml:space="preserve">mujeres 134 y 25, masculino de 46 años</x18tc:text>
  </x18tc:threadedComment>
  <x18tc:threadedComment ref="W25" dT="2025-07-07T17:17:44.00" personId="{883f7c13-bd3f-4edd-af8d-f5fbce069528}" id="{c238a4b2-e8dd-4c11-ab2b-b70afb2bb7e6}" done="1">
    <x18tc:text xml:space="preserve">55 notificados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3" dT="2025-07-07T17:17:44.00" personId="{883f7c13-bd3f-4edd-af8d-f5fbce069528}" id="{63c9ebb3-8da1-455f-a5f2-5926b3a4f3dd}" done="1">
    <x18tc:text xml:space="preserve">mujeres 134 y 25, masculino de 46 años</x18tc:text>
  </x18tc:threadedComment>
  <x18tc:threadedComment ref="L26" dT="2025-07-07T17:17:44.00" personId="{22a0e18c-e4a4-4eb8-8149-e9be0344155a}" id="{3aa1e58d-daa5-4d59-b709-e044a8dceb33}" done="1">
    <x18tc:text xml:space="preserve">SE EXCLUYEN NEOPLASIAS</x18tc:text>
  </x18tc:threadedComment>
  <x18tc:threadedComment ref="S67" dT="2025-07-07T17:17:44.00" personId="{883f7c13-bd3f-4edd-af8d-f5fbce069528}" id="{69b06057-933c-4c06-8170-18d3ce7efc0e}" done="1">
    <x18tc:text xml:space="preserve">4 MENOR DE 5 AÑOS</x18tc:text>
  </x18tc:threadedComment>
  <x18tc:threadedComment ref="W25" dT="2025-07-07T17:17:44.00" personId="{883f7c13-bd3f-4edd-af8d-f5fbce069528}" id="{adaec741-83c3-4292-a02b-975d29ca2f6d}" done="1">
    <x18tc:text xml:space="preserve">55 notificados</x18tc:text>
  </x18tc:threadedComment>
  <x18tc:threadedComment ref="M23" dT="2025-07-07T17:17:44.00" personId="{883f7c13-bd3f-4edd-af8d-f5fbce069528}" id="{ead2afe9-dd3d-442e-a449-3a621ee746df}" done="1">
    <x18tc:text xml:space="preserve">macculinos 27 y 15</x18tc:text>
  </x18tc:threadedComment>
  <x18tc:threadedComment ref="U21" dT="2025-07-07T17:17:44.00" personId="{883f7c13-bd3f-4edd-af8d-f5fbce069528}" id="{7268a6f4-fc5b-4aa0-b342-de867b8af772}" done="1">
    <x18tc:text xml:space="preserve">8 MIGRANTES</x18tc:text>
  </x18tc:threadedComment>
  <x18tc:threadedComment ref="U39" dT="2025-07-07T17:17:44.00" personId="{883f7c13-bd3f-4edd-af8d-f5fbce069528}" id="{1bc1c31d-ad6a-41e1-8408-9f3b6cf93ef2}" done="1">
    <x18tc:text xml:space="preserve">15 menores de 1 años
94 de 0 hasta 5 años</x18tc:text>
  </x18tc:threadedComment>
  <x18tc:threadedComment ref="O4" dT="2025-07-07T17:17:44.00" personId="{883f7c13-bd3f-4edd-af8d-f5fbce069528}" id="{d5345303-fdf4-4fa6-ac38-7c6712e5e903}" done="1">
    <x18tc:text xml:space="preserve">446 hombres 444 mujeres</x18tc:text>
  </x18tc:threadedComment>
  <x18tc:threadedComment ref="S39" dT="2025-07-07T17:17:44.00" personId="{883f7c13-bd3f-4edd-af8d-f5fbce069528}" id="{cb680a17-5569-43ee-b646-abc600521f80}" done="1">
    <x18tc:text xml:space="preserve">11 menore de 1 año
46 de 0 a 5 años</x18tc:text>
  </x18tc:threadedComment>
  <x18tc:threadedComment ref="S64" dT="2025-07-07T17:17:44.00" personId="{883f7c13-bd3f-4edd-af8d-f5fbce069528}" id="{698c4dbb-c1b5-476c-be1c-2e5a8df8c3a5}" done="1">
    <x18tc:text xml:space="preserve">1 ACCIDENTE TRANSITO EN MENOR DE 5 A 14 AÑOS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4" dT="2025-07-07T17:17:44.00" personId="{883f7c13-bd3f-4edd-af8d-f5fbce069528}" id="{c9be1ab5-bf6d-491c-9348-9d61a59e7b73}" done="1">
    <x18tc:text xml:space="preserve">446 hombres 444 mujeres</x18tc:text>
  </x18tc:threadedComment>
  <x18tc:threadedComment ref="S39" dT="2025-07-07T17:17:44.00" personId="{883f7c13-bd3f-4edd-af8d-f5fbce069528}" id="{1b9ea860-fc5d-402b-91a0-06beebf3a179}" done="1">
    <x18tc:text xml:space="preserve">11 menore de 1 año
46 de 0 a 5 años</x18tc:text>
  </x18tc:threadedComment>
  <x18tc:threadedComment ref="U39" dT="2025-07-07T17:17:44.00" personId="{883f7c13-bd3f-4edd-af8d-f5fbce069528}" id="{9d9aa939-0063-4c3f-863a-aa9ad871048a}" done="1">
    <x18tc:text xml:space="preserve">15 menores de 1 años
94 de 0 hasta 5 años</x18tc:text>
  </x18tc:threadedComment>
  <x18tc:threadedComment ref="O23" dT="2025-07-07T17:17:44.00" personId="{883f7c13-bd3f-4edd-af8d-f5fbce069528}" id="{d2de83dd-b507-4b30-9522-e1c39f3ab0c8}" done="1">
    <x18tc:text xml:space="preserve">mujeres 134 y 25, masculino de 46 años</x18tc:text>
  </x18tc:threadedComment>
  <x18tc:threadedComment ref="W25" dT="2025-07-07T17:17:44.00" personId="{883f7c13-bd3f-4edd-af8d-f5fbce069528}" id="{f9d3e670-43d4-488e-ac24-5ee3451e0554}" done="1">
    <x18tc:text xml:space="preserve">55 notificados</x18tc:text>
  </x18tc:threadedComment>
  <x18tc:threadedComment ref="L26" dT="2025-07-07T17:17:44.00" personId="{22a0e18c-e4a4-4eb8-8149-e9be0344155a}" id="{56dba7f3-8d5b-40b8-8d42-6ac0dc4eb6c3}" done="1">
    <x18tc:text xml:space="preserve">SE EXCLUYEN NEOPLASIAS</x18tc:text>
  </x18tc:threadedComment>
  <x18tc:threadedComment ref="M23" dT="2025-07-07T17:17:44.00" personId="{883f7c13-bd3f-4edd-af8d-f5fbce069528}" id="{ee5848f8-2f91-44a0-b713-3b746d2bdd86}" done="1">
    <x18tc:text xml:space="preserve">macculinos 27 y 15</x18tc:text>
  </x18tc:threadedComment>
  <x18tc:threadedComment ref="U21" dT="2025-07-07T17:17:44.00" personId="{883f7c13-bd3f-4edd-af8d-f5fbce069528}" id="{e2ab833e-c3ab-4bc2-873e-2101cfe9419c}" done="1">
    <x18tc:text xml:space="preserve">8 MIGRANTES</x18tc:text>
  </x18tc:threadedComment>
  <x18tc:threadedComment ref="S67" dT="2025-07-07T17:17:44.00" personId="{883f7c13-bd3f-4edd-af8d-f5fbce069528}" id="{d948da48-2ce4-4cb0-8122-4ed94f701102}" done="1">
    <x18tc:text xml:space="preserve">4 MENOR DE 5 AÑOS</x18tc:text>
  </x18tc:threadedComment>
  <x18tc:threadedComment ref="S64" dT="2025-07-07T17:17:44.00" personId="{883f7c13-bd3f-4edd-af8d-f5fbce069528}" id="{84aba97b-2ed3-46bc-a5c0-9c09a101aa6d}" done="1">
    <x18tc:text xml:space="preserve">1 ACCIDENTE TRANSITO EN MENOR DE 5 A 14 AÑOS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3" dT="2025-07-07T17:17:44.00" personId="{883f7c13-bd3f-4edd-af8d-f5fbce069528}" id="{ff0e7853-e8e1-4688-b441-c61134e8a0aa}" done="1">
    <x18tc:text xml:space="preserve">macculinos 27 y 15</x18tc:text>
  </x18tc:threadedComment>
  <x18tc:threadedComment ref="S67" dT="2025-07-07T17:17:44.00" personId="{883f7c13-bd3f-4edd-af8d-f5fbce069528}" id="{5a6f014a-06c4-43fe-b16f-baa54c31555b}" done="1">
    <x18tc:text xml:space="preserve">4 MENOR DE 5 AÑOS</x18tc:text>
  </x18tc:threadedComment>
  <x18tc:threadedComment ref="W25" dT="2025-07-07T17:17:44.00" personId="{883f7c13-bd3f-4edd-af8d-f5fbce069528}" id="{ef2dff27-19de-4437-a70e-c618262a43d2}" done="1">
    <x18tc:text xml:space="preserve">55 notificados</x18tc:text>
  </x18tc:threadedComment>
  <x18tc:threadedComment ref="O23" dT="2025-07-07T17:17:44.00" personId="{883f7c13-bd3f-4edd-af8d-f5fbce069528}" id="{05978d34-8b57-4946-bf23-04a49daec24d}" done="1">
    <x18tc:text xml:space="preserve">mujeres 134 y 25, masculino de 46 años</x18tc:text>
  </x18tc:threadedComment>
  <x18tc:threadedComment ref="S64" dT="2025-07-07T17:17:44.00" personId="{883f7c13-bd3f-4edd-af8d-f5fbce069528}" id="{957d2ace-a29e-44e7-bb7a-a4219893a456}" done="1">
    <x18tc:text xml:space="preserve">1 ACCIDENTE TRANSITO EN MENOR DE 5 A 14 AÑOS</x18tc:text>
  </x18tc:threadedComment>
  <x18tc:threadedComment ref="O4" dT="2025-07-07T17:17:44.00" personId="{883f7c13-bd3f-4edd-af8d-f5fbce069528}" id="{489286cd-10eb-4c66-8683-7bcb4637d404}" done="1">
    <x18tc:text xml:space="preserve">446 hombres 444 mujeres</x18tc:text>
  </x18tc:threadedComment>
  <x18tc:threadedComment ref="L26" dT="2025-07-07T17:17:44.00" personId="{22a0e18c-e4a4-4eb8-8149-e9be0344155a}" id="{ef192a12-0134-4e06-85c7-726edf02b6b5}" done="1">
    <x18tc:text xml:space="preserve">SE EXCLUYEN NEOPLASIAS</x18tc:text>
  </x18tc:threadedComment>
  <x18tc:threadedComment ref="S39" dT="2025-07-07T17:17:44.00" personId="{883f7c13-bd3f-4edd-af8d-f5fbce069528}" id="{0cd25099-5115-4b17-b1e9-54ef57d36822}" done="1">
    <x18tc:text xml:space="preserve">11 menore de 1 año
46 de 0 a 5 años</x18tc:text>
  </x18tc:threadedComment>
  <x18tc:threadedComment ref="U39" dT="2025-07-07T17:17:44.00" personId="{883f7c13-bd3f-4edd-af8d-f5fbce069528}" id="{d5962db1-e248-4706-9801-4e972785018c}" done="1">
    <x18tc:text xml:space="preserve">15 menores de 1 años
94 de 0 hasta 5 años</x18tc:text>
  </x18tc:threadedComment>
  <x18tc:threadedComment ref="U21" dT="2025-07-07T17:17:44.00" personId="{883f7c13-bd3f-4edd-af8d-f5fbce069528}" id="{12ca8bc3-e968-4b3b-8e2f-8d473dc429ac}" done="1">
    <x18tc:text xml:space="preserve">8 MIGRANTES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9" Type="http://schemas.openxmlformats.org/officeDocument/2006/relationships/table" Target="../tables/table4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9" Type="http://schemas.openxmlformats.org/officeDocument/2006/relationships/table" Target="../tables/table7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11" Type="http://schemas.openxmlformats.org/officeDocument/2006/relationships/table" Target="../tables/table12.xml"/><Relationship Id="rId10" Type="http://schemas.openxmlformats.org/officeDocument/2006/relationships/table" Target="../tables/table11.xml"/><Relationship Id="rId9" Type="http://schemas.openxmlformats.org/officeDocument/2006/relationships/table" Target="../tables/table10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11" Type="http://schemas.openxmlformats.org/officeDocument/2006/relationships/table" Target="../tables/table15.xml"/><Relationship Id="rId10" Type="http://schemas.openxmlformats.org/officeDocument/2006/relationships/table" Target="../tables/table14.xml"/><Relationship Id="rId9" Type="http://schemas.openxmlformats.org/officeDocument/2006/relationships/table" Target="../tables/table13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11" Type="http://schemas.openxmlformats.org/officeDocument/2006/relationships/table" Target="../tables/table18.xml"/><Relationship Id="rId10" Type="http://schemas.openxmlformats.org/officeDocument/2006/relationships/table" Target="../tables/table17.xml"/><Relationship Id="rId9" Type="http://schemas.openxmlformats.org/officeDocument/2006/relationships/table" Target="../tables/table1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11" Type="http://schemas.openxmlformats.org/officeDocument/2006/relationships/table" Target="../tables/table21.xml"/><Relationship Id="rId10" Type="http://schemas.openxmlformats.org/officeDocument/2006/relationships/table" Target="../tables/table20.xml"/><Relationship Id="rId9" Type="http://schemas.openxmlformats.org/officeDocument/2006/relationships/table" Target="../tables/table19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11" Type="http://schemas.openxmlformats.org/officeDocument/2006/relationships/table" Target="../tables/table24.xml"/><Relationship Id="rId10" Type="http://schemas.openxmlformats.org/officeDocument/2006/relationships/table" Target="../tables/table23.xml"/><Relationship Id="rId9" Type="http://schemas.openxmlformats.org/officeDocument/2006/relationships/table" Target="../tables/table22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11" Type="http://schemas.openxmlformats.org/officeDocument/2006/relationships/table" Target="../tables/table27.xml"/><Relationship Id="rId10" Type="http://schemas.openxmlformats.org/officeDocument/2006/relationships/table" Target="../tables/table26.xml"/><Relationship Id="rId9" Type="http://schemas.openxmlformats.org/officeDocument/2006/relationships/table" Target="../tables/table25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11" Type="http://schemas.openxmlformats.org/officeDocument/2006/relationships/table" Target="../tables/table30.xml"/><Relationship Id="rId10" Type="http://schemas.openxmlformats.org/officeDocument/2006/relationships/table" Target="../tables/table29.xml"/><Relationship Id="rId9" Type="http://schemas.openxmlformats.org/officeDocument/2006/relationships/table" Target="../tables/table28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11" Type="http://schemas.openxmlformats.org/officeDocument/2006/relationships/table" Target="../tables/table33.xml"/><Relationship Id="rId10" Type="http://schemas.openxmlformats.org/officeDocument/2006/relationships/table" Target="../tables/table32.xml"/><Relationship Id="rId9" Type="http://schemas.openxmlformats.org/officeDocument/2006/relationships/table" Target="../tables/table3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2.xml"/><Relationship Id="rId11" Type="http://schemas.openxmlformats.org/officeDocument/2006/relationships/table" Target="../tables/table36.xml"/><Relationship Id="rId10" Type="http://schemas.openxmlformats.org/officeDocument/2006/relationships/table" Target="../tables/table35.xml"/><Relationship Id="rId9" Type="http://schemas.openxmlformats.org/officeDocument/2006/relationships/table" Target="../tables/table34.xml"/><Relationship Id="rId5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4.43" defaultRowHeight="15.0"/>
  <cols>
    <col customWidth="1" min="1" max="1" width="5.0"/>
    <col customWidth="1" min="2" max="2" width="21.71"/>
    <col customWidth="1" min="3" max="8" width="11.71"/>
    <col customWidth="1" min="9" max="9" width="1.43"/>
    <col customWidth="1" min="10" max="11" width="1.57"/>
    <col customWidth="1" min="12" max="12" width="20.29"/>
    <col customWidth="1" min="13" max="13" width="8.43"/>
    <col customWidth="1" min="14" max="14" width="12.0"/>
    <col customWidth="1" min="15" max="15" width="7.86"/>
    <col customWidth="1" min="16" max="16" width="12.43"/>
    <col customWidth="1" min="17" max="17" width="7.14"/>
    <col customWidth="1" min="18" max="18" width="10.57"/>
    <col customWidth="1" min="19" max="19" width="6.86"/>
    <col customWidth="1" min="20" max="20" width="12.57"/>
    <col customWidth="1" min="21" max="21" width="6.86"/>
    <col customWidth="1" min="22" max="22" width="10.14"/>
    <col customWidth="1" min="23" max="23" width="8.0"/>
    <col customWidth="1" min="24" max="24" width="12.14"/>
    <col customWidth="1" min="25" max="25" width="13.57"/>
    <col customWidth="1" min="26" max="26" width="11.71"/>
    <col customWidth="1" min="27" max="27" width="18.14"/>
    <col customWidth="1" min="28" max="28" width="18.57"/>
    <col customWidth="1" min="29" max="29" width="10.71"/>
  </cols>
  <sheetData>
    <row r="1" ht="64.5" customHeight="1">
      <c r="B1" s="2"/>
      <c r="C1" s="4" t="s">
        <v>2</v>
      </c>
      <c r="D1" s="5"/>
      <c r="E1" s="5"/>
      <c r="F1" s="5"/>
      <c r="G1" s="5"/>
      <c r="H1" s="6"/>
      <c r="I1" s="7"/>
      <c r="J1" s="7"/>
      <c r="K1" s="7"/>
      <c r="L1" s="8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3.25" customHeight="1">
      <c r="B2" s="10" t="s">
        <v>4</v>
      </c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20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9.5" customHeight="1">
      <c r="L3" s="15" t="s">
        <v>26</v>
      </c>
      <c r="M3" s="17">
        <f>CAJICA!M3+COTA!M4+CHIA!M3+ZIPAQUIRA!M3+TABIO!M3+TENJO!M3+SOPO!M3+GACHANCIPA!M3+TOCANCIPA!M3+NEMOCON!M3+COGUA!M3</f>
        <v>2236</v>
      </c>
      <c r="N3" s="19">
        <f>M3/C7*1000</f>
        <v>4.999251007</v>
      </c>
      <c r="O3" s="17">
        <f>CAJICA!O3+COTA!O4+CHIA!O3+ZIPAQUIRA!O3+TABIO!O3+TENJO!O3+SOPO!O3+GACHANCIPA!O3+TOCANCIPA!O3+NEMOCON!O3+COGUA!O3</f>
        <v>3023</v>
      </c>
      <c r="P3" s="19">
        <f>O3/D7*1000</f>
        <v>6.538011519</v>
      </c>
      <c r="Q3" s="17">
        <f>CAJICA!Q3+COTA!Q4+CHIA!Q3+ZIPAQUIRA!Q3+TABIO!Q3+TENJO!Q3+SOPO!Q3+GACHANCIPA!Q3+TOCANCIPA!Q3+NEMOCON!Q3+COGUA!Q3</f>
        <v>2320</v>
      </c>
      <c r="R3" s="19">
        <f>Q3/E7*1000</f>
        <v>4.864516914</v>
      </c>
      <c r="S3" s="17">
        <f>CAJICA!S3+COTA!S4+CHIA!S3+ZIPAQUIRA!S3+TABIO!S3+TENJO!S3+SOPO!S3+GACHANCIPA!S3+TOCANCIPA!S3+NEMOCON!S3+COGUA!S3</f>
        <v>2081</v>
      </c>
      <c r="T3" s="19">
        <f>S3/F7*1000</f>
        <v>4.231274425</v>
      </c>
      <c r="U3" s="17">
        <f>CAJICA!U3+COTA!U4+CHIA!U3+ZIPAQUIRA!U3+TABIO!U3+TENJO!U3+SOPO!U3+GACHANCIPA!U3+TOCANCIPA!U3+NEMOCON!U3+COGUA!U3</f>
        <v>2195</v>
      </c>
      <c r="V3" s="19" t="str">
        <f>U3/G7*1000</f>
        <v>#VALUE!</v>
      </c>
      <c r="W3" s="17">
        <f>CAJICA!W3+COTA!W4+CHIA!W3+ZIPAQUIRA!W3+TABIO!W3+TENJO!W3+SOPO!W3+GACHANCIPA!W3+TOCANCIPA!W3+NEMOCON!W3+COGUA!W3</f>
        <v>1019</v>
      </c>
      <c r="X3" s="19">
        <f>W3/H7*1000</f>
        <v>1.957905982</v>
      </c>
      <c r="Y3" s="19">
        <f t="shared" ref="Y3:Z3" si="1">((M3+O3+Q3+S3)/4)</f>
        <v>2415</v>
      </c>
      <c r="Z3" s="19">
        <f t="shared" si="1"/>
        <v>5.158263466</v>
      </c>
      <c r="AA3" s="19">
        <f t="shared" ref="AA3:AA70" si="3">((S3+U3)/2)</f>
        <v>2138</v>
      </c>
      <c r="AB3" s="19" t="str">
        <f t="shared" ref="AB3:AB70" si="4">(V3+X3)/2</f>
        <v>#VALUE!</v>
      </c>
      <c r="AC3" s="22" t="s">
        <v>28</v>
      </c>
    </row>
    <row r="4" ht="14.25" customHeight="1">
      <c r="L4" s="15" t="s">
        <v>29</v>
      </c>
      <c r="M4" s="17">
        <f>CAJICA!M4+COTA!M5+CHIA!M4+ZIPAQUIRA!M4+TABIO!M4+TENJO!M4+SOPO!M4+GACHANCIPA!M4+TOCANCIPA!M4+NEMOCON!M4+COGUA!M4</f>
        <v>4165</v>
      </c>
      <c r="N4" s="19">
        <f>M4/C7*1000</f>
        <v>9.31211111</v>
      </c>
      <c r="O4" s="17">
        <f>CAJICA!O4+COTA!O5+CHIA!O4+ZIPAQUIRA!O4+TABIO!O4+TENJO!O4+SOPO!O4+GACHANCIPA!O4+TOCANCIPA!O4+NEMOCON!O4+COGUA!O4</f>
        <v>4618</v>
      </c>
      <c r="P4" s="19">
        <f>O4/D7*1000</f>
        <v>9.987607408</v>
      </c>
      <c r="Q4" s="17">
        <f>CAJICA!Q4+COTA!Q5+CHIA!Q4+ZIPAQUIRA!Q4+TABIO!Q4+TENJO!Q4+SOPO!Q4+GACHANCIPA!Q4+TOCANCIPA!Q4+NEMOCON!Q4+COGUA!Q4</f>
        <v>4758</v>
      </c>
      <c r="R4" s="19">
        <f>Q4/E7*1000</f>
        <v>9.976453222</v>
      </c>
      <c r="S4" s="17">
        <f>CAJICA!S4+COTA!S5+CHIA!S4+ZIPAQUIRA!S4+TABIO!S4+TENJO!S4+SOPO!S4+GACHANCIPA!S4+TOCANCIPA!S4+NEMOCON!S4+COGUA!S4</f>
        <v>4255</v>
      </c>
      <c r="T4" s="19">
        <f>S4/F7*1000</f>
        <v>8.651644727</v>
      </c>
      <c r="U4" s="17">
        <f>CAJICA!U4+COTA!U5+CHIA!U4+ZIPAQUIRA!U4+TABIO!U4+TENJO!U4+SOPO!U4+GACHANCIPA!U4+TOCANCIPA!U4+NEMOCON!U4+COGUA!U4</f>
        <v>4338</v>
      </c>
      <c r="V4" s="19" t="str">
        <f>U4/G7*1000</f>
        <v>#VALUE!</v>
      </c>
      <c r="W4" s="17">
        <f>CAJICA!W4+COTA!W5+CHIA!W4+ZIPAQUIRA!W4+TABIO!W4+TENJO!W4+SOPO!W4+GACHANCIPA!W4+TOCANCIPA!W4+NEMOCON!W4+COGUA!W4</f>
        <v>1850</v>
      </c>
      <c r="X4" s="19">
        <f>W4/H7*1000</f>
        <v>3.554588878</v>
      </c>
      <c r="Y4" s="19">
        <f t="shared" ref="Y4:Z4" si="2">((M4+O4+Q4+S4)/4)</f>
        <v>4449</v>
      </c>
      <c r="Z4" s="19">
        <f t="shared" si="2"/>
        <v>9.481954117</v>
      </c>
      <c r="AA4" s="19">
        <f t="shared" si="3"/>
        <v>4296.5</v>
      </c>
      <c r="AB4" s="19" t="str">
        <f t="shared" si="4"/>
        <v>#VALUE!</v>
      </c>
      <c r="AC4" s="22" t="s">
        <v>30</v>
      </c>
    </row>
    <row r="5" ht="14.25" customHeight="1">
      <c r="B5" s="37" t="s">
        <v>46</v>
      </c>
      <c r="C5" s="38" t="s">
        <v>32</v>
      </c>
      <c r="D5" s="38" t="s">
        <v>33</v>
      </c>
      <c r="E5" s="38" t="s">
        <v>34</v>
      </c>
      <c r="F5" s="38" t="s">
        <v>35</v>
      </c>
      <c r="G5" s="38" t="s">
        <v>36</v>
      </c>
      <c r="H5" s="39" t="s">
        <v>37</v>
      </c>
      <c r="L5" s="15" t="s">
        <v>38</v>
      </c>
      <c r="M5" s="17">
        <f>CAJICA!M5+COTA!M6+CHIA!M5+ZIPAQUIRA!M5+TABIO!M5+TENJO!M5+SOPO!M5+GACHANCIPA!M5+TOCANCIPA!M5+NEMOCON!M5+COGUA!M5</f>
        <v>23</v>
      </c>
      <c r="N5" s="19">
        <f>M5/C12*100000</f>
        <v>509.3002657</v>
      </c>
      <c r="O5" s="17">
        <f>CAJICA!O5+COTA!O6+CHIA!O5+ZIPAQUIRA!O5+TABIO!O5+TENJO!O5+SOPO!O5+GACHANCIPA!O5+TOCANCIPA!O5+NEMOCON!O5+COGUA!O5</f>
        <v>18</v>
      </c>
      <c r="P5" s="19">
        <f>O5/D12*100000</f>
        <v>364.0776699</v>
      </c>
      <c r="Q5" s="17">
        <f>CAJICA!Q5+COTA!Q6+CHIA!Q5+ZIPAQUIRA!Q5+TABIO!Q5+TENJO!Q5+SOPO!Q5+GACHANCIPA!Q5+TOCANCIPA!Q5+NEMOCON!Q5+COGUA!Q5</f>
        <v>9</v>
      </c>
      <c r="R5" s="19">
        <f>Q5/E12*100000</f>
        <v>177.3049645</v>
      </c>
      <c r="S5" s="17">
        <f>CAJICA!S5+COTA!S6+CHIA!S5+ZIPAQUIRA!S5+TABIO!S5+TENJO!S5+SOPO!S5+GACHANCIPA!S5+TOCANCIPA!S5+NEMOCON!S5+COGUA!S5</f>
        <v>17</v>
      </c>
      <c r="T5" s="19">
        <f>S5/F12*100000</f>
        <v>371.5846995</v>
      </c>
      <c r="U5" s="17">
        <f>CAJICA!U5+COTA!U6+CHIA!U5+ZIPAQUIRA!U5+TABIO!U5+TENJO!U5+SOPO!U5+GACHANCIPA!U5+TOCANCIPA!U5+NEMOCON!U5+COGUA!U5</f>
        <v>19</v>
      </c>
      <c r="V5" s="19">
        <f>U5/G12*100000</f>
        <v>409.0419806</v>
      </c>
      <c r="W5" s="17">
        <f>CAJICA!W5+COTA!W6+CHIA!W5+ZIPAQUIRA!W5+TABIO!W5+TENJO!W5+SOPO!W5+GACHANCIPA!W5+TOCANCIPA!W5+NEMOCON!W5+COGUA!W5</f>
        <v>4</v>
      </c>
      <c r="X5" s="19">
        <f>W5/H12*100000</f>
        <v>221.8524681</v>
      </c>
      <c r="Y5" s="19">
        <f t="shared" ref="Y5:Z5" si="5">((M5+O5+Q5+S5)/4)</f>
        <v>16.75</v>
      </c>
      <c r="Z5" s="19">
        <f t="shared" si="5"/>
        <v>355.5668999</v>
      </c>
      <c r="AA5" s="19">
        <f t="shared" si="3"/>
        <v>18</v>
      </c>
      <c r="AB5" s="19">
        <f t="shared" si="4"/>
        <v>315.4472244</v>
      </c>
      <c r="AC5" s="22" t="s">
        <v>39</v>
      </c>
    </row>
    <row r="6" ht="14.25" customHeight="1">
      <c r="B6" s="46"/>
      <c r="C6" s="47"/>
      <c r="D6" s="48"/>
      <c r="E6" s="47"/>
      <c r="F6" s="47"/>
      <c r="G6" s="47"/>
      <c r="H6" s="49"/>
      <c r="I6" s="50"/>
      <c r="J6" s="50"/>
      <c r="L6" s="15" t="s">
        <v>40</v>
      </c>
      <c r="M6" s="17">
        <f>CAJICA!M6+COTA!M7+CHIA!M6+ZIPAQUIRA!M6+TABIO!M6+TENJO!M6+SOPO!M6+GACHANCIPA!M6+TOCANCIPA!M6+NEMOCON!M6+COGUA!M6</f>
        <v>157</v>
      </c>
      <c r="N6" s="19">
        <f>M6/M4*1000</f>
        <v>37.69507803</v>
      </c>
      <c r="O6" s="17">
        <f>CAJICA!O6+COTA!O7+CHIA!O6+ZIPAQUIRA!O6+TABIO!O6+TENJO!O6+SOPO!O6+GACHANCIPA!O6+TOCANCIPA!O6+NEMOCON!O6+COGUA!O6</f>
        <v>204</v>
      </c>
      <c r="P6" s="19">
        <f>O6/O4*1000</f>
        <v>44.17496752</v>
      </c>
      <c r="Q6" s="17">
        <f>CAJICA!Q6+COTA!Q7+CHIA!Q6+ZIPAQUIRA!Q6+TABIO!Q6+TENJO!Q6+SOPO!Q6+GACHANCIPA!Q6+TOCANCIPA!Q6+NEMOCON!Q6+COGUA!Q6</f>
        <v>125</v>
      </c>
      <c r="R6" s="19">
        <f>Q6/Q4*1000</f>
        <v>26.27154266</v>
      </c>
      <c r="S6" s="17">
        <f>CAJICA!S6+COTA!S7+CHIA!S6+ZIPAQUIRA!S6+TABIO!S6+TENJO!S6+SOPO!S6+GACHANCIPA!S6+TOCANCIPA!S6+NEMOCON!S6+COGUA!S6</f>
        <v>108</v>
      </c>
      <c r="T6" s="19">
        <f>S6/S4*1000</f>
        <v>25.38190364</v>
      </c>
      <c r="U6" s="17">
        <f>CAJICA!U6+COTA!U7+CHIA!U6+ZIPAQUIRA!U6+TABIO!U6+TENJO!U6+SOPO!U6+GACHANCIPA!U6+TOCANCIPA!U6+NEMOCON!U6+COGUA!U6</f>
        <v>83</v>
      </c>
      <c r="V6" s="19">
        <f>U6/U4*1000</f>
        <v>19.13324112</v>
      </c>
      <c r="W6" s="17">
        <f>CAJICA!W6+COTA!W7+CHIA!W6+ZIPAQUIRA!W6+TABIO!W6+TENJO!W6+SOPO!W6+GACHANCIPA!W6+TOCANCIPA!W6+NEMOCON!W6+COGUA!W6</f>
        <v>54</v>
      </c>
      <c r="X6" s="19">
        <f>W6/W4*1000</f>
        <v>29.18918919</v>
      </c>
      <c r="Y6" s="19">
        <f t="shared" ref="Y6:Z6" si="6">((M6+O6+Q6+S6)/4)</f>
        <v>148.5</v>
      </c>
      <c r="Z6" s="19">
        <f t="shared" si="6"/>
        <v>33.38087296</v>
      </c>
      <c r="AA6" s="19">
        <f t="shared" si="3"/>
        <v>95.5</v>
      </c>
      <c r="AB6" s="19">
        <f t="shared" si="4"/>
        <v>24.16121516</v>
      </c>
      <c r="AC6" s="22" t="s">
        <v>28</v>
      </c>
    </row>
    <row r="7" ht="14.25" customHeight="1">
      <c r="B7" s="51" t="s">
        <v>41</v>
      </c>
      <c r="C7" s="52">
        <f>CAJICA!C7+COTA!C7+CHIA!C7+ZIPAQUIRA!C7+TABIO!C7+TENJO!C7+SOPO!C7+GACHANCIPA!C7+TOCANCIPA!C7+NEMOCON!C7+COGUA!C7</f>
        <v>447267</v>
      </c>
      <c r="D7" s="52">
        <f>CAJICA!D7+COTA!D7+CHIA!D7+ZIPAQUIRA!D7+TABIO!D7+TENJO!D7+SOPO!D7+GACHANCIPA!D7+TOCANCIPA!D7+NEMOCON!D7+COGUA!D7</f>
        <v>462373</v>
      </c>
      <c r="E7" s="52">
        <f>CAJICA!E7+COTA!E7+CHIA!E7+ZIPAQUIRA!E7+TABIO!E7+TENJO!E7+SOPO!E7+GACHANCIPA!E7+TOCANCIPA!E7+NEMOCON!E7+COGUA!E7</f>
        <v>476923</v>
      </c>
      <c r="F7" s="52">
        <f>CAJICA!F7+COTA!F7+CHIA!F7+ZIPAQUIRA!F7+TABIO!F7+TENJO!F7+SOPO!F7+GACHANCIPA!F7+TOCANCIPA!F7+NEMOCON!F7+COGUA!F7</f>
        <v>491814</v>
      </c>
      <c r="G7" s="52" t="str">
        <f>CAJICA!G7+COTA!G7+CHIA!G7+ZIPAQUIRA!G7+TABIO!G7+TENJO!G7+SOPO!G7+GACHANCIPA!G7+TOCANCIPA!G7+NEMOCON!G7+COGUA!G7</f>
        <v>#VALUE!</v>
      </c>
      <c r="H7" s="52">
        <f>CAJICA!H7+COTA!H7+CHIA!H7+ZIPAQUIRA!H7+TABIO!H7+TENJO!H7+SOPO!H7+GACHANCIPA!H7+TOCANCIPA!H7+NEMOCON!H7+COGUA!H7</f>
        <v>520454</v>
      </c>
      <c r="I7" s="53"/>
      <c r="J7" s="53"/>
      <c r="L7" s="54" t="s">
        <v>42</v>
      </c>
      <c r="M7" s="17">
        <f>CAJICA!M7+COTA!M8+CHIA!M7+ZIPAQUIRA!M7+TABIO!M7+TENJO!M7+SOPO!M7+GACHANCIPA!M7+TOCANCIPA!M7+NEMOCON!M7+COGUA!M7</f>
        <v>54</v>
      </c>
      <c r="N7" s="17">
        <f>CAJICA!N7+COTA!N7+CHIA!N7+ZIPAQUIRA!N7+TABIO!N7+TENJO!N7+SOPO!N7+GACHANCIPA!N7+TOCANCIPA!N7+NEMOCON!N7+COGUA!N7</f>
        <v>12.19512195</v>
      </c>
      <c r="O7" s="17">
        <f>CAJICA!O7+COTA!O8+CHIA!O7+ZIPAQUIRA!O7+TABIO!O7+TENJO!O7+SOPO!O7+GACHANCIPA!O7+TOCANCIPA!O7+NEMOCON!O7+COGUA!O7</f>
        <v>43</v>
      </c>
      <c r="P7" s="17">
        <f>CAJICA!P7+COTA!P7+CHIA!P7+ZIPAQUIRA!P7+TABIO!P7+TENJO!P7+SOPO!P7+GACHANCIPA!P7+TOCANCIPA!P7+NEMOCON!P7+COGUA!P7</f>
        <v>6.696428571</v>
      </c>
      <c r="Q7" s="17">
        <f>CAJICA!Q7+COTA!Q8+CHIA!Q7+ZIPAQUIRA!Q7+TABIO!Q7+TENJO!Q7+SOPO!Q7+GACHANCIPA!Q7+TOCANCIPA!Q7+NEMOCON!Q7+COGUA!Q7</f>
        <v>52</v>
      </c>
      <c r="R7" s="17">
        <f>CAJICA!R7+COTA!R7+CHIA!R7+ZIPAQUIRA!R7+TABIO!R7+TENJO!R7+SOPO!R7+GACHANCIPA!R7+TOCANCIPA!R7+NEMOCON!R7+COGUA!R7</f>
        <v>5.720823799</v>
      </c>
      <c r="S7" s="17">
        <f>CAJICA!S7+COTA!S8+CHIA!S7+ZIPAQUIRA!S7+TABIO!S7+TENJO!S7+SOPO!S7+GACHANCIPA!S7+TOCANCIPA!S7+NEMOCON!S7+COGUA!S7</f>
        <v>40</v>
      </c>
      <c r="T7" s="17">
        <f>CAJICA!T7+COTA!T7+CHIA!T7+ZIPAQUIRA!T7+TABIO!T7+TENJO!T7+SOPO!T7+GACHANCIPA!T7+TOCANCIPA!T7+NEMOCON!T7+COGUA!T7</f>
        <v>14.05152225</v>
      </c>
      <c r="U7" s="17">
        <f>CAJICA!U7+COTA!U8+CHIA!U7+ZIPAQUIRA!U7+TABIO!U7+TENJO!U7+SOPO!U7+GACHANCIPA!U7+TOCANCIPA!U7+NEMOCON!U7+COGUA!U7</f>
        <v>54</v>
      </c>
      <c r="V7" s="17">
        <f>CAJICA!V7+COTA!V7+CHIA!V7+ZIPAQUIRA!V7+TABIO!V7+TENJO!V7+SOPO!V7+GACHANCIPA!V7+TOCANCIPA!V7+NEMOCON!V7+COGUA!V7</f>
        <v>9.313154831</v>
      </c>
      <c r="W7" s="17">
        <f>CAJICA!W7+COTA!W8+CHIA!W7+ZIPAQUIRA!W7+TABIO!W7+TENJO!W7+SOPO!W7+GACHANCIPA!W7+TOCANCIPA!W7+NEMOCON!W7+COGUA!W7</f>
        <v>36</v>
      </c>
      <c r="X7" s="17">
        <f>CAJICA!X7+COTA!X7+CHIA!X7+ZIPAQUIRA!X7+TABIO!X7+TENJO!X7+SOPO!X7+GACHANCIPA!X7+TOCANCIPA!X7+NEMOCON!X7+COGUA!X7</f>
        <v>21.27659574</v>
      </c>
      <c r="Y7" s="19">
        <f t="shared" ref="Y7:Z7" si="7">((M7+O7+Q7+S7)/4)</f>
        <v>47.25</v>
      </c>
      <c r="Z7" s="19">
        <f t="shared" si="7"/>
        <v>9.665974142</v>
      </c>
      <c r="AA7" s="19">
        <f t="shared" si="3"/>
        <v>47</v>
      </c>
      <c r="AB7" s="19">
        <f t="shared" si="4"/>
        <v>15.29487529</v>
      </c>
      <c r="AC7" s="22" t="s">
        <v>43</v>
      </c>
    </row>
    <row r="8" ht="14.25" customHeight="1">
      <c r="B8" s="51" t="s">
        <v>44</v>
      </c>
      <c r="C8" s="52">
        <f>CAJICA!C8+COTA!C8+CHIA!C8+ZIPAQUIRA!C8+TABIO!C8+TENJO!C8+SOPO!C8+GACHANCIPA!C8+TOCANCIPA!C8+NEMOCON!C8+COGUA!C8</f>
        <v>293901</v>
      </c>
      <c r="D8" s="52">
        <f>CAJICA!D8+COTA!D8+CHIA!D8+ZIPAQUIRA!D8+TABIO!D8+TENJO!D8+SOPO!D8+GACHANCIPA!D8+TOCANCIPA!D8+NEMOCON!D8+COGUA!D8</f>
        <v>310406</v>
      </c>
      <c r="E8" s="52">
        <f>CAJICA!E8+COTA!E8+CHIA!E8+ZIPAQUIRA!E8+TABIO!E8+TENJO!E8+SOPO!E8+GACHANCIPA!E8+TOCANCIPA!E8+NEMOCON!E8+COGUA!E8</f>
        <v>324738</v>
      </c>
      <c r="F8" s="52">
        <f>CAJICA!F8+COTA!F8+CHIA!F8+ZIPAQUIRA!F8+TABIO!F8+TENJO!F8+SOPO!F8+GACHANCIPA!F8+TOCANCIPA!F8+NEMOCON!F8+COGUA!F8</f>
        <v>265135</v>
      </c>
      <c r="G8" s="52">
        <f>CAJICA!G8+COTA!G8+CHIA!G8+ZIPAQUIRA!G8+TABIO!G8+TENJO!G8+SOPO!G8+GACHANCIPA!G8+TOCANCIPA!G8+NEMOCON!G8+COGUA!G8</f>
        <v>275496</v>
      </c>
      <c r="H8" s="52">
        <f>CAJICA!H8+COTA!H8+CHIA!H8+ZIPAQUIRA!H8+TABIO!H8+TENJO!H8+SOPO!H8+GACHANCIPA!H8+TOCANCIPA!H8+NEMOCON!H8+COGUA!H8</f>
        <v>285257</v>
      </c>
      <c r="I8" s="60"/>
      <c r="J8" s="60"/>
      <c r="L8" s="15" t="s">
        <v>45</v>
      </c>
      <c r="M8" s="17">
        <f>CAJICA!M8+COTA!M9+CHIA!M8+ZIPAQUIRA!M8+TABIO!M8+TENJO!M8+SOPO!M8+GACHANCIPA!M8+TOCANCIPA!M8+NEMOCON!M8+COGUA!M8</f>
        <v>4</v>
      </c>
      <c r="N8" s="19">
        <f>M8/C15*1000</f>
        <v>0.1019624561</v>
      </c>
      <c r="O8" s="17">
        <f>CAJICA!O8+COTA!O9+CHIA!O8+ZIPAQUIRA!O8+TABIO!O8+TENJO!O8+SOPO!O8+GACHANCIPA!O8+TOCANCIPA!O8+NEMOCON!O8+COGUA!O8</f>
        <v>4</v>
      </c>
      <c r="P8" s="19">
        <f>O8/D15*1000</f>
        <v>0.099262465</v>
      </c>
      <c r="Q8" s="17">
        <f>CAJICA!Q8+COTA!Q9+CHIA!Q8+ZIPAQUIRA!Q8+TABIO!Q8+TENJO!Q8+SOPO!Q8+GACHANCIPA!Q8+TOCANCIPA!Q8+NEMOCON!Q8+COGUA!Q8</f>
        <v>6</v>
      </c>
      <c r="R8" s="19">
        <f>Q8/E15*1000</f>
        <v>0.1462727509</v>
      </c>
      <c r="S8" s="17">
        <f>CAJICA!S8+COTA!S9+CHIA!S8+ZIPAQUIRA!S8+TABIO!S8+TENJO!S8+SOPO!S8+GACHANCIPA!S8+TOCANCIPA!S8+NEMOCON!S8+COGUA!S8</f>
        <v>8</v>
      </c>
      <c r="T8" s="19">
        <f>S8/F15*1000</f>
        <v>0.1966698823</v>
      </c>
      <c r="U8" s="17">
        <f>CAJICA!U8+COTA!U9+CHIA!U8+ZIPAQUIRA!U8+TABIO!U8+TENJO!U8+SOPO!U8+GACHANCIPA!U8+TOCANCIPA!U8+NEMOCON!U8+COGUA!U8</f>
        <v>12</v>
      </c>
      <c r="V8" s="19">
        <f>U8/G15*1000</f>
        <v>0.2951139097</v>
      </c>
      <c r="W8" s="17">
        <f>CAJICA!W8+COTA!W9+CHIA!W8+ZIPAQUIRA!W8+TABIO!W8+TENJO!W8+SOPO!W8+GACHANCIPA!W8+TOCANCIPA!W8+NEMOCON!W8+COGUA!W8</f>
        <v>7</v>
      </c>
      <c r="X8" s="19">
        <f>W8/H15*1000</f>
        <v>0.1715045234</v>
      </c>
      <c r="Y8" s="19">
        <f t="shared" ref="Y8:Z8" si="8">((M8+O8+Q8+S8)/4)</f>
        <v>5.5</v>
      </c>
      <c r="Z8" s="19">
        <f t="shared" si="8"/>
        <v>0.1360418886</v>
      </c>
      <c r="AA8" s="19">
        <f t="shared" si="3"/>
        <v>10</v>
      </c>
      <c r="AB8" s="19">
        <f t="shared" si="4"/>
        <v>0.2333092165</v>
      </c>
      <c r="AC8" s="22" t="s">
        <v>43</v>
      </c>
    </row>
    <row r="9" ht="25.5" customHeight="1">
      <c r="B9" s="51" t="s">
        <v>47</v>
      </c>
      <c r="C9" s="52">
        <f>CAJICA!C9+COTA!C9+CHIA!C9+ZIPAQUIRA!C9+TABIO!C9+TENJO!C9+SOPO!C9+GACHANCIPA!C9+TOCANCIPA!C9+NEMOCON!C9+COGUA!C9</f>
        <v>156840</v>
      </c>
      <c r="D9" s="52">
        <f>CAJICA!D9+COTA!D9+CHIA!D9+ZIPAQUIRA!D9+TABIO!D9+TENJO!D9+SOPO!D9+GACHANCIPA!D9+TOCANCIPA!D9+NEMOCON!D9+COGUA!D9</f>
        <v>154320</v>
      </c>
      <c r="E9" s="52">
        <f>CAJICA!E9+COTA!E9+CHIA!E9+ZIPAQUIRA!E9+TABIO!E9+TENJO!E9+SOPO!E9+GACHANCIPA!E9+TOCANCIPA!E9+NEMOCON!E9+COGUA!E9</f>
        <v>156648</v>
      </c>
      <c r="F9" s="52">
        <f>CAJICA!F9+COTA!F9+CHIA!F9+ZIPAQUIRA!F9+TABIO!F9+TENJO!F9+SOPO!F9+GACHANCIPA!F9+TOCANCIPA!F9+NEMOCON!F9+COGUA!F9</f>
        <v>128238</v>
      </c>
      <c r="G9" s="52">
        <f>CAJICA!G9+COTA!G9+CHIA!G9+ZIPAQUIRA!G9+TABIO!G9+TENJO!G9+SOPO!G9+GACHANCIPA!G9+TOCANCIPA!G9+NEMOCON!G9+COGUA!G9</f>
        <v>129343</v>
      </c>
      <c r="H9" s="52">
        <f>CAJICA!H9+COTA!H9+CHIA!H9+ZIPAQUIRA!H9+TABIO!H9+TENJO!H9+SOPO!H9+GACHANCIPA!H9+TOCANCIPA!H9+NEMOCON!H9+COGUA!H9</f>
        <v>130599</v>
      </c>
      <c r="I9" s="60"/>
      <c r="J9" s="60"/>
      <c r="L9" s="15" t="s">
        <v>48</v>
      </c>
      <c r="M9" s="17">
        <f>CAJICA!M9+COTA!M10+CHIA!M9+ZIPAQUIRA!M9+TABIO!M9+TENJO!M9+SOPO!M9+GACHANCIPA!M9+TOCANCIPA!M9+NEMOCON!M9+COGUA!M9</f>
        <v>101</v>
      </c>
      <c r="N9" s="19">
        <f>M9/C7*100000</f>
        <v>22.58158997</v>
      </c>
      <c r="O9" s="17">
        <f>CAJICA!O9+COTA!O10+CHIA!O9+ZIPAQUIRA!O9+TABIO!O9+TENJO!O9+SOPO!O9+GACHANCIPA!O9+TOCANCIPA!O9+NEMOCON!O9+COGUA!O9</f>
        <v>152</v>
      </c>
      <c r="P9" s="19">
        <f>O9/D7*100000</f>
        <v>32.87389186</v>
      </c>
      <c r="Q9" s="17">
        <f>CAJICA!Q9+COTA!Q10+CHIA!Q9+ZIPAQUIRA!Q9+TABIO!Q9+TENJO!Q9+SOPO!Q9+GACHANCIPA!Q9+TOCANCIPA!Q9+NEMOCON!Q9+COGUA!Q9</f>
        <v>141</v>
      </c>
      <c r="R9" s="19">
        <f>Q9/E7*100000</f>
        <v>29.5645209</v>
      </c>
      <c r="S9" s="17">
        <f>CAJICA!S9+COTA!S10+CHIA!S9+ZIPAQUIRA!S9+TABIO!S9+TENJO!S9+SOPO!S9+GACHANCIPA!S9+TOCANCIPA!S9+NEMOCON!S9+COGUA!S9</f>
        <v>133</v>
      </c>
      <c r="T9" s="19">
        <f>S9/F7*100000</f>
        <v>27.0427438</v>
      </c>
      <c r="U9" s="17">
        <f>CAJICA!U9+COTA!U10+CHIA!U9+ZIPAQUIRA!U9+TABIO!U9+TENJO!U9+SOPO!U9+GACHANCIPA!U9+TOCANCIPA!U9+NEMOCON!U9+COGUA!U9</f>
        <v>133</v>
      </c>
      <c r="V9" s="19" t="str">
        <f>U9/G7*100000</f>
        <v>#VALUE!</v>
      </c>
      <c r="W9" s="17">
        <f>CAJICA!W9+COTA!W10+CHIA!W9+ZIPAQUIRA!W9+TABIO!W9+TENJO!W9+SOPO!W9+GACHANCIPA!W9+TOCANCIPA!W9+NEMOCON!W9+COGUA!W9</f>
        <v>67</v>
      </c>
      <c r="X9" s="19">
        <f>W9/H7*100000</f>
        <v>12.87337594</v>
      </c>
      <c r="Y9" s="19">
        <f t="shared" ref="Y9:Z9" si="9">((M9+O9+Q9+S9)/4)</f>
        <v>131.75</v>
      </c>
      <c r="Z9" s="19">
        <f t="shared" si="9"/>
        <v>28.01568663</v>
      </c>
      <c r="AA9" s="19">
        <f t="shared" si="3"/>
        <v>133</v>
      </c>
      <c r="AB9" s="19" t="str">
        <f t="shared" si="4"/>
        <v>#VALUE!</v>
      </c>
      <c r="AC9" s="22" t="s">
        <v>28</v>
      </c>
    </row>
    <row r="10" ht="14.25" customHeight="1">
      <c r="B10" s="51" t="s">
        <v>50</v>
      </c>
      <c r="C10" s="52">
        <f>CAJICA!C10+COTA!C10+CHIA!C10+ZIPAQUIRA!C10+TABIO!C10+TENJO!C10+SOPO!C10+GACHANCIPA!C10+TOCANCIPA!C10+NEMOCON!C10+COGUA!C10</f>
        <v>210175.672</v>
      </c>
      <c r="D10" s="52">
        <f>CAJICA!D10+COTA!D10+CHIA!D10+ZIPAQUIRA!D10+TABIO!D10+TENJO!D10+SOPO!D10+GACHANCIPA!D10+TOCANCIPA!D10+NEMOCON!D10+COGUA!D10</f>
        <v>203482.227</v>
      </c>
      <c r="E10" s="52" t="str">
        <f>CAJICA!E10+COTA!E10+CHIA!E10+ZIPAQUIRA!E10+TABIO!E10+TENJO!E10+SOPO!E10+GACHANCIPA!E10+TOCANCIPA!E10+NEMOCON!E10+COGUA!E10</f>
        <v>#VALUE!</v>
      </c>
      <c r="F10" s="52">
        <f>CAJICA!F10+COTA!F10+CHIA!F10+ZIPAQUIRA!F10+TABIO!F10+TENJO!F10+SOPO!F10+GACHANCIPA!F10+TOCANCIPA!F10+NEMOCON!F10+COGUA!F10</f>
        <v>231756.711</v>
      </c>
      <c r="G10" s="52">
        <f>CAJICA!G10+COTA!G10+CHIA!G10+ZIPAQUIRA!G10+TABIO!G10+TENJO!G10+SOPO!G10+GACHANCIPA!G10+TOCANCIPA!G10+NEMOCON!G10+COGUA!G10</f>
        <v>235655.002</v>
      </c>
      <c r="H10" s="52">
        <f>CAJICA!H10+COTA!H10+CHIA!H10+ZIPAQUIRA!H10+TABIO!H10+TENJO!H10+SOPO!H10+GACHANCIPA!H10+TOCANCIPA!H10+NEMOCON!H10+COGUA!H10</f>
        <v>242799.26</v>
      </c>
      <c r="I10" s="60"/>
      <c r="J10" s="60"/>
      <c r="L10" s="15" t="s">
        <v>51</v>
      </c>
      <c r="M10" s="17">
        <f>CAJICA!M10+COTA!M11+CHIA!M10+ZIPAQUIRA!M10+TABIO!M10+TENJO!M10+SOPO!M10+GACHANCIPA!M10+TOCANCIPA!M10+NEMOCON!M10+COGUA!M10</f>
        <v>0</v>
      </c>
      <c r="N10" s="19">
        <f>M10/C15*100000</f>
        <v>0</v>
      </c>
      <c r="O10" s="17">
        <f>CAJICA!O10+COTA!O11+CHIA!O10+ZIPAQUIRA!O10+TABIO!O10+TENJO!O10+SOPO!O10+GACHANCIPA!O10+TOCANCIPA!O10+NEMOCON!O10+COGUA!O10</f>
        <v>0</v>
      </c>
      <c r="P10" s="19">
        <f t="shared" ref="P10:P11" si="11">O10/D15*100000</f>
        <v>0</v>
      </c>
      <c r="Q10" s="17">
        <f>CAJICA!Q10+COTA!Q11+CHIA!Q10+ZIPAQUIRA!Q10+TABIO!Q10+TENJO!Q10+SOPO!Q10+GACHANCIPA!Q10+TOCANCIPA!Q10+NEMOCON!Q10+COGUA!Q10</f>
        <v>1</v>
      </c>
      <c r="R10" s="19">
        <f>Q10/E15*100000</f>
        <v>2.437879182</v>
      </c>
      <c r="S10" s="17">
        <f>CAJICA!S10+COTA!S11+CHIA!S10+ZIPAQUIRA!S10+TABIO!S10+TENJO!S10+SOPO!S10+GACHANCIPA!S10+TOCANCIPA!S10+NEMOCON!S10+COGUA!S10</f>
        <v>0</v>
      </c>
      <c r="T10" s="19">
        <f>S10/F15*100000</f>
        <v>0</v>
      </c>
      <c r="U10" s="17">
        <f>CAJICA!U10+COTA!U11+CHIA!U10+ZIPAQUIRA!U10+TABIO!U10+TENJO!U10+SOPO!U10+GACHANCIPA!U10+TOCANCIPA!U10+NEMOCON!U10+COGUA!U10</f>
        <v>2</v>
      </c>
      <c r="V10" s="19">
        <f>U10/G15*100000</f>
        <v>4.918565161</v>
      </c>
      <c r="W10" s="17">
        <f>CAJICA!W10+COTA!W11+CHIA!W10+ZIPAQUIRA!W10+TABIO!W10+TENJO!W10+SOPO!W10+GACHANCIPA!W10+TOCANCIPA!W10+NEMOCON!W10+COGUA!W10</f>
        <v>2</v>
      </c>
      <c r="X10" s="19">
        <f>W10/H15*100000</f>
        <v>4.900129241</v>
      </c>
      <c r="Y10" s="19">
        <f t="shared" ref="Y10:Z10" si="10">((M10+O10+Q10+S10)/4)</f>
        <v>0.25</v>
      </c>
      <c r="Z10" s="19">
        <f t="shared" si="10"/>
        <v>0.6094697954</v>
      </c>
      <c r="AA10" s="19">
        <f t="shared" si="3"/>
        <v>1</v>
      </c>
      <c r="AB10" s="19">
        <f t="shared" si="4"/>
        <v>4.909347201</v>
      </c>
      <c r="AC10" s="22" t="s">
        <v>28</v>
      </c>
    </row>
    <row r="11" ht="14.25" customHeight="1">
      <c r="B11" s="51" t="s">
        <v>52</v>
      </c>
      <c r="C11" s="52">
        <f>CAJICA!C11+COTA!C11+CHIA!C11+ZIPAQUIRA!C11+TABIO!C11+TENJO!C11+SOPO!C11+GACHANCIPA!C11+TOCANCIPA!C11+NEMOCON!C11+COGUA!C11</f>
        <v>221208.704</v>
      </c>
      <c r="D11" s="52">
        <f>CAJICA!D11+COTA!D11+CHIA!D11+ZIPAQUIRA!D11+TABIO!D11+TENJO!D11+SOPO!D11+GACHANCIPA!D11+TOCANCIPA!D11+NEMOCON!D11+COGUA!D11</f>
        <v>214274.791</v>
      </c>
      <c r="E11" s="52">
        <f>CAJICA!E11+COTA!E11+CHIA!E11+ZIPAQUIRA!E11+TABIO!E11+TENJO!E11+SOPO!E11+GACHANCIPA!E11+TOCANCIPA!E11+NEMOCON!E11+COGUA!E11</f>
        <v>236129.381</v>
      </c>
      <c r="F11" s="52">
        <f>CAJICA!F11+COTA!F11+CHIA!F11+ZIPAQUIRA!F11+TABIO!F11+TENJO!F11+SOPO!F11+GACHANCIPA!F11+TOCANCIPA!F11+NEMOCON!F11+COGUA!F11</f>
        <v>242909.663</v>
      </c>
      <c r="G11" s="52">
        <f>CAJICA!G11+COTA!G11+CHIA!G11+ZIPAQUIRA!G11+TABIO!G11+TENJO!G11+SOPO!G11+GACHANCIPA!G11+TOCANCIPA!G11+NEMOCON!G11+COGUA!G11</f>
        <v>248349.943</v>
      </c>
      <c r="H11" s="52">
        <f>CAJICA!H11+COTA!H11+CHIA!H11+ZIPAQUIRA!H11+TABIO!H11+TENJO!H11+SOPO!H11+GACHANCIPA!H11+TOCANCIPA!H11+NEMOCON!H11+COGUA!H11</f>
        <v>255235.182</v>
      </c>
      <c r="I11" s="60"/>
      <c r="J11" s="60"/>
      <c r="L11" s="15" t="s">
        <v>53</v>
      </c>
      <c r="M11" s="17">
        <f>CAJICA!M11+COTA!M12+CHIA!M11+ZIPAQUIRA!M11+TABIO!M11+TENJO!M11+SOPO!M11+GACHANCIPA!M11+TOCANCIPA!M11+NEMOCON!M11+COGUA!M11</f>
        <v>108</v>
      </c>
      <c r="N11" s="19">
        <f>M11/C15*100000</f>
        <v>275.2986315</v>
      </c>
      <c r="O11" s="17">
        <f>CAJICA!O11+COTA!O12+CHIA!O11+ZIPAQUIRA!O11+TABIO!O11+TENJO!O11+SOPO!O11+GACHANCIPA!O11+TOCANCIPA!O11+NEMOCON!O11+COGUA!O11</f>
        <v>131</v>
      </c>
      <c r="P11" s="19">
        <f t="shared" si="11"/>
        <v>37.04499883</v>
      </c>
      <c r="Q11" s="17">
        <f>CAJICA!Q11+COTA!Q12+CHIA!Q11+ZIPAQUIRA!Q11+TABIO!Q11+TENJO!Q11+SOPO!Q11+GACHANCIPA!Q11+TOCANCIPA!Q11+NEMOCON!Q11+COGUA!Q11</f>
        <v>201</v>
      </c>
      <c r="R11" s="19">
        <f>Q11/F16*100000</f>
        <v>55.02915454</v>
      </c>
      <c r="S11" s="17">
        <f>CAJICA!S11+COTA!S12+CHIA!S11+ZIPAQUIRA!S11+TABIO!S11+TENJO!S11+SOPO!S11+GACHANCIPA!S11+TOCANCIPA!S11+NEMOCON!S11+COGUA!S11</f>
        <v>233</v>
      </c>
      <c r="T11" s="19">
        <f>S11/F15*100000</f>
        <v>572.8010322</v>
      </c>
      <c r="U11" s="17">
        <f>CAJICA!U11+COTA!U12+CHIA!U11+ZIPAQUIRA!U11+TABIO!U11+TENJO!U11+SOPO!U11+GACHANCIPA!U11+TOCANCIPA!U11+NEMOCON!U11+COGUA!U11</f>
        <v>320</v>
      </c>
      <c r="V11" s="19">
        <f>U11/G15*100000</f>
        <v>786.9704258</v>
      </c>
      <c r="W11" s="17">
        <f>CAJICA!W11+COTA!W12+CHIA!W11+ZIPAQUIRA!W11+TABIO!W11+TENJO!W11+SOPO!W11+GACHANCIPA!W11+TOCANCIPA!W11+NEMOCON!W11+COGUA!W11</f>
        <v>182</v>
      </c>
      <c r="X11" s="19">
        <f>W11/H15*100000</f>
        <v>445.9117609</v>
      </c>
      <c r="Y11" s="19">
        <f t="shared" ref="Y11:Z11" si="12">((M11+O11+Q11+S11)/4)</f>
        <v>168.25</v>
      </c>
      <c r="Z11" s="19">
        <f t="shared" si="12"/>
        <v>235.0434543</v>
      </c>
      <c r="AA11" s="19">
        <f t="shared" si="3"/>
        <v>276.5</v>
      </c>
      <c r="AB11" s="19">
        <f t="shared" si="4"/>
        <v>616.4410933</v>
      </c>
      <c r="AC11" s="22" t="s">
        <v>28</v>
      </c>
    </row>
    <row r="12" ht="14.25" customHeight="1">
      <c r="B12" s="51" t="s">
        <v>54</v>
      </c>
      <c r="C12" s="52">
        <f>CAJICA!C12+COTA!C12+CHIA!C12+ZIPAQUIRA!C12+TABIO!C12+TENJO!C12+SOPO!C12+GACHANCIPA!C12+TOCANCIPA!C12+NEMOCON!C12+COGUA!C12</f>
        <v>4516</v>
      </c>
      <c r="D12" s="52">
        <f>CAJICA!D12+COTA!D12+CHIA!D12+ZIPAQUIRA!D12+TABIO!D12+TENJO!D12+SOPO!D12+GACHANCIPA!D12+TOCANCIPA!D12+NEMOCON!D12+COGUA!D12</f>
        <v>4944</v>
      </c>
      <c r="E12" s="52">
        <f>CAJICA!E12+COTA!E12+CHIA!E12+ZIPAQUIRA!E12+TABIO!E12+TENJO!E12+SOPO!E12+GACHANCIPA!E12+TOCANCIPA!E12+NEMOCON!E12+COGUA!E12</f>
        <v>5076</v>
      </c>
      <c r="F12" s="52">
        <f>CAJICA!F12+COTA!F12+CHIA!F12+ZIPAQUIRA!F12+TABIO!F12+TENJO!F12+SOPO!F12+GACHANCIPA!F12+TOCANCIPA!F12+NEMOCON!F12+COGUA!F12</f>
        <v>4575</v>
      </c>
      <c r="G12" s="52">
        <f>CAJICA!G12+COTA!G12+CHIA!G12+ZIPAQUIRA!G12+TABIO!G12+TENJO!G12+SOPO!G12+GACHANCIPA!G12+TOCANCIPA!G12+NEMOCON!G12+COGUA!G12</f>
        <v>4645</v>
      </c>
      <c r="H12" s="52">
        <f>CAJICA!H12+COTA!H12+CHIA!H12+ZIPAQUIRA!H12+TABIO!H12+TENJO!H12+SOPO!H12+GACHANCIPA!H12+TOCANCIPA!H12+NEMOCON!H12+COGUA!H12</f>
        <v>1803</v>
      </c>
      <c r="I12" s="60"/>
      <c r="J12" s="60"/>
      <c r="L12" s="15" t="s">
        <v>55</v>
      </c>
      <c r="M12" s="17">
        <f>CAJICA!M12+COTA!M13+CHIA!M12+ZIPAQUIRA!M12+TABIO!M12+TENJO!M12+SOPO!M12+GACHANCIPA!M12+TOCANCIPA!M12+NEMOCON!M12+COGUA!M12</f>
        <v>1295</v>
      </c>
      <c r="N12" s="19">
        <f>M12/C7*100000</f>
        <v>289.5362278</v>
      </c>
      <c r="O12" s="17">
        <f>CAJICA!O12+COTA!O13+CHIA!O12+ZIPAQUIRA!O12+TABIO!O12+TENJO!O12+SOPO!O12+GACHANCIPA!O12+TOCANCIPA!O12+NEMOCON!O12+COGUA!O12</f>
        <v>1635</v>
      </c>
      <c r="P12" s="19">
        <f>O12/D7*100000</f>
        <v>353.6106131</v>
      </c>
      <c r="Q12" s="17">
        <f>CAJICA!Q12+COTA!Q13+CHIA!Q12+ZIPAQUIRA!Q12+TABIO!Q12+TENJO!Q12+SOPO!Q12+GACHANCIPA!Q12+TOCANCIPA!Q12+NEMOCON!Q12+COGUA!Q12</f>
        <v>2540</v>
      </c>
      <c r="R12" s="19">
        <f>Q12/E7*100000</f>
        <v>532.5807311</v>
      </c>
      <c r="S12" s="17">
        <f>CAJICA!S12+COTA!S13+CHIA!S12+ZIPAQUIRA!S12+TABIO!S12+TENJO!S12+SOPO!S12+GACHANCIPA!S12+TOCANCIPA!S12+NEMOCON!S12+COGUA!S12</f>
        <v>2889</v>
      </c>
      <c r="T12" s="19">
        <f>S12/F7*100000</f>
        <v>587.4171943</v>
      </c>
      <c r="U12" s="17">
        <f>CAJICA!U12+COTA!U13+CHIA!U12+ZIPAQUIRA!U12+TABIO!U12+TENJO!U12+SOPO!U12+GACHANCIPA!U12+TOCANCIPA!U12+NEMOCON!U12+COGUA!U12</f>
        <v>3040</v>
      </c>
      <c r="V12" s="19" t="str">
        <f>U12/G7*100000</f>
        <v>#VALUE!</v>
      </c>
      <c r="W12" s="17">
        <f>CAJICA!W12+COTA!W13+CHIA!W12+ZIPAQUIRA!W12+TABIO!W12+TENJO!W12+SOPO!W12+GACHANCIPA!W12+TOCANCIPA!W12+NEMOCON!W12+COGUA!W12</f>
        <v>1496</v>
      </c>
      <c r="X12" s="19">
        <f>W12/H7*100000</f>
        <v>287.4413493</v>
      </c>
      <c r="Y12" s="19">
        <f t="shared" ref="Y12:Z12" si="13">((M12+O12+Q12+S12)/4)</f>
        <v>2089.75</v>
      </c>
      <c r="Z12" s="19">
        <f t="shared" si="13"/>
        <v>440.7861916</v>
      </c>
      <c r="AA12" s="19">
        <f t="shared" si="3"/>
        <v>2964.5</v>
      </c>
      <c r="AB12" s="19" t="str">
        <f t="shared" si="4"/>
        <v>#VALUE!</v>
      </c>
      <c r="AC12" s="22" t="s">
        <v>57</v>
      </c>
    </row>
    <row r="13" ht="14.25" customHeight="1">
      <c r="B13" s="51" t="s">
        <v>58</v>
      </c>
      <c r="C13" s="52">
        <f>CAJICA!C13+COTA!C13+CHIA!C13+ZIPAQUIRA!C13+TABIO!C13+TENJO!C13+SOPO!C13+GACHANCIPA!C13+TOCANCIPA!C13+NEMOCON!C13+COGUA!C13</f>
        <v>2035</v>
      </c>
      <c r="D13" s="52">
        <f>CAJICA!D13+COTA!D13+CHIA!D13+ZIPAQUIRA!D13+TABIO!D13+TENJO!D13+SOPO!D13+GACHANCIPA!D13+TOCANCIPA!D13+NEMOCON!D13+COGUA!D13</f>
        <v>2851</v>
      </c>
      <c r="E13" s="52">
        <f>CAJICA!E13+COTA!E13+CHIA!E13+ZIPAQUIRA!E13+TABIO!E13+TENJO!E13+SOPO!E13+GACHANCIPA!E13+TOCANCIPA!E13+NEMOCON!E13+COGUA!E13</f>
        <v>2150</v>
      </c>
      <c r="F13" s="52">
        <f>CAJICA!F13+COTA!F13+CHIA!F13+ZIPAQUIRA!F13+TABIO!F13+TENJO!F13+SOPO!F13+GACHANCIPA!F13+TOCANCIPA!F13+NEMOCON!F13+COGUA!F13</f>
        <v>1932</v>
      </c>
      <c r="G13" s="52">
        <f>CAJICA!G13+COTA!G13+CHIA!G13+ZIPAQUIRA!G13+TABIO!G13+TENJO!G13+SOPO!G13+GACHANCIPA!G13+TOCANCIPA!G13+NEMOCON!G13+COGUA!G13</f>
        <v>2081</v>
      </c>
      <c r="H13" s="52">
        <f>CAJICA!H13+COTA!H13+CHIA!H13+ZIPAQUIRA!H13+TABIO!H13+TENJO!H13+SOPO!H13+GACHANCIPA!H13+TOCANCIPA!H13+NEMOCON!H13+COGUA!H13</f>
        <v>960</v>
      </c>
      <c r="I13" s="60"/>
      <c r="J13" s="60"/>
      <c r="L13" s="15" t="s">
        <v>59</v>
      </c>
      <c r="M13" s="17">
        <f>CAJICA!M13+COTA!M14+CHIA!M13+ZIPAQUIRA!M13+TABIO!M13+TENJO!M13+SOPO!M13+GACHANCIPA!M13+TOCANCIPA!M13+NEMOCON!M13+COGUA!M13</f>
        <v>1002</v>
      </c>
      <c r="N13" s="19">
        <f>M13/C11*100000</f>
        <v>452.9659014</v>
      </c>
      <c r="O13" s="17">
        <f>CAJICA!O13+COTA!O14+CHIA!O13+ZIPAQUIRA!O13+TABIO!O13+TENJO!O13+SOPO!O13+GACHANCIPA!O13+TOCANCIPA!O13+NEMOCON!O13+COGUA!O13</f>
        <v>1292</v>
      </c>
      <c r="P13" s="19">
        <f>O13/D11*100000</f>
        <v>602.9640696</v>
      </c>
      <c r="Q13" s="17">
        <f>CAJICA!Q13+COTA!Q14+CHIA!Q13+ZIPAQUIRA!Q13+TABIO!Q13+TENJO!Q13+SOPO!Q13+GACHANCIPA!Q13+TOCANCIPA!Q13+NEMOCON!Q13+COGUA!Q13</f>
        <v>1978</v>
      </c>
      <c r="R13" s="19">
        <f>Q13/E11*100000</f>
        <v>837.6763585</v>
      </c>
      <c r="S13" s="17">
        <f>CAJICA!S13+COTA!S14+CHIA!S13+ZIPAQUIRA!S13+TABIO!S13+TENJO!S13+SOPO!S13+GACHANCIPA!S13+TOCANCIPA!S13+NEMOCON!S13+COGUA!S13</f>
        <v>2196</v>
      </c>
      <c r="T13" s="19">
        <f>S13/F11*100000</f>
        <v>904.039787</v>
      </c>
      <c r="U13" s="17">
        <f>CAJICA!U13+COTA!U14+CHIA!U13+ZIPAQUIRA!U13+TABIO!U13+TENJO!U13+SOPO!U13+GACHANCIPA!U13+TOCANCIPA!U13+NEMOCON!U13+COGUA!U13</f>
        <v>2282</v>
      </c>
      <c r="V13" s="19">
        <f>U13/G11*100000</f>
        <v>918.8647166</v>
      </c>
      <c r="W13" s="17">
        <f>CAJICA!W13+COTA!W14+CHIA!W13+ZIPAQUIRA!W13+TABIO!W13+TENJO!W13+SOPO!W13+GACHANCIPA!W13+TOCANCIPA!W13+NEMOCON!W13+COGUA!W13</f>
        <v>1224</v>
      </c>
      <c r="X13" s="19">
        <f>W13/H11*100000</f>
        <v>479.5577124</v>
      </c>
      <c r="Y13" s="19">
        <f t="shared" ref="Y13:Z13" si="14">((M13+O13+Q13+S13)/4)</f>
        <v>1617</v>
      </c>
      <c r="Z13" s="19">
        <f t="shared" si="14"/>
        <v>699.4115291</v>
      </c>
      <c r="AA13" s="19">
        <f t="shared" si="3"/>
        <v>2239</v>
      </c>
      <c r="AB13" s="19">
        <f t="shared" si="4"/>
        <v>699.2112145</v>
      </c>
      <c r="AC13" s="22" t="s">
        <v>57</v>
      </c>
    </row>
    <row r="14" ht="14.25" customHeight="1">
      <c r="B14" s="51" t="s">
        <v>60</v>
      </c>
      <c r="C14" s="52">
        <f>CAJICA!C14+COTA!C14+CHIA!C14+ZIPAQUIRA!C14+TABIO!C14+TENJO!C14+SOPO!C14+GACHANCIPA!C14+TOCANCIPA!C14+NEMOCON!C14+COGUA!C14</f>
        <v>9214</v>
      </c>
      <c r="D14" s="52">
        <f>CAJICA!D14+COTA!D14+CHIA!D14+ZIPAQUIRA!D14+TABIO!D14+TENJO!D14+SOPO!D14+GACHANCIPA!D14+TOCANCIPA!D14+NEMOCON!D14+COGUA!D14</f>
        <v>9379</v>
      </c>
      <c r="E14" s="52">
        <f>CAJICA!E14+COTA!E14+CHIA!E14+ZIPAQUIRA!E14+TABIO!E14+TENJO!E14+SOPO!E14+GACHANCIPA!E14+TOCANCIPA!E14+NEMOCON!E14+COGUA!E14</f>
        <v>9961</v>
      </c>
      <c r="F14" s="52">
        <f>CAJICA!F14+COTA!F14+CHIA!F14+ZIPAQUIRA!F14+TABIO!F14+TENJO!F14+SOPO!F14+GACHANCIPA!F14+TOCANCIPA!F14+NEMOCON!F14+COGUA!F14</f>
        <v>8501</v>
      </c>
      <c r="G14" s="52">
        <f>CAJICA!G14+COTA!G14+CHIA!G14+ZIPAQUIRA!G14+TABIO!G14+TENJO!G14+SOPO!G14+GACHANCIPA!G14+TOCANCIPA!G14+NEMOCON!G14+COGUA!G14</f>
        <v>9868</v>
      </c>
      <c r="H14" s="52">
        <f>CAJICA!H14+COTA!H14+CHIA!H14+ZIPAQUIRA!H14+TABIO!H14+TENJO!H14+SOPO!H14+GACHANCIPA!H14+TOCANCIPA!H14+NEMOCON!H14+COGUA!H14</f>
        <v>9951</v>
      </c>
      <c r="I14" s="60"/>
      <c r="J14" s="60"/>
      <c r="L14" s="15" t="s">
        <v>61</v>
      </c>
      <c r="M14" s="17">
        <f>CAJICA!M14+COTA!M15+CHIA!M14+ZIPAQUIRA!M14+TABIO!M14+TENJO!M14+SOPO!M14+GACHANCIPA!M14+TOCANCIPA!M14+NEMOCON!M14+COGUA!M14</f>
        <v>28</v>
      </c>
      <c r="N14" s="19">
        <f>M14/M4*1000</f>
        <v>6.722689076</v>
      </c>
      <c r="O14" s="17">
        <f>CAJICA!O14+COTA!O15+CHIA!O14+ZIPAQUIRA!O14+TABIO!O14+TENJO!O14+SOPO!O14+GACHANCIPA!O14+TOCANCIPA!O14+NEMOCON!O14+COGUA!O14</f>
        <v>24</v>
      </c>
      <c r="P14" s="19">
        <f>O14/O4*1000</f>
        <v>5.197055002</v>
      </c>
      <c r="Q14" s="17">
        <f>CAJICA!Q14+COTA!Q15+CHIA!Q14+ZIPAQUIRA!Q14+TABIO!Q14+TENJO!Q14+SOPO!Q14+GACHANCIPA!Q14+TOCANCIPA!Q14+NEMOCON!Q14+COGUA!Q14</f>
        <v>35</v>
      </c>
      <c r="R14" s="19">
        <f>Q14/Q4*1000</f>
        <v>7.356031946</v>
      </c>
      <c r="S14" s="17">
        <f>CAJICA!S14+COTA!S15+CHIA!S14+ZIPAQUIRA!S14+TABIO!S14+TENJO!S14+SOPO!S14+GACHANCIPA!S14+TOCANCIPA!S14+NEMOCON!S14+COGUA!S14</f>
        <v>25</v>
      </c>
      <c r="T14" s="19">
        <f>S14/S4*1000</f>
        <v>5.875440658</v>
      </c>
      <c r="U14" s="17">
        <f>CAJICA!U14+COTA!U15+CHIA!U14+ZIPAQUIRA!U14+TABIO!U14+TENJO!U14+SOPO!U14+GACHANCIPA!U14+TOCANCIPA!U14+NEMOCON!U14+COGUA!U14</f>
        <v>20</v>
      </c>
      <c r="V14" s="19">
        <f>U14/U4*1000</f>
        <v>4.610419548</v>
      </c>
      <c r="W14" s="17">
        <f>CAJICA!W14+COTA!W15+CHIA!W14+ZIPAQUIRA!W14+TABIO!W14+TENJO!W14+SOPO!W14+GACHANCIPA!W14+TOCANCIPA!W14+NEMOCON!W14+COGUA!W14</f>
        <v>18</v>
      </c>
      <c r="X14" s="19">
        <f>W14/W4*1000</f>
        <v>9.72972973</v>
      </c>
      <c r="Y14" s="19">
        <f t="shared" ref="Y14:Z14" si="15">((M14+O14+Q14+S14)/4)</f>
        <v>28</v>
      </c>
      <c r="Z14" s="19">
        <f t="shared" si="15"/>
        <v>6.287804171</v>
      </c>
      <c r="AA14" s="19">
        <f t="shared" si="3"/>
        <v>22.5</v>
      </c>
      <c r="AB14" s="19">
        <f t="shared" si="4"/>
        <v>7.170074639</v>
      </c>
      <c r="AC14" s="22" t="s">
        <v>28</v>
      </c>
    </row>
    <row r="15" ht="14.25" customHeight="1">
      <c r="B15" s="51" t="s">
        <v>62</v>
      </c>
      <c r="C15" s="52">
        <f>CAJICA!C15+COTA!C15+CHIA!C15+ZIPAQUIRA!C15+TABIO!C15+TENJO!C15+SOPO!C15+GACHANCIPA!C15+TOCANCIPA!C15+NEMOCON!C15+COGUA!C15</f>
        <v>39230.126</v>
      </c>
      <c r="D15" s="52">
        <f>CAJICA!D15+COTA!D15+CHIA!D15+ZIPAQUIRA!D15+TABIO!D15+TENJO!D15+SOPO!D15+GACHANCIPA!D15+TOCANCIPA!D15+NEMOCON!D15+COGUA!D15</f>
        <v>40297.206</v>
      </c>
      <c r="E15" s="52">
        <f>CAJICA!E15+COTA!E15+CHIA!E15+ZIPAQUIRA!E15+TABIO!E15+TENJO!E15+SOPO!E15+GACHANCIPA!E15+TOCANCIPA!E15+NEMOCON!E15+COGUA!E15</f>
        <v>41019.26</v>
      </c>
      <c r="F15" s="52">
        <f>CAJICA!F15+COTA!F15+CHIA!F15+ZIPAQUIRA!F15+TABIO!F15+TENJO!F15+SOPO!F15+GACHANCIPA!F15+TOCANCIPA!F15+NEMOCON!F15+COGUA!F15</f>
        <v>40677.301</v>
      </c>
      <c r="G15" s="52">
        <f>CAJICA!G15+COTA!G15+CHIA!G15+ZIPAQUIRA!G15+TABIO!G15+TENJO!G15+SOPO!G15+GACHANCIPA!G15+TOCANCIPA!G15+NEMOCON!G15+COGUA!G15</f>
        <v>40662.265</v>
      </c>
      <c r="H15" s="52">
        <f>CAJICA!H15+COTA!H15+CHIA!H15+ZIPAQUIRA!H15+TABIO!H15+TENJO!H15+SOPO!H15+GACHANCIPA!H15+TOCANCIPA!H15+NEMOCON!H15+COGUA!H15</f>
        <v>40815.25</v>
      </c>
      <c r="I15" s="60"/>
      <c r="J15" s="60"/>
      <c r="L15" s="15" t="s">
        <v>63</v>
      </c>
      <c r="M15" s="17">
        <f>CAJICA!M15+COTA!M16+CHIA!M15+ZIPAQUIRA!M15+TABIO!M15+TENJO!M15+SOPO!M15+GACHANCIPA!M15+TOCANCIPA!M15+NEMOCON!M15+COGUA!M15</f>
        <v>75</v>
      </c>
      <c r="N15" s="19">
        <f>M15/C15*100000</f>
        <v>191.1796052</v>
      </c>
      <c r="O15" s="17">
        <f>CAJICA!O15+COTA!O16+CHIA!O15+ZIPAQUIRA!O15+TABIO!O15+TENJO!O15+SOPO!O15+GACHANCIPA!O15+TOCANCIPA!O15+NEMOCON!O15+COGUA!O15</f>
        <v>59</v>
      </c>
      <c r="P15" s="19">
        <f>O15/D15*100000</f>
        <v>146.4121359</v>
      </c>
      <c r="Q15" s="17">
        <f>CAJICA!Q15+COTA!Q16+CHIA!Q15+ZIPAQUIRA!Q15+TABIO!Q15+TENJO!Q15+SOPO!Q15+GACHANCIPA!Q15+TOCANCIPA!Q15+NEMOCON!Q15+COGUA!Q15</f>
        <v>67</v>
      </c>
      <c r="R15" s="19">
        <f>Q15/E15*100000</f>
        <v>163.3379052</v>
      </c>
      <c r="S15" s="17">
        <f>CAJICA!S15+COTA!S16+CHIA!S15+ZIPAQUIRA!S15+TABIO!S15+TENJO!S15+SOPO!S15+GACHANCIPA!S15+TOCANCIPA!S15+NEMOCON!S15+COGUA!S15</f>
        <v>64</v>
      </c>
      <c r="T15" s="19">
        <f>S15/F15*100000</f>
        <v>157.3359058</v>
      </c>
      <c r="U15" s="17">
        <f>CAJICA!U15+COTA!U16+CHIA!U15+ZIPAQUIRA!U15+TABIO!U15+TENJO!U15+SOPO!U15+GACHANCIPA!U15+TOCANCIPA!U15+NEMOCON!U15+COGUA!U15</f>
        <v>61</v>
      </c>
      <c r="V15" s="19">
        <f>U15/G15*100000</f>
        <v>150.0162374</v>
      </c>
      <c r="W15" s="17">
        <f>CAJICA!W15+COTA!W16+CHIA!W15+ZIPAQUIRA!W15+TABIO!W15+TENJO!W15+SOPO!W15+GACHANCIPA!W15+TOCANCIPA!W15+NEMOCON!W15+COGUA!W15</f>
        <v>28</v>
      </c>
      <c r="X15" s="19">
        <f>W15/H15*100000</f>
        <v>68.60180937</v>
      </c>
      <c r="Y15" s="19">
        <f t="shared" ref="Y15:Z15" si="16">((M15+O15+Q15+S15)/4)</f>
        <v>66.25</v>
      </c>
      <c r="Z15" s="19">
        <f t="shared" si="16"/>
        <v>164.566388</v>
      </c>
      <c r="AA15" s="19">
        <f t="shared" si="3"/>
        <v>62.5</v>
      </c>
      <c r="AB15" s="19">
        <f t="shared" si="4"/>
        <v>109.3090234</v>
      </c>
      <c r="AC15" s="22" t="s">
        <v>28</v>
      </c>
    </row>
    <row r="16" ht="14.25" customHeight="1">
      <c r="B16" s="51" t="s">
        <v>64</v>
      </c>
      <c r="C16" s="52">
        <f>CAJICA!C16+COTA!C16+CHIA!C16+ZIPAQUIRA!C16+TABIO!C16+TENJO!C16+SOPO!C16+GACHANCIPA!C16+TOCANCIPA!C16+NEMOCON!C16+COGUA!C16</f>
        <v>334538.388</v>
      </c>
      <c r="D16" s="52">
        <f>CAJICA!D16+COTA!D16+CHIA!D16+ZIPAQUIRA!D16+TABIO!D16+TENJO!D16+SOPO!D16+GACHANCIPA!D16+TOCANCIPA!D16+NEMOCON!D16+COGUA!D16</f>
        <v>353623.982</v>
      </c>
      <c r="E16" s="52">
        <f>CAJICA!E16+COTA!E16+CHIA!E16+ZIPAQUIRA!E16+TABIO!E16+TENJO!E16+SOPO!E16+GACHANCIPA!E16+TOCANCIPA!E16+NEMOCON!E16+COGUA!E16</f>
        <v>355547.47</v>
      </c>
      <c r="F16" s="52">
        <f>CAJICA!F16+COTA!F16+CHIA!F16+ZIPAQUIRA!F16+TABIO!F16+TENJO!F16+SOPO!F16+GACHANCIPA!F16+TOCANCIPA!F16+NEMOCON!F16+COGUA!F16</f>
        <v>365260.927</v>
      </c>
      <c r="G16" s="52">
        <f>CAJICA!G16+COTA!G16+CHIA!G16+ZIPAQUIRA!G16+TABIO!G16+TENJO!G16+SOPO!G16+GACHANCIPA!G16+TOCANCIPA!G16+NEMOCON!G16+COGUA!G16</f>
        <v>376078.455</v>
      </c>
      <c r="H16" s="52">
        <f>CAJICA!H16+COTA!H16+CHIA!H16+ZIPAQUIRA!H16+TABIO!H16+TENJO!H16+SOPO!H16+GACHANCIPA!H16+TOCANCIPA!H16+NEMOCON!H16+COGUA!H16</f>
        <v>387730.91</v>
      </c>
      <c r="I16" s="60"/>
      <c r="J16" s="60"/>
      <c r="L16" s="15" t="s">
        <v>65</v>
      </c>
      <c r="M16" s="17">
        <f>CAJICA!M16+COTA!M17+CHIA!M16+ZIPAQUIRA!M16+TABIO!M16+TENJO!M16+SOPO!M16+GACHANCIPA!M16+TOCANCIPA!M16+NEMOCON!M16+COGUA!M16</f>
        <v>538</v>
      </c>
      <c r="N16" s="19">
        <f>M16/M4*100</f>
        <v>12.91716687</v>
      </c>
      <c r="O16" s="17">
        <f>CAJICA!O16+COTA!O17+CHIA!O16+ZIPAQUIRA!O16+TABIO!O16+TENJO!O16+SOPO!O16+GACHANCIPA!O16+TOCANCIPA!O16+NEMOCON!O16+COGUA!O16</f>
        <v>612</v>
      </c>
      <c r="P16" s="19">
        <f>O16/O4*100</f>
        <v>13.25249026</v>
      </c>
      <c r="Q16" s="17">
        <f>CAJICA!Q16+COTA!Q17+CHIA!Q16+ZIPAQUIRA!Q16+TABIO!Q16+TENJO!Q16+SOPO!Q16+GACHANCIPA!Q16+TOCANCIPA!Q16+NEMOCON!Q16+COGUA!Q16</f>
        <v>555</v>
      </c>
      <c r="R16" s="19">
        <f>Q16/Q4*100</f>
        <v>11.66456494</v>
      </c>
      <c r="S16" s="17">
        <f>CAJICA!S16+COTA!S17+CHIA!S16+ZIPAQUIRA!S16+TABIO!S16+TENJO!S16+SOPO!S16+GACHANCIPA!S16+TOCANCIPA!S16+NEMOCON!S16+COGUA!S16</f>
        <v>491</v>
      </c>
      <c r="T16" s="19">
        <f>S16/S4*100</f>
        <v>11.53936545</v>
      </c>
      <c r="U16" s="17">
        <f>CAJICA!U16+COTA!U17+CHIA!U16+ZIPAQUIRA!U16+TABIO!U16+TENJO!U16+SOPO!U16+GACHANCIPA!U16+TOCANCIPA!U16+NEMOCON!U16+COGUA!U16</f>
        <v>505</v>
      </c>
      <c r="V16" s="19">
        <f>U16/U4*100</f>
        <v>11.64130936</v>
      </c>
      <c r="W16" s="17">
        <f>CAJICA!W16+COTA!W17+CHIA!W16+ZIPAQUIRA!W16+TABIO!W16+TENJO!W16+SOPO!W16+GACHANCIPA!W16+TOCANCIPA!W16+NEMOCON!W16+COGUA!W16</f>
        <v>219</v>
      </c>
      <c r="X16" s="19">
        <f>W16/W4*100</f>
        <v>11.83783784</v>
      </c>
      <c r="Y16" s="19">
        <f t="shared" ref="Y16:Z16" si="17">((M16+O16+Q16+S16)/4)</f>
        <v>549</v>
      </c>
      <c r="Z16" s="19">
        <f t="shared" si="17"/>
        <v>12.34339688</v>
      </c>
      <c r="AA16" s="19">
        <f t="shared" si="3"/>
        <v>498</v>
      </c>
      <c r="AB16" s="19">
        <f t="shared" si="4"/>
        <v>11.7395736</v>
      </c>
      <c r="AC16" s="22" t="s">
        <v>30</v>
      </c>
    </row>
    <row r="17" ht="14.25" customHeight="1">
      <c r="B17" s="51" t="s">
        <v>66</v>
      </c>
      <c r="C17" s="52">
        <f>CAJICA!C17+COTA!C17+CHIA!C17+ZIPAQUIRA!C17+TABIO!C17+TENJO!C17+SOPO!C17+GACHANCIPA!C17+TOCANCIPA!C17+NEMOCON!C17+COGUA!C17</f>
        <v>130487.663</v>
      </c>
      <c r="D17" s="52">
        <f>CAJICA!D17+COTA!D17+CHIA!D17+ZIPAQUIRA!D17+TABIO!D17+TENJO!D17+SOPO!D17+GACHANCIPA!D17+TOCANCIPA!D17+NEMOCON!D17+COGUA!D17</f>
        <v>133120.866</v>
      </c>
      <c r="E17" s="52">
        <f>CAJICA!E17+COTA!E17+CHIA!E17+ZIPAQUIRA!E17+TABIO!E17+TENJO!E17+SOPO!E17+GACHANCIPA!E17+TOCANCIPA!E17+NEMOCON!E17+COGUA!E17</f>
        <v>136414.024</v>
      </c>
      <c r="F17" s="52">
        <f>CAJICA!F17+COTA!F17+CHIA!F17+ZIPAQUIRA!F17+TABIO!F17+TENJO!F17+SOPO!F17+GACHANCIPA!F17+TOCANCIPA!F17+NEMOCON!F17+COGUA!F17</f>
        <v>138792.174</v>
      </c>
      <c r="G17" s="52">
        <f>CAJICA!G17+COTA!G17+CHIA!G17+ZIPAQUIRA!G17+TABIO!G17+TENJO!G17+SOPO!G17+GACHANCIPA!G17+TOCANCIPA!G17+NEMOCON!G17+COGUA!G17</f>
        <v>137852.27</v>
      </c>
      <c r="H17" s="52">
        <f>CAJICA!H17+COTA!H17+CHIA!H17+ZIPAQUIRA!H17+TABIO!H17+TENJO!H17+SOPO!H17+GACHANCIPA!H17+TOCANCIPA!H17+NEMOCON!H17+COGUA!H17</f>
        <v>139951.334</v>
      </c>
      <c r="I17" s="60"/>
      <c r="J17" s="60"/>
      <c r="L17" s="15" t="s">
        <v>67</v>
      </c>
      <c r="M17" s="17">
        <f>CAJICA!M17+COTA!M18+CHIA!M17+ZIPAQUIRA!M17+TABIO!M17+TENJO!M17+SOPO!M17+GACHANCIPA!M17+TOCANCIPA!M17+NEMOCON!M17+COGUA!M17</f>
        <v>199</v>
      </c>
      <c r="N17" s="19">
        <f>M17/M4*100</f>
        <v>4.777911164</v>
      </c>
      <c r="O17" s="17">
        <f>CAJICA!O17+COTA!O18+CHIA!O17+ZIPAQUIRA!O17+TABIO!O17+TENJO!O17+SOPO!O17+GACHANCIPA!O17+TOCANCIPA!O17+NEMOCON!O17+COGUA!O17</f>
        <v>240</v>
      </c>
      <c r="P17" s="19">
        <f>O17/O4*100</f>
        <v>5.197055002</v>
      </c>
      <c r="Q17" s="17">
        <f>CAJICA!Q17+COTA!Q18+CHIA!Q17+ZIPAQUIRA!Q17+TABIO!Q17+TENJO!Q17+SOPO!Q17+GACHANCIPA!Q17+TOCANCIPA!Q17+NEMOCON!Q17+COGUA!Q17</f>
        <v>237</v>
      </c>
      <c r="R17" s="19">
        <f>Q17/Q4*100</f>
        <v>4.981084489</v>
      </c>
      <c r="S17" s="17">
        <f>CAJICA!S17+COTA!S18+CHIA!S17+ZIPAQUIRA!S17+TABIO!S17+TENJO!S17+SOPO!S17+GACHANCIPA!S17+TOCANCIPA!S17+NEMOCON!S17+COGUA!S17</f>
        <v>220</v>
      </c>
      <c r="T17" s="19">
        <f>S17/S4*100</f>
        <v>5.170387779</v>
      </c>
      <c r="U17" s="17">
        <f>CAJICA!U17+COTA!U18+CHIA!U17+ZIPAQUIRA!U17+TABIO!U17+TENJO!U17+SOPO!U17+GACHANCIPA!U17+TOCANCIPA!U17+NEMOCON!U17+COGUA!U17</f>
        <v>258</v>
      </c>
      <c r="V17" s="19">
        <f>U17/U4*100</f>
        <v>5.947441217</v>
      </c>
      <c r="W17" s="17">
        <f>CAJICA!W17+COTA!W18+CHIA!W17+ZIPAQUIRA!W17+TABIO!W17+TENJO!W17+SOPO!W17+GACHANCIPA!W17+TOCANCIPA!W17+NEMOCON!W17+COGUA!W17</f>
        <v>103</v>
      </c>
      <c r="X17" s="19">
        <f>W17/W4*100</f>
        <v>5.567567568</v>
      </c>
      <c r="Y17" s="19">
        <f t="shared" ref="Y17:Z17" si="18">((M17+O17+Q17+S17)/4)</f>
        <v>224</v>
      </c>
      <c r="Z17" s="19">
        <f t="shared" si="18"/>
        <v>5.031609609</v>
      </c>
      <c r="AA17" s="19">
        <f t="shared" si="3"/>
        <v>239</v>
      </c>
      <c r="AB17" s="19">
        <f t="shared" si="4"/>
        <v>5.757504392</v>
      </c>
      <c r="AC17" s="22" t="s">
        <v>30</v>
      </c>
    </row>
    <row r="18" ht="14.25" customHeight="1">
      <c r="B18" s="51" t="s">
        <v>68</v>
      </c>
      <c r="C18" s="52">
        <f>CAJICA!C18+COTA!C18+CHIA!C18+ZIPAQUIRA!C18+TABIO!C18+TENJO!C18+SOPO!C18+GACHANCIPA!C18+TOCANCIPA!C18+NEMOCON!C18+COGUA!C18</f>
        <v>396368.503</v>
      </c>
      <c r="D18" s="52">
        <f>CAJICA!D18+COTA!D18+CHIA!D18+ZIPAQUIRA!D18+TABIO!D18+TENJO!D18+SOPO!D18+GACHANCIPA!D18+TOCANCIPA!D18+NEMOCON!D18+COGUA!D18</f>
        <v>417996.229</v>
      </c>
      <c r="E18" s="52">
        <f>CAJICA!E18+COTA!E18+CHIA!E18+ZIPAQUIRA!E18+TABIO!E18+TENJO!E18+SOPO!E18+GACHANCIPA!E18+TOCANCIPA!E18+NEMOCON!E18+COGUA!E18</f>
        <v>420203.811</v>
      </c>
      <c r="F18" s="52">
        <f>CAJICA!F18+COTA!F18+CHIA!F18+ZIPAQUIRA!F18+TABIO!F18+TENJO!F18+SOPO!F18+GACHANCIPA!F18+TOCANCIPA!F18+NEMOCON!F18+COGUA!F18</f>
        <v>432202.35</v>
      </c>
      <c r="G18" s="52">
        <f>CAJICA!G18+COTA!G18+CHIA!G18+ZIPAQUIRA!G18+TABIO!G18+TENJO!G18+SOPO!G18+GACHANCIPA!G18+TOCANCIPA!G18+NEMOCON!G18+COGUA!G18</f>
        <v>441767.888</v>
      </c>
      <c r="H18" s="52">
        <f>CAJICA!H18+COTA!H18+CHIA!H18+ZIPAQUIRA!H18+TABIO!H18+TENJO!H18+SOPO!H18+GACHANCIPA!H18+TOCANCIPA!H18+NEMOCON!H18+COGUA!H18</f>
        <v>451382.353</v>
      </c>
      <c r="I18" s="60"/>
      <c r="J18" s="60"/>
      <c r="L18" s="15" t="s">
        <v>69</v>
      </c>
      <c r="M18" s="17">
        <f>CAJICA!M18+COTA!M19+CHIA!M18+ZIPAQUIRA!M18+TABIO!M18+TENJO!M18+SOPO!M18+GACHANCIPA!M18+TOCANCIPA!M18+NEMOCON!M18+COGUA!M18</f>
        <v>117</v>
      </c>
      <c r="N18" s="57">
        <f>M18/C15*1000</f>
        <v>2.982401841</v>
      </c>
      <c r="O18" s="17">
        <f>CAJICA!O18+COTA!O19+CHIA!O18+ZIPAQUIRA!O18+TABIO!O18+TENJO!O18+SOPO!O18+GACHANCIPA!O18+TOCANCIPA!O18+NEMOCON!O18+COGUA!O18</f>
        <v>112</v>
      </c>
      <c r="P18" s="57">
        <f>O18/D15*1000</f>
        <v>2.77934902</v>
      </c>
      <c r="Q18" s="17">
        <f>CAJICA!Q18+COTA!Q19+CHIA!Q18+ZIPAQUIRA!Q18+TABIO!Q18+TENJO!Q18+SOPO!Q18+GACHANCIPA!Q18+TOCANCIPA!Q18+NEMOCON!Q18+COGUA!Q18</f>
        <v>213</v>
      </c>
      <c r="R18" s="57">
        <f>Q18/E15*1000</f>
        <v>5.192682657</v>
      </c>
      <c r="S18" s="17">
        <f>CAJICA!S18+COTA!S19+CHIA!S18+ZIPAQUIRA!S18+TABIO!S18+TENJO!S18+SOPO!S18+GACHANCIPA!S18+TOCANCIPA!S18+NEMOCON!S18+COGUA!S18</f>
        <v>152</v>
      </c>
      <c r="T18" s="57">
        <f>S18/F15*1000</f>
        <v>3.736727764</v>
      </c>
      <c r="U18" s="17">
        <f>CAJICA!U18+COTA!U19+CHIA!U18+ZIPAQUIRA!U18+TABIO!U18+TENJO!U18+SOPO!U18+GACHANCIPA!U18+TOCANCIPA!U18+NEMOCON!U18+COGUA!U18</f>
        <v>257</v>
      </c>
      <c r="V18" s="57">
        <f>U18/G15*1000</f>
        <v>6.320356232</v>
      </c>
      <c r="W18" s="17">
        <f>CAJICA!W18+COTA!W19+CHIA!W18+ZIPAQUIRA!W18+TABIO!W18+TENJO!W18+SOPO!W18+GACHANCIPA!W18+TOCANCIPA!W18+NEMOCON!W18+COGUA!W18</f>
        <v>114</v>
      </c>
      <c r="X18" s="57">
        <f>W18/H15*1000</f>
        <v>2.793073667</v>
      </c>
      <c r="Y18" s="19">
        <f t="shared" ref="Y18:Z18" si="19">((M18+O18+Q18+S18)/4)</f>
        <v>148.5</v>
      </c>
      <c r="Z18" s="19">
        <f t="shared" si="19"/>
        <v>3.67279032</v>
      </c>
      <c r="AA18" s="19">
        <f t="shared" si="3"/>
        <v>204.5</v>
      </c>
      <c r="AB18" s="19">
        <f t="shared" si="4"/>
        <v>4.55671495</v>
      </c>
      <c r="AC18" s="22" t="s">
        <v>57</v>
      </c>
    </row>
    <row r="19" ht="14.25" customHeight="1">
      <c r="B19" s="51" t="s">
        <v>70</v>
      </c>
      <c r="C19" s="52">
        <f>CAJICA!C19+COTA!C19+CHIA!C19+ZIPAQUIRA!C19+TABIO!C19+TENJO!C19+SOPO!C19+GACHANCIPA!C19+TOCANCIPA!A19+NEMOCON!C19+COGUA!C19</f>
        <v>241819.84</v>
      </c>
      <c r="D19" s="52">
        <f>CAJICA!D19+COTA!D19+CHIA!D19+ZIPAQUIRA!D19+TABIO!D19+TENJO!D19+SOPO!D19+GACHANCIPA!D19+TOCANCIPA!D19+NEMOCON!D19+COGUA!D19</f>
        <v>289157.363</v>
      </c>
      <c r="E19" s="52">
        <f>CAJICA!E19+COTA!E19+CHIA!E19+ZIPAQUIRA!E19+TABIO!E19+TENJO!E19+SOPO!E19+GACHANCIPA!E19+TOCANCIPA!E19+NEMOCON!E19+COGUA!E19</f>
        <v>289131.787</v>
      </c>
      <c r="F19" s="52">
        <f>CAJICA!F19+COTA!F19+CHIA!F19+ZIPAQUIRA!F19+TABIO!F19+TENJO!F19+SOPO!F19+GACHANCIPA!F19+TOCANCIPA!F19+NEMOCON!F19+COGUA!F19</f>
        <v>297566.176</v>
      </c>
      <c r="G19" s="52">
        <f>CAJICA!G19+COTA!G19+CHIA!G19+ZIPAQUIRA!G19+TABIO!G19+TENJO!G19+SOPO!G19+GACHANCIPA!G19+TOCANCIPA!G19+NEMOCON!G19+COGUA!G19</f>
        <v>309578.618</v>
      </c>
      <c r="H19" s="52">
        <f>CAJICA!H19+COTA!H19+CHIA!H19+ZIPAQUIRA!H19+TABIO!H19+TENJO!H19+SOPO!H19+GACHANCIPA!H19+TOCANCIPA!H19+NEMOCON!H19+COGUA!H19</f>
        <v>316219.019</v>
      </c>
      <c r="I19" s="60"/>
      <c r="J19" s="60"/>
      <c r="L19" s="15" t="s">
        <v>71</v>
      </c>
      <c r="M19" s="17">
        <f>CAJICA!M19+COTA!M20+CHIA!M19+ZIPAQUIRA!M19+TABIO!M19+TENJO!M19+SOPO!M19+GACHANCIPA!M19+TOCANCIPA!M19+NEMOCON!M19+COGUA!M19</f>
        <v>387</v>
      </c>
      <c r="N19" s="19">
        <f>M19/M4*100</f>
        <v>9.291716687</v>
      </c>
      <c r="O19" s="17">
        <f>CAJICA!O19+COTA!O20+CHIA!O19+ZIPAQUIRA!O19+TABIO!O19+TENJO!O19+SOPO!O19+GACHANCIPA!O19+TOCANCIPA!O19+NEMOCON!O19+COGUA!O19</f>
        <v>304</v>
      </c>
      <c r="P19" s="19">
        <f>O19/O4*100</f>
        <v>6.582936336</v>
      </c>
      <c r="Q19" s="17">
        <f>CAJICA!Q19+COTA!Q20+CHIA!Q19+ZIPAQUIRA!Q19+TABIO!Q19+TENJO!Q19+SOPO!Q19+GACHANCIPA!Q19+TOCANCIPA!Q19+NEMOCON!Q19+COGUA!Q19</f>
        <v>329</v>
      </c>
      <c r="R19" s="19">
        <f>Q19/Q4*100</f>
        <v>6.914670029</v>
      </c>
      <c r="S19" s="17">
        <f>CAJICA!S19+COTA!S20+CHIA!S19+ZIPAQUIRA!S19+TABIO!S19+TENJO!S19+SOPO!S19+GACHANCIPA!S19+TOCANCIPA!S19+NEMOCON!S19+COGUA!S19</f>
        <v>271</v>
      </c>
      <c r="T19" s="19">
        <f>S19/S4*100</f>
        <v>6.368977673</v>
      </c>
      <c r="U19" s="17">
        <f>CAJICA!U19+COTA!U20+CHIA!U19+ZIPAQUIRA!U19+TABIO!U19+TENJO!U19+SOPO!U19+GACHANCIPA!U19+TOCANCIPA!U19+NEMOCON!U19+COGUA!U19</f>
        <v>232</v>
      </c>
      <c r="V19" s="19">
        <f>U19/U4*100</f>
        <v>5.348086676</v>
      </c>
      <c r="W19" s="17">
        <f>CAJICA!W19+COTA!W20+CHIA!W19+ZIPAQUIRA!W19+TABIO!W19+TENJO!W19+SOPO!W19+GACHANCIPA!W19+TOCANCIPA!W19+NEMOCON!W19+COGUA!W19</f>
        <v>105</v>
      </c>
      <c r="X19" s="19">
        <f>W19/W4*100</f>
        <v>5.675675676</v>
      </c>
      <c r="Y19" s="19">
        <f t="shared" ref="Y19:Z19" si="20">((M19+O19+Q19+S19)/4)</f>
        <v>322.75</v>
      </c>
      <c r="Z19" s="19">
        <f t="shared" si="20"/>
        <v>7.289575181</v>
      </c>
      <c r="AA19" s="19">
        <f t="shared" si="3"/>
        <v>251.5</v>
      </c>
      <c r="AB19" s="19">
        <f t="shared" si="4"/>
        <v>5.511881176</v>
      </c>
      <c r="AC19" s="22" t="s">
        <v>72</v>
      </c>
    </row>
    <row r="20" ht="14.25" customHeight="1">
      <c r="B20" s="51" t="s">
        <v>73</v>
      </c>
      <c r="C20" s="52">
        <f>CAJICA!C20+COTA!C20+CHIA!C20+ZIPAQUIRA!C20+TABIO!C20+TENJO!C20+SOPO!C20+GACHANCIPA!C20+TOCANCIPA!C20+NEMOCON!C20+COGUA!C20</f>
        <v>16450</v>
      </c>
      <c r="D20" s="52">
        <f>CAJICA!D20+COTA!D20+CHIA!D20+ZIPAQUIRA!D20+TABIO!D20+TENJO!D20+SOPO!D20+GACHANCIPA!D20+TOCANCIPA!D20+NEMOCON!D20+COGUA!D20</f>
        <v>18550</v>
      </c>
      <c r="E20" s="52">
        <f>CAJICA!E20+COTA!E20+CHIA!E20+ZIPAQUIRA!E20+TABIO!E20+TENJO!E20+SOPO!E20+GACHANCIPA!E20+TOCANCIPA!E20+NEMOCON!E20+COGUA!E20</f>
        <v>18929</v>
      </c>
      <c r="F20" s="52">
        <f>CAJICA!F20+COTA!F20+CHIA!F20+ZIPAQUIRA!F20+TABIO!F20+TENJO!F20+SOPO!F20+GACHANCIPA!F20+TOCANCIPA!F20+NEMOCON!F20+COGUA!F20</f>
        <v>19365</v>
      </c>
      <c r="G20" s="52">
        <f>CAJICA!G20+COTA!G20+CHIA!G20+ZIPAQUIRA!G20+TABIO!G20+TENJO!G20+SOPO!G20+GACHANCIPA!G20+TOCANCIPA!G20+NEMOCON!G20+COGUA!G20</f>
        <v>19610</v>
      </c>
      <c r="H20" s="52">
        <f>CAJICA!H20+COTA!H20+CHIA!H20+ZIPAQUIRA!H20+TABIO!H20+TENJO!H20+SOPO!H20+GACHANCIPA!H20+TOCANCIPA!H20+NEMOCON!H20+COGUA!H20</f>
        <v>20142</v>
      </c>
      <c r="I20" s="60"/>
      <c r="J20" s="60"/>
      <c r="L20" s="15" t="s">
        <v>74</v>
      </c>
      <c r="M20" s="17">
        <f>CAJICA!M20+COTA!M21+CHIA!M20+ZIPAQUIRA!M20+TABIO!M20+TENJO!M20+SOPO!M20+GACHANCIPA!M20+TOCANCIPA!M20+NEMOCON!M20+COGUA!M20</f>
        <v>62</v>
      </c>
      <c r="N20" s="19">
        <f t="shared" ref="N20:N21" si="22">M20/C20*1000</f>
        <v>3.76899696</v>
      </c>
      <c r="O20" s="17">
        <f>CAJICA!O20+COTA!O21+CHIA!O20+ZIPAQUIRA!O20+TABIO!O20+TENJO!O20+SOPO!O20+GACHANCIPA!O20+TOCANCIPA!O20+NEMOCON!O20+COGUA!O20</f>
        <v>42</v>
      </c>
      <c r="P20" s="19">
        <f t="shared" ref="P20:P21" si="23">O20/D20*1000</f>
        <v>2.264150943</v>
      </c>
      <c r="Q20" s="17">
        <f>CAJICA!Q20+COTA!Q21+CHIA!Q20+ZIPAQUIRA!Q20+TABIO!Q20+TENJO!Q20+SOPO!Q20+GACHANCIPA!Q20+TOCANCIPA!Q20+NEMOCON!Q20+COGUA!Q20</f>
        <v>48</v>
      </c>
      <c r="R20" s="19">
        <f t="shared" ref="R20:R21" si="24">Q20/E20*1000</f>
        <v>2.535791642</v>
      </c>
      <c r="S20" s="17">
        <f>CAJICA!S20+COTA!S21+CHIA!S20+ZIPAQUIRA!S20+TABIO!S20+TENJO!S20+SOPO!S20+GACHANCIPA!S20+TOCANCIPA!S20+NEMOCON!S20+COGUA!S20</f>
        <v>26</v>
      </c>
      <c r="T20" s="19">
        <f t="shared" ref="T20:T21" si="25">S20/F20*1000</f>
        <v>1.342628453</v>
      </c>
      <c r="U20" s="17">
        <f>CAJICA!U20+COTA!U21+CHIA!U20+ZIPAQUIRA!U20+TABIO!U20+TENJO!U20+SOPO!U20+GACHANCIPA!U20+TOCANCIPA!U20+NEMOCON!U20+COGUA!U20</f>
        <v>32</v>
      </c>
      <c r="V20" s="19">
        <f t="shared" ref="V20:V21" si="26">U20/G20*1000</f>
        <v>1.6318205</v>
      </c>
      <c r="W20" s="17">
        <f>CAJICA!W20+COTA!W21+CHIA!W20+ZIPAQUIRA!W20+TABIO!W20+TENJO!W20+SOPO!W20+GACHANCIPA!W20+TOCANCIPA!W20+NEMOCON!W20+COGUA!W20</f>
        <v>16</v>
      </c>
      <c r="X20" s="19">
        <f t="shared" ref="X20:X21" si="27">W20/H20*1000</f>
        <v>0.7943600437</v>
      </c>
      <c r="Y20" s="19">
        <f t="shared" ref="Y20:Z20" si="21">((M20+O20+Q20+S20)/4)</f>
        <v>44.5</v>
      </c>
      <c r="Z20" s="19">
        <f t="shared" si="21"/>
        <v>2.477892</v>
      </c>
      <c r="AA20" s="19">
        <f t="shared" si="3"/>
        <v>29</v>
      </c>
      <c r="AB20" s="19">
        <f t="shared" si="4"/>
        <v>1.213090272</v>
      </c>
      <c r="AC20" s="22" t="s">
        <v>72</v>
      </c>
    </row>
    <row r="21" ht="14.25" customHeight="1">
      <c r="B21" s="51" t="s">
        <v>75</v>
      </c>
      <c r="C21" s="52">
        <f>CAJICA!C21+COTA!C21+CHIA!C21+ZIPAQUIRA!C21+TABIO!C21+TENJO!C21+SOPO!C21+GACHANCIPA!C21+TOCANCIPA!C21+NEMOCON!C21+COGUA!C21</f>
        <v>18105</v>
      </c>
      <c r="D21" s="52">
        <f>CAJICA!D21+COTA!D21+CHIA!D21+ZIPAQUIRA!D21+TABIO!D21+TENJO!D21+SOPO!D21+GACHANCIPA!D21+TOCANCIPA!D21+NEMOCON!D21+COGUA!D21</f>
        <v>20077</v>
      </c>
      <c r="E21" s="52">
        <f>CAJICA!E21+COTA!E21+CHIA!E21+ZIPAQUIRA!E21+TABIO!E21+TENJO!E21+SOPO!E21+GACHANCIPA!E21+TOCANCIPA!D21+NEMOCON!E21+COGUA!E21</f>
        <v>20162</v>
      </c>
      <c r="F21" s="52">
        <f>CAJICA!F21+COTA!F21+CHIA!F21+ZIPAQUIRA!F21+TABIO!F21+TENJO!F21+SOPO!F21+GACHANCIPA!F21+TOCANCIPA!F21+NEMOCON!F21+COGUA!F21</f>
        <v>20322</v>
      </c>
      <c r="G21" s="52">
        <f>CAJICA!G21+COTA!G21+CHIA!G21+ZIPAQUIRA!G21+TABIO!G21+TENJO!G21+SOPO!G21+GACHANCIPA!G21+TOCANCIPA!G21+NEMOCON!G21+COGUA!G21</f>
        <v>20262</v>
      </c>
      <c r="H21" s="52">
        <f>CAJICA!H21+COTA!H21+CHIA!H21+ZIPAQUIRA!H21+TABIO!H21+TENJO!H21+SOPO!H21+GACHANCIPA!H21+TOCANCIPA!H21+NEMOCON!H21+COGUA!H21</f>
        <v>21255</v>
      </c>
      <c r="I21" s="60"/>
      <c r="J21" s="60"/>
      <c r="L21" s="15" t="s">
        <v>76</v>
      </c>
      <c r="M21" s="17">
        <f>CAJICA!M21+COTA!M22+CHIA!M21+ZIPAQUIRA!M21+TABIO!M21+TENJO!M21+SOPO!M21+GACHANCIPA!M21+TOCANCIPA!M21+NEMOCON!M21+COGUA!M21</f>
        <v>527</v>
      </c>
      <c r="N21" s="19">
        <f t="shared" si="22"/>
        <v>29.10798122</v>
      </c>
      <c r="O21" s="17">
        <f>CAJICA!O21+COTA!O22+CHIA!O21+ZIPAQUIRA!O21+TABIO!O21+TENJO!O21+SOPO!O21+GACHANCIPA!O21+TOCANCIPA!O21+NEMOCON!O21+COGUA!O21</f>
        <v>420</v>
      </c>
      <c r="P21" s="19">
        <f t="shared" si="23"/>
        <v>20.91946008</v>
      </c>
      <c r="Q21" s="17">
        <f>CAJICA!Q21+COTA!Q22+CHIA!Q21+ZIPAQUIRA!Q21+TABIO!Q21+TENJO!Q21+SOPO!Q21+GACHANCIPA!Q21+TOCANCIPA!Q21+NEMOCON!Q21+COGUA!Q21</f>
        <v>508</v>
      </c>
      <c r="R21" s="19">
        <f t="shared" si="24"/>
        <v>25.1959131</v>
      </c>
      <c r="S21" s="17">
        <f>CAJICA!S21+COTA!S22+CHIA!S21+ZIPAQUIRA!S21+TABIO!S21+TENJO!S21+SOPO!S21+GACHANCIPA!S21+TOCANCIPA!S21+NEMOCON!S21+COGUA!S21</f>
        <v>449</v>
      </c>
      <c r="T21" s="19">
        <f t="shared" si="25"/>
        <v>22.09428206</v>
      </c>
      <c r="U21" s="17">
        <f>CAJICA!U21+COTA!U22+CHIA!U21+ZIPAQUIRA!U21+TABIO!U21+TENJO!U21+SOPO!U21+GACHANCIPA!U21+TOCANCIPA!U21+NEMOCON!U21+COGUA!U21</f>
        <v>395</v>
      </c>
      <c r="V21" s="19">
        <f t="shared" si="26"/>
        <v>19.49462047</v>
      </c>
      <c r="W21" s="17">
        <f>CAJICA!W21+COTA!W22+CHIA!W21+ZIPAQUIRA!W21+TABIO!W21+TENJO!W21+SOPO!W21+GACHANCIPA!W21+TOCANCIPA!W21+NEMOCON!W21+COGUA!W21</f>
        <v>202</v>
      </c>
      <c r="X21" s="19">
        <f t="shared" si="27"/>
        <v>9.503646201</v>
      </c>
      <c r="Y21" s="19">
        <f t="shared" ref="Y21:Z21" si="28">((M21+O21+Q21+S21)/4)</f>
        <v>476</v>
      </c>
      <c r="Z21" s="19">
        <f t="shared" si="28"/>
        <v>24.32940912</v>
      </c>
      <c r="AA21" s="19">
        <f t="shared" si="3"/>
        <v>422</v>
      </c>
      <c r="AB21" s="19">
        <f t="shared" si="4"/>
        <v>14.49913334</v>
      </c>
      <c r="AC21" s="22" t="s">
        <v>72</v>
      </c>
    </row>
    <row r="22" ht="14.25" customHeight="1">
      <c r="B22" s="51" t="s">
        <v>77</v>
      </c>
      <c r="C22" s="52">
        <f>CAJICA!C22+COTA!C22+CHIA!C22+ZIPAQUIRA!C22+TABIO!C22+TENJO!C22+SOPO!C22+GACHANCIPA!C22+TOCANCIPA!C22+NEMOCON!C22+COGUA!C22</f>
        <v>139579.343</v>
      </c>
      <c r="D22" s="52">
        <f>CAJICA!D22+COTA!D22+CHIA!D22+ZIPAQUIRA!D22+TABIO!D22+TENJO!D22+SOPO!D22+GACHANCIPA!D22+TOCANCIPA!D22+NEMOCON!D22+COGUA!D22</f>
        <v>144067.575</v>
      </c>
      <c r="E22" s="52">
        <f>CAJICA!E22+COTA!E22+CHIA!E22+ZIPAQUIRA!E22+TABIO!E22+TENJO!E22+SOPO!E22+GACHANCIPA!E22+TOCANCIPA!E22+NEMOCON!E22+COGUA!E22</f>
        <v>148172.761</v>
      </c>
      <c r="F22" s="52">
        <f>CAJICA!F22+COTA!F22+CHIA!F22+ZIPAQUIRA!F22+TABIO!F22+TENJO!F22+SOPO!F22+GACHANCIPA!F22+TOCANCIPA!F22+NEMOCON!F22+COGUA!F22</f>
        <v>152204.932</v>
      </c>
      <c r="G22" s="52">
        <f>CAJICA!G22+COTA!G22+CHIA!G22+ZIPAQUIRA!G22+TABIO!G22+TENJO!G22+SOPO!G22+GACHANCIPA!G22+TOCANCIPA!G22+NEMOCON!G22+COGUA!G22</f>
        <v>155236.127</v>
      </c>
      <c r="H22" s="52">
        <f>CAJICA!H22+COTA!H22+CHIA!H22+ZIPAQUIRA!H22+TABIO!H22+TENJO!H22+SOPO!H22+GACHANCIPA!H22+TOCANCIPA!H22+NEMOCON!H22+COGUA!H22</f>
        <v>159118.297</v>
      </c>
      <c r="I22" s="60"/>
      <c r="J22" s="60"/>
      <c r="L22" s="15" t="s">
        <v>78</v>
      </c>
      <c r="M22" s="17">
        <f>CAJICA!M22+COTA!M23+CHIA!M22+ZIPAQUIRA!M22+TABIO!M22+TENJO!M22+SOPO!M22+GACHANCIPA!M22+TOCANCIPA!M22+NEMOCON!M22+COGUA!M22</f>
        <v>39</v>
      </c>
      <c r="N22" s="57">
        <f>M22/C7*100000</f>
        <v>8.719623849</v>
      </c>
      <c r="O22" s="17">
        <f>CAJICA!O22+COTA!O23+CHIA!O22+ZIPAQUIRA!O22+TABIO!O22+TENJO!O22+SOPO!O22+GACHANCIPA!O22+TOCANCIPA!O22+NEMOCON!O22+COGUA!O22</f>
        <v>60</v>
      </c>
      <c r="P22" s="57">
        <f>O22/D7*100000</f>
        <v>12.97653626</v>
      </c>
      <c r="Q22" s="17">
        <f>CAJICA!Q22+COTA!Q23+CHIA!Q22+ZIPAQUIRA!Q22+TABIO!Q22+TENJO!Q22+SOPO!Q22+GACHANCIPA!Q22+TOCANCIPA!Q22+NEMOCON!Q22+COGUA!Q22</f>
        <v>56</v>
      </c>
      <c r="R22" s="57">
        <f>Q22/E7*100000</f>
        <v>11.74193738</v>
      </c>
      <c r="S22" s="17">
        <f>CAJICA!S22+COTA!S23+CHIA!S22+ZIPAQUIRA!S22+TABIO!S22+TENJO!S22+SOPO!S22+GACHANCIPA!S22+TOCANCIPA!S22+NEMOCON!S22+COGUA!S22</f>
        <v>65</v>
      </c>
      <c r="T22" s="57">
        <f>S22/F7*100000</f>
        <v>13.21637855</v>
      </c>
      <c r="U22" s="17">
        <f>CAJICA!U22+COTA!U23+CHIA!U22+ZIPAQUIRA!U22+TABIO!U22+TENJO!U22+SOPO!U22+GACHANCIPA!U22+TOCANCIPA!U22+NEMOCON!U22+COGUA!U22</f>
        <v>64</v>
      </c>
      <c r="V22" s="57" t="str">
        <f>U22/G7*100000</f>
        <v>#VALUE!</v>
      </c>
      <c r="W22" s="17">
        <f>CAJICA!W22+COTA!W23+CHIA!W22+ZIPAQUIRA!W22+TABIO!W22+TENJO!W22+SOPO!W22+GACHANCIPA!W22+TOCANCIPA!W22+NEMOCON!W22+COGUA!W22</f>
        <v>35</v>
      </c>
      <c r="X22" s="57">
        <f>W22/H7*100000</f>
        <v>6.724897878</v>
      </c>
      <c r="Y22" s="19">
        <f t="shared" ref="Y22:Z22" si="29">((M22+O22+Q22+S22)/4)</f>
        <v>55</v>
      </c>
      <c r="Z22" s="19">
        <f t="shared" si="29"/>
        <v>11.66361901</v>
      </c>
      <c r="AA22" s="19">
        <f t="shared" si="3"/>
        <v>64.5</v>
      </c>
      <c r="AB22" s="19" t="str">
        <f t="shared" si="4"/>
        <v>#VALUE!</v>
      </c>
      <c r="AC22" s="22" t="s">
        <v>28</v>
      </c>
    </row>
    <row r="23" ht="14.25" customHeight="1">
      <c r="B23" s="51" t="s">
        <v>79</v>
      </c>
      <c r="C23" s="52">
        <f>CAJICA!C23+COTA!C23+CHIA!C23+ZIPAQUIRA!C23+TABIO!C23+TENJO!C23+SOPO!C23+GACHANCIPA!C23+TOCANCIPA!C23+NEMOCON!C23+COGUA!C23</f>
        <v>34871.126</v>
      </c>
      <c r="D23" s="52">
        <f>CAJICA!D23+COTA!D23+CHIA!D23+ZIPAQUIRA!D23+TABIO!D23+TENJO!D23+SOPO!D23+GACHANCIPA!D23+TOCANCIPA!D23+NEMOCON!D23+COGUA!D23</f>
        <v>44718.206</v>
      </c>
      <c r="E23" s="52">
        <f>CAJICA!E23+COTA!E23+CHIA!E23+ZIPAQUIRA!E23+TABIO!E23+TENJO!E23+SOPO!E23+GACHANCIPA!E23+TOCANCIPA!E23+NEMOCON!E23+COGUA!E23</f>
        <v>45489.26</v>
      </c>
      <c r="F23" s="52">
        <f>CAJICA!F23+COTA!F23+CHIA!F23+ZIPAQUIRA!F23+TABIO!F23+TENJO!F23+SOPO!F23+GACHANCIPA!F23+TOCANCIPA!F23+NEMOCON!F23+COGUA!F23</f>
        <v>45159.301</v>
      </c>
      <c r="G23" s="52">
        <f>CAJICA!G23+COTA!G23+CHIA!G23+ZIPAQUIRA!G23+TABIO!G23+TENJO!G23+SOPO!G23+GACHANCIPA!G23+TOCANCIPA!G23+NEMOCON!G23+COGUA!G23</f>
        <v>45196.265</v>
      </c>
      <c r="H23" s="52">
        <f>CAJICA!H23+COTA!H23+CHIA!H23+ZIPAQUIRA!H23+TABIO!H23+TENJO!H23+SOPO!H23+GACHANCIPA!H23+TOCANCIPA!H23+NEMOCON!H23+COGUA!H23</f>
        <v>45366.25</v>
      </c>
      <c r="I23" s="60"/>
      <c r="J23" s="60"/>
      <c r="L23" s="15" t="s">
        <v>80</v>
      </c>
      <c r="M23" s="17">
        <f>CAJICA!M23+COTA!M24+CHIA!M23+ZIPAQUIRA!M23+TABIO!M23+TENJO!M23+SOPO!M23+GACHANCIPA!M23+TOCANCIPA!M23+NEMOCON!M23+COGUA!M23</f>
        <v>16</v>
      </c>
      <c r="N23" s="57">
        <f>M23/C7*100000</f>
        <v>3.577281579</v>
      </c>
      <c r="O23" s="17">
        <f>CAJICA!O23+COTA!O24+CHIA!O23+ZIPAQUIRA!O23+TABIO!O23+TENJO!O23+SOPO!O23+GACHANCIPA!O23+TOCANCIPA!O23+NEMOCON!O23+COGUA!O23</f>
        <v>27</v>
      </c>
      <c r="P23" s="57">
        <f>O23/D7*100000</f>
        <v>5.839441317</v>
      </c>
      <c r="Q23" s="17">
        <f>CAJICA!Q23+COTA!Q24+CHIA!Q23+ZIPAQUIRA!Q23+TABIO!Q23+TENJO!Q23+SOPO!Q23+GACHANCIPA!Q23+TOCANCIPA!Q23+NEMOCON!Q23+COGUA!Q23</f>
        <v>16</v>
      </c>
      <c r="R23" s="57">
        <f>Q23/E7*100000</f>
        <v>3.354839251</v>
      </c>
      <c r="S23" s="17">
        <f>CAJICA!S23+COTA!S24+CHIA!S23+ZIPAQUIRA!S23+TABIO!S23+TENJO!S23+SOPO!S23+GACHANCIPA!S23+TOCANCIPA!S23+NEMOCON!S23+COGUA!S23</f>
        <v>17</v>
      </c>
      <c r="T23" s="57">
        <f>S23/F7*100000</f>
        <v>3.456591313</v>
      </c>
      <c r="U23" s="17">
        <f>CAJICA!U23+COTA!U24+CHIA!U23+ZIPAQUIRA!U23+TABIO!U23+TENJO!U23+SOPO!U23+GACHANCIPA!U23+TOCANCIPA!U23+NEMOCON!U23+COGUA!U23</f>
        <v>18</v>
      </c>
      <c r="V23" s="57" t="str">
        <f>U23/G7*100000</f>
        <v>#VALUE!</v>
      </c>
      <c r="W23" s="17">
        <f>CAJICA!W23+COTA!W24+CHIA!W23+ZIPAQUIRA!W23+TABIO!W23+TENJO!W23+SOPO!W23+GACHANCIPA!W23+TOCANCIPA!W23+NEMOCON!W23+COGUA!W23</f>
        <v>14</v>
      </c>
      <c r="X23" s="57">
        <f>W23/H7*100000</f>
        <v>2.689959151</v>
      </c>
      <c r="Y23" s="19">
        <f t="shared" ref="Y23:Z23" si="30">((M23+O23+Q23+S23)/4)</f>
        <v>19</v>
      </c>
      <c r="Z23" s="19">
        <f t="shared" si="30"/>
        <v>4.057038365</v>
      </c>
      <c r="AA23" s="19">
        <f t="shared" si="3"/>
        <v>17.5</v>
      </c>
      <c r="AB23" s="19" t="str">
        <f t="shared" si="4"/>
        <v>#VALUE!</v>
      </c>
      <c r="AC23" s="22" t="s">
        <v>28</v>
      </c>
    </row>
    <row r="24" ht="14.25" customHeight="1">
      <c r="B24" s="51" t="s">
        <v>81</v>
      </c>
      <c r="C24" s="52">
        <f>CAJICA!C24+COTA!C24+CHIA!C24+ZIPAQUIRA!C24+TABIO!C24+TENJO!C24+SOPO!C24+GACHANCIPA!C24+TOCANCIPA!C24+NEMOCON!C24+COGUA!C24</f>
        <v>30335.933</v>
      </c>
      <c r="D24" s="52">
        <f>CAJICA!D24+COTA!D24+CHIA!D24+ZIPAQUIRA!D24+TABIO!D24+TENJO!D24+SOPO!D24+GACHANCIPA!D24+TOCANCIPA!D24+NEMOCON!D24+COGUA!D24</f>
        <v>39670.01</v>
      </c>
      <c r="E24" s="52">
        <f>CAJICA!E24+COTA!E24+CHIA!E24+ZIPAQUIRA!E24+TABIO!E24+TENJO!E24+SOPO!E24+GACHANCIPA!E24+TOCANCIPA!E24+NEMOCON!E24+COGUA!E24</f>
        <v>40700.079</v>
      </c>
      <c r="F24" s="52">
        <f>CAJICA!F24+COTA!F24+CHIA!F24+ZIPAQUIRA!F24+TABIO!F24+TENJO!F24+SOPO!F24+GACHANCIPA!F24+TOCANCIPA!F24+NEMOCON!F24+COGUA!F24</f>
        <v>41829.148</v>
      </c>
      <c r="G24" s="52">
        <f>CAJICA!G24+COTA!G24+CHIA!G24+ZIPAQUIRA!G24+TABIO!G24+TENJO!G24+SOPO!G24+GACHANCIPA!G24+TOCANCIPA!G24+NEMOCON!G24+COGUA!G24</f>
        <v>42318.202</v>
      </c>
      <c r="H24" s="52">
        <f>CAJICA!H24+COTA!H24+CHIA!H24+ZIPAQUIRA!H24+TABIO!H24+TENJO!H24+SOPO!H24+GACHANCIPA!H24+TOCANCIPA!H24+NEMOCON!H24+COGUA!H24</f>
        <v>43357.241</v>
      </c>
      <c r="I24" s="60"/>
      <c r="J24" s="60"/>
      <c r="L24" s="15" t="s">
        <v>82</v>
      </c>
      <c r="M24" s="17">
        <f>CAJICA!M24+COTA!M25+CHIA!M24+ZIPAQUIRA!M24+TABIO!M24+TENJO!M24+SOPO!M24+GACHANCIPA!M24+TOCANCIPA!M24+NEMOCON!M24+COGUA!M24</f>
        <v>29</v>
      </c>
      <c r="N24" s="57">
        <f>M24/C7*100000</f>
        <v>6.483822862</v>
      </c>
      <c r="O24" s="17">
        <f>CAJICA!O24+COTA!O25+CHIA!O24+ZIPAQUIRA!O24+TABIO!O24+TENJO!O24+SOPO!O24+GACHANCIPA!O24+TOCANCIPA!O24+NEMOCON!O24+COGUA!O24</f>
        <v>43</v>
      </c>
      <c r="P24" s="57">
        <f>O24/D7*100000</f>
        <v>9.299850986</v>
      </c>
      <c r="Q24" s="17">
        <f>CAJICA!Q24+COTA!Q25+CHIA!Q24+ZIPAQUIRA!Q24+TABIO!Q24+TENJO!Q24+SOPO!Q24+GACHANCIPA!Q24+TOCANCIPA!Q24+NEMOCON!Q24+COGUA!Q24</f>
        <v>56</v>
      </c>
      <c r="R24" s="57">
        <f>Q24/E7*100000</f>
        <v>11.74193738</v>
      </c>
      <c r="S24" s="17">
        <f>CAJICA!S24+COTA!S25+CHIA!S24+ZIPAQUIRA!S24+TABIO!S24+TENJO!S24+SOPO!S24+GACHANCIPA!S24+TOCANCIPA!S24+NEMOCON!S24+COGUA!S24</f>
        <v>61</v>
      </c>
      <c r="T24" s="57">
        <f>S24/F7*100000</f>
        <v>12.40306295</v>
      </c>
      <c r="U24" s="17">
        <f>CAJICA!U24+COTA!U25+CHIA!U24+ZIPAQUIRA!U24+TABIO!U24+TENJO!U24+SOPO!U24+GACHANCIPA!U24+TOCANCIPA!U24+NEMOCON!U24+COGUA!U24</f>
        <v>49</v>
      </c>
      <c r="V24" s="57" t="str">
        <f>U24/G7*100000</f>
        <v>#VALUE!</v>
      </c>
      <c r="W24" s="17">
        <f>CAJICA!W24+COTA!W25+CHIA!W24+ZIPAQUIRA!W24+TABIO!W24+TENJO!W24+SOPO!W24+GACHANCIPA!W24+TOCANCIPA!W24+NEMOCON!W24+COGUA!W24</f>
        <v>27</v>
      </c>
      <c r="X24" s="57">
        <f>W24/H7*100000</f>
        <v>5.187778363</v>
      </c>
      <c r="Y24" s="19">
        <f t="shared" ref="Y24:Z24" si="31">((M24+O24+Q24+S24)/4)</f>
        <v>47.25</v>
      </c>
      <c r="Z24" s="19">
        <f t="shared" si="31"/>
        <v>9.982168543</v>
      </c>
      <c r="AA24" s="19">
        <f t="shared" si="3"/>
        <v>55</v>
      </c>
      <c r="AB24" s="19" t="str">
        <f t="shared" si="4"/>
        <v>#VALUE!</v>
      </c>
      <c r="AC24" s="22" t="s">
        <v>28</v>
      </c>
    </row>
    <row r="25" ht="14.25" customHeight="1">
      <c r="B25" s="51" t="s">
        <v>83</v>
      </c>
      <c r="C25" s="52">
        <f>CAJICA!C25+COTA!C25+CHIA!C25+ZIPAQUIRA!C25+TABIO!C25+TENJO!C25+SOPO!C25+GACHANCIPA!C25+TOCANCIPA!C25+NEMOCON!C25+COGUA!C25</f>
        <v>31549.904</v>
      </c>
      <c r="D25" s="52">
        <f>CAJICA!D25+COTA!D25+CHIA!D25+ZIPAQUIRA!D25+TABIO!D25+TENJO!D25+SOPO!D25+GACHANCIPA!D25+TOCANCIPA!D25+NEMOCON!D25+COGUA!D25</f>
        <v>40434.942</v>
      </c>
      <c r="E25" s="52">
        <f>CAJICA!E25+COTA!E25+CHIA!E25+ZIPAQUIRA!E25+TABIO!E25+TENJO!E25+SOPO!E25+GACHANCIPA!E25+TOCANCIPA!E25+NEMOCON!E25+COGUA!E25</f>
        <v>40935.976</v>
      </c>
      <c r="F25" s="52">
        <f>CAJICA!F25+COTA!F25+CHIA!F25+ZIPAQUIRA!F25+TABIO!F25+TENJO!F25+SOPO!F25+GACHANCIPA!F25+TOCANCIPA!F25+NEMOCON!F25+COGUA!F25</f>
        <v>41544.011</v>
      </c>
      <c r="G25" s="52">
        <f>CAJICA!G25+COTA!G25+CHIA!G25+ZIPAQUIRA!G25+TABIO!G25+TENJO!G25+SOPO!G25+GACHANCIPA!G25+TOCANCIPA!G25+NEMOCON!G25+COGUA!G25</f>
        <v>41813.068</v>
      </c>
      <c r="H25" s="52">
        <f>CAJICA!H25+COTA!H25+CHIA!H25+ZIPAQUIRA!H25+TABIO!H25+TENJO!H25+SOPO!H25+GACHANCIPA!H25+TOCANCIPA!H25+NEMOCON!H25+COGUA!H25</f>
        <v>42602.1</v>
      </c>
      <c r="I25" s="60"/>
      <c r="J25" s="60"/>
      <c r="L25" s="15" t="s">
        <v>84</v>
      </c>
      <c r="M25" s="17">
        <f>CAJICA!M25+COTA!M26+CHIA!M25+ZIPAQUIRA!M25+TABIO!M25+TENJO!M25+SOPO!M25+GACHANCIPA!M25+TOCANCIPA!M25+NEMOCON!M25+COGUA!M25</f>
        <v>258</v>
      </c>
      <c r="N25" s="57">
        <f>M25/C7*100000</f>
        <v>57.68366546</v>
      </c>
      <c r="O25" s="17">
        <f>CAJICA!O25+COTA!O26+CHIA!O25+ZIPAQUIRA!O25+TABIO!O25+TENJO!O25+SOPO!O25+GACHANCIPA!O25+TOCANCIPA!O25+NEMOCON!O25+COGUA!O25</f>
        <v>286</v>
      </c>
      <c r="P25" s="57">
        <f>O25/D7*100000</f>
        <v>61.85482284</v>
      </c>
      <c r="Q25" s="17">
        <f>CAJICA!Q25+COTA!Q26+CHIA!Q25+ZIPAQUIRA!Q25+TABIO!Q25+TENJO!Q25+SOPO!Q25+GACHANCIPA!Q25+TOCANCIPA!Q25+NEMOCON!Q25+COGUA!Q25</f>
        <v>373</v>
      </c>
      <c r="R25" s="57">
        <f>Q25/E7*100000</f>
        <v>78.20969003</v>
      </c>
      <c r="S25" s="17">
        <f>CAJICA!S25+COTA!S26+CHIA!S25+ZIPAQUIRA!S25+TABIO!S25+TENJO!S25+SOPO!S25+GACHANCIPA!S25+TOCANCIPA!S25+NEMOCON!S25+COGUA!S25</f>
        <v>427</v>
      </c>
      <c r="T25" s="57">
        <f>S25/F7*100000</f>
        <v>86.82144063</v>
      </c>
      <c r="U25" s="17">
        <f>CAJICA!U25+COTA!U26+CHIA!U25+ZIPAQUIRA!U25+TABIO!U25+TENJO!U25+SOPO!U25+GACHANCIPA!U25+TOCANCIPA!U25+NEMOCON!U25+COGUA!U25</f>
        <v>442</v>
      </c>
      <c r="V25" s="57" t="str">
        <f>U25/G7*100000</f>
        <v>#VALUE!</v>
      </c>
      <c r="W25" s="17">
        <f>CAJICA!W25+COTA!W26+CHIA!W25+ZIPAQUIRA!W25+TABIO!W25+TENJO!W25+SOPO!W25+GACHANCIPA!W25+TOCANCIPA!W25+NEMOCON!W25+COGUA!W25</f>
        <v>185</v>
      </c>
      <c r="X25" s="57">
        <f>W25/H7*100000</f>
        <v>35.54588878</v>
      </c>
      <c r="Y25" s="19">
        <f t="shared" ref="Y25:Z25" si="32">((M25+O25+Q25+S25)/4)</f>
        <v>336</v>
      </c>
      <c r="Z25" s="19">
        <f t="shared" si="32"/>
        <v>71.14240474</v>
      </c>
      <c r="AA25" s="19">
        <f t="shared" si="3"/>
        <v>434.5</v>
      </c>
      <c r="AB25" s="19" t="str">
        <f t="shared" si="4"/>
        <v>#VALUE!</v>
      </c>
      <c r="AC25" s="22" t="s">
        <v>57</v>
      </c>
    </row>
    <row r="26" ht="14.25" customHeight="1">
      <c r="B26" s="51" t="s">
        <v>85</v>
      </c>
      <c r="C26" s="52">
        <f>CAJICA!C26+COTA!C26+CHIA!C26+ZIPAQUIRA!C26+TABIO!C26+TENJO!C26+SOPO!C26+GACHANCIPA!C26+TOCANCIPA!C26+NEMOCON!C26+COGUA!C26</f>
        <v>66281.335</v>
      </c>
      <c r="D26" s="52">
        <f>CAJICA!D26+COTA!D26+CHIA!D26+ZIPAQUIRA!D26+TABIO!D26+TENJO!D26+SOPO!D26+GACHANCIPA!D26+TOCANCIPA!D26+NEMOCON!D26+COGUA!D26</f>
        <v>85038.465</v>
      </c>
      <c r="E26" s="52">
        <f>CAJICA!E26+COTA!E26+CHIA!E26+ZIPAQUIRA!E26+TABIO!E26+TENJO!E26+SOPO!E26+GACHANCIPA!E26+TOCANCIPA!E26+NEMOCON!E26+COGUA!E26</f>
        <v>86338.537</v>
      </c>
      <c r="F26" s="52">
        <f>CAJICA!F26+COTA!F26+CHIA!F26+ZIPAQUIRA!F26+TABIO!F26+TENJO!F26+SOPO!F26+GACHANCIPA!F26+TOCANCIPA!F26+NEMOCON!F26+COGUA!F26</f>
        <v>87231.583</v>
      </c>
      <c r="G26" s="52">
        <f>CAJICA!G26+COTA!G26+CHIA!G26+ZIPAQUIRA!G26+TABIO!G26+TENJO!G26+SOPO!G26+GACHANCIPA!G26+TOCANCIPA!G26+NEMOCON!G26+COGUA!G26</f>
        <v>87401.618</v>
      </c>
      <c r="H26" s="52">
        <f>CAJICA!H26+COTA!H26+CHIA!H26+ZIPAQUIRA!H26+TABIO!H26+TENJO!H26+SOPO!H26+GACHANCIPA!H26+TOCANCIPA!H26+NEMOCON!H26+COGUA!H26</f>
        <v>84542.673</v>
      </c>
      <c r="I26" s="60"/>
      <c r="J26" s="60"/>
      <c r="L26" s="15" t="s">
        <v>86</v>
      </c>
      <c r="M26" s="17">
        <f>CAJICA!M26+COTA!M27+CHIA!M26+ZIPAQUIRA!M26+TABIO!M26+TENJO!M26+SOPO!M26+GACHANCIPA!M26+TOCANCIPA!M26+NEMOCON!M26+COGUA!M26</f>
        <v>504</v>
      </c>
      <c r="N26" s="19">
        <f>M26/C7*100000</f>
        <v>112.6843697</v>
      </c>
      <c r="O26" s="17">
        <f>CAJICA!O26+COTA!O27+CHIA!O26+ZIPAQUIRA!O26+TABIO!O26+TENJO!O26+SOPO!O26+GACHANCIPA!O26+TOCANCIPA!O26+NEMOCON!O26+COGUA!O26</f>
        <v>861</v>
      </c>
      <c r="P26" s="19">
        <f>O26/D7*100000</f>
        <v>186.2132953</v>
      </c>
      <c r="Q26" s="17">
        <f>CAJICA!Q26+COTA!Q27+CHIA!Q26+ZIPAQUIRA!Q26+TABIO!Q26+TENJO!Q26+SOPO!Q26+GACHANCIPA!Q26+TOCANCIPA!Q26+NEMOCON!Q26+COGUA!Q26</f>
        <v>538</v>
      </c>
      <c r="R26" s="19">
        <f>Q26/E7*100000</f>
        <v>112.8064698</v>
      </c>
      <c r="S26" s="17">
        <f>CAJICA!S26+COTA!S27+CHIA!S26+ZIPAQUIRA!S26+TABIO!S26+TENJO!S26+SOPO!S26+GACHANCIPA!S26+TOCANCIPA!S26+NEMOCON!S26+COGUA!S26</f>
        <v>425</v>
      </c>
      <c r="T26" s="19">
        <f>S26/F7*100000</f>
        <v>86.41478282</v>
      </c>
      <c r="U26" s="17">
        <f>CAJICA!U26+COTA!U27+CHIA!U26+ZIPAQUIRA!U26+TABIO!U26+TENJO!U26+SOPO!U26+GACHANCIPA!U26+TOCANCIPA!U26+NEMOCON!U26+COGUA!U26</f>
        <v>408</v>
      </c>
      <c r="V26" s="19" t="str">
        <f>U26/G7*100000</f>
        <v>#VALUE!</v>
      </c>
      <c r="W26" s="17">
        <f>CAJICA!W26+COTA!W27+CHIA!W26+ZIPAQUIRA!W26+TABIO!W26+TENJO!W26+SOPO!W26+GACHANCIPA!W26+TOCANCIPA!W26+NEMOCON!W26+COGUA!W26</f>
        <v>213</v>
      </c>
      <c r="X26" s="19">
        <f>W26/H7*100000</f>
        <v>40.92580708</v>
      </c>
      <c r="Y26" s="19">
        <f t="shared" ref="Y26:Z26" si="33">((M26+O26+Q26+S26)/4)</f>
        <v>582</v>
      </c>
      <c r="Z26" s="19">
        <f t="shared" si="33"/>
        <v>124.5297294</v>
      </c>
      <c r="AA26" s="19">
        <f t="shared" si="3"/>
        <v>416.5</v>
      </c>
      <c r="AB26" s="19" t="str">
        <f t="shared" si="4"/>
        <v>#VALUE!</v>
      </c>
      <c r="AC26" s="22" t="s">
        <v>28</v>
      </c>
    </row>
    <row r="27" ht="14.25" customHeight="1">
      <c r="B27" s="110" t="s">
        <v>87</v>
      </c>
      <c r="C27" s="52">
        <f>CAJICA!C27+COTA!C27+CHIA!C27+ZIPAQUIRA!C27+TABIO!C27+TENJO!C27+SOPO!C27+GACHANCIPA!C27+TOCANCIPA!C27+NEMOCON!C27+COGUA!C27</f>
        <v>39155.477</v>
      </c>
      <c r="D27" s="52">
        <f>CAJICA!D27+COTA!D27+CHIA!D27+ZIPAQUIRA!D27+TABIO!D27+TENJO!D27+SOPO!D27+GACHANCIPA!D27+TOCANCIPA!D27+NEMOCON!D27+COGUA!D27</f>
        <v>37472.561</v>
      </c>
      <c r="E27" s="52">
        <f>CAJICA!E27+COTA!E27+CHIA!E27+ZIPAQUIRA!E27+TABIO!E27+TENJO!E27+SOPO!E27+GACHANCIPA!E27+TOCANCIPA!E27+NEMOCON!E27+COGUA!E27</f>
        <v>42870.642</v>
      </c>
      <c r="F27" s="52">
        <f>CAJICA!F27+COTA!F27+CHIA!F27+ZIPAQUIRA!F27+TABIO!F27+TENJO!F27+SOPO!F27+GACHANCIPA!F27+TOCANCIPA!F27+NEMOCON!F27+COGUA!F27</f>
        <v>45914.727</v>
      </c>
      <c r="G27" s="52" t="str">
        <f>CAJICA!G27+COTA!G27+CHIA!G27+ZIPAQUIRA!G27+TABIO!G27+TENJO!G27+SOPO!G27+GACHANCIPA!G27+TOCANCIPA!G27+NEMOCON!G27+COGUA!G27</f>
        <v>#VALUE!</v>
      </c>
      <c r="H27" s="52" t="str">
        <f>CAJICA!H27+COTA!H27+CHIA!H27+ZIPAQUIRA!H27+TABIO!H27+TENJO!H27+SOPO!H27+GACHANCIPA!H27+TOCANCIPA!H27+NEMOCON!H27+COGUA!H27</f>
        <v>#VALUE!</v>
      </c>
      <c r="I27" s="60"/>
      <c r="J27" s="60"/>
      <c r="L27" s="15" t="s">
        <v>88</v>
      </c>
      <c r="M27" s="17">
        <f>CAJICA!M27+COTA!M28+CHIA!M27+ZIPAQUIRA!M27+TABIO!M27+TENJO!M27+SOPO!M27+GACHANCIPA!M27+TOCANCIPA!M27+NEMOCON!M27+COGUA!M27</f>
        <v>12</v>
      </c>
      <c r="N27" s="19">
        <f>M27/C11*100000</f>
        <v>5.424741334</v>
      </c>
      <c r="O27" s="17">
        <f>CAJICA!O27+COTA!O28+CHIA!O27+ZIPAQUIRA!O27+TABIO!O27+TENJO!O27+SOPO!O27+GACHANCIPA!O27+TOCANCIPA!O27+NEMOCON!O27+COGUA!O27</f>
        <v>14</v>
      </c>
      <c r="P27" s="19">
        <f>O27/D11*100000</f>
        <v>6.533666389</v>
      </c>
      <c r="Q27" s="17">
        <f>CAJICA!Q27+COTA!Q28+CHIA!Q27+ZIPAQUIRA!Q27+TABIO!Q27+TENJO!Q27+SOPO!Q27+GACHANCIPA!Q27+TOCANCIPA!Q27+NEMOCON!Q27+COGUA!Q27</f>
        <v>14</v>
      </c>
      <c r="R27" s="19">
        <f>Q27/E11*100000</f>
        <v>5.928952992</v>
      </c>
      <c r="S27" s="17">
        <f>CAJICA!S27+COTA!S28+CHIA!S27+ZIPAQUIRA!S27+TABIO!S27+TENJO!S27+SOPO!S27+GACHANCIPA!S27+TOCANCIPA!S27+NEMOCON!S27+COGUA!S27</f>
        <v>12</v>
      </c>
      <c r="T27" s="19">
        <f>S27/F11*100000</f>
        <v>4.940108126</v>
      </c>
      <c r="U27" s="17">
        <f>CAJICA!U27+COTA!U28+CHIA!U27+ZIPAQUIRA!U27+TABIO!U27+TENJO!U27+SOPO!U27+GACHANCIPA!U27+TOCANCIPA!U27+NEMOCON!U27+COGUA!U27</f>
        <v>15</v>
      </c>
      <c r="V27" s="19">
        <f>U27/G11*100000</f>
        <v>6.039864483</v>
      </c>
      <c r="W27" s="17">
        <f>CAJICA!W27+COTA!W28+CHIA!W27+ZIPAQUIRA!W27+TABIO!W27+TENJO!W27+SOPO!W27+GACHANCIPA!W27+TOCANCIPA!W27+NEMOCON!W27+COGUA!W27</f>
        <v>2</v>
      </c>
      <c r="X27" s="19">
        <f>W27/H11*100000</f>
        <v>0.7835910333</v>
      </c>
      <c r="Y27" s="19">
        <f t="shared" ref="Y27:Z27" si="34">((M27+O27+Q27+S27)/4)</f>
        <v>13</v>
      </c>
      <c r="Z27" s="19">
        <f t="shared" si="34"/>
        <v>5.70686721</v>
      </c>
      <c r="AA27" s="19">
        <f t="shared" si="3"/>
        <v>13.5</v>
      </c>
      <c r="AB27" s="19">
        <f t="shared" si="4"/>
        <v>3.411727758</v>
      </c>
      <c r="AC27" s="22" t="s">
        <v>28</v>
      </c>
    </row>
    <row r="28" ht="14.25" customHeight="1">
      <c r="I28" s="60"/>
      <c r="J28" s="60"/>
      <c r="L28" s="15" t="s">
        <v>89</v>
      </c>
      <c r="M28" s="17">
        <f>CAJICA!M28+COTA!M29+CHIA!M28+ZIPAQUIRA!M28+TABIO!M28+TENJO!M28+SOPO!M28+GACHANCIPA!M28+TOCANCIPA!M28+NEMOCON!M28+COGUA!M28</f>
        <v>26</v>
      </c>
      <c r="N28" s="19">
        <f>M28/C11*100000</f>
        <v>11.75360622</v>
      </c>
      <c r="O28" s="17">
        <f>CAJICA!O28+COTA!O29+CHIA!O28+ZIPAQUIRA!O28+TABIO!O28+TENJO!O28+SOPO!O28+GACHANCIPA!O28+TOCANCIPA!O28+NEMOCON!O28+COGUA!O28</f>
        <v>29</v>
      </c>
      <c r="P28" s="19">
        <f>O28/D11*100000</f>
        <v>13.53402323</v>
      </c>
      <c r="Q28" s="17">
        <f>CAJICA!Q28+COTA!Q29+CHIA!Q28+ZIPAQUIRA!Q28+TABIO!Q28+TENJO!Q28+SOPO!Q28+GACHANCIPA!Q28+TOCANCIPA!Q28+NEMOCON!Q28+COGUA!Q28</f>
        <v>22</v>
      </c>
      <c r="R28" s="19">
        <f>Q28/E11*100000</f>
        <v>9.31692613</v>
      </c>
      <c r="S28" s="17">
        <f>CAJICA!S28+COTA!S29+CHIA!S28+ZIPAQUIRA!S28+TABIO!S28+TENJO!S28+SOPO!S28+GACHANCIPA!S28+TOCANCIPA!S28+NEMOCON!S28+COGUA!S28</f>
        <v>27</v>
      </c>
      <c r="T28" s="19">
        <f>S28/F11*100000</f>
        <v>11.11524328</v>
      </c>
      <c r="U28" s="17">
        <f>CAJICA!U28+COTA!U29+CHIA!U28+ZIPAQUIRA!U28+TABIO!U28+TENJO!U28+SOPO!U28+GACHANCIPA!U28+TOCANCIPA!U28+NEMOCON!U28+COGUA!U28</f>
        <v>22</v>
      </c>
      <c r="V28" s="19">
        <f>U28/G11*100000</f>
        <v>8.858467908</v>
      </c>
      <c r="W28" s="17">
        <f>CAJICA!W28+COTA!W29+CHIA!W28+ZIPAQUIRA!W28+TABIO!W28+TENJO!W28+SOPO!W28+GACHANCIPA!W28+TOCANCIPA!W28+NEMOCON!W28+COGUA!W28</f>
        <v>8</v>
      </c>
      <c r="X28" s="19">
        <f>W28/H11*100000</f>
        <v>3.134364133</v>
      </c>
      <c r="Y28" s="19">
        <f t="shared" ref="Y28:Z28" si="35">((M28+O28+Q28+S28)/4)</f>
        <v>26</v>
      </c>
      <c r="Z28" s="19">
        <f t="shared" si="35"/>
        <v>11.42994972</v>
      </c>
      <c r="AA28" s="19">
        <f t="shared" si="3"/>
        <v>24.5</v>
      </c>
      <c r="AB28" s="19">
        <f t="shared" si="4"/>
        <v>5.996416021</v>
      </c>
      <c r="AC28" s="22" t="s">
        <v>28</v>
      </c>
    </row>
    <row r="29" ht="14.25" customHeight="1">
      <c r="L29" s="15" t="s">
        <v>90</v>
      </c>
      <c r="M29" s="17">
        <f>CAJICA!M29+COTA!M30+CHIA!M29+ZIPAQUIRA!M29+TABIO!M29+TENJO!M29+SOPO!M29+GACHANCIPA!M29+TOCANCIPA!M29+NEMOCON!M29+COGUA!M29</f>
        <v>44</v>
      </c>
      <c r="N29" s="19">
        <f>M29/C10*100000</f>
        <v>20.93486824</v>
      </c>
      <c r="O29" s="17">
        <f>CAJICA!O29+COTA!O30+CHIA!O29+ZIPAQUIRA!O29+TABIO!O29+TENJO!O29+SOPO!O29+GACHANCIPA!O29+TOCANCIPA!O29+NEMOCON!O29+COGUA!O29</f>
        <v>74</v>
      </c>
      <c r="P29" s="19">
        <f>O29/D10*100000</f>
        <v>36.36681252</v>
      </c>
      <c r="Q29" s="17">
        <f>CAJICA!Q29+COTA!Q30+CHIA!Q29+ZIPAQUIRA!Q29+TABIO!Q29+TENJO!Q29+SOPO!Q29+GACHANCIPA!Q29+TOCANCIPA!Q29+NEMOCON!Q29+COGUA!Q29</f>
        <v>16</v>
      </c>
      <c r="R29" s="19" t="str">
        <f>Q29/E10*100000</f>
        <v>#VALUE!</v>
      </c>
      <c r="S29" s="17">
        <f>CAJICA!S29+COTA!S30+CHIA!S29+ZIPAQUIRA!S29+TABIO!S29+TENJO!S29+SOPO!S29+GACHANCIPA!S29+TOCANCIPA!S29+NEMOCON!S29+COGUA!S29</f>
        <v>25</v>
      </c>
      <c r="T29" s="19">
        <f>S29/F10*100000</f>
        <v>10.78717414</v>
      </c>
      <c r="U29" s="17">
        <f>CAJICA!U29+COTA!U30+CHIA!U29+ZIPAQUIRA!U29+TABIO!U29+TENJO!U29+SOPO!U29+GACHANCIPA!U29+TOCANCIPA!U29+NEMOCON!U29+COGUA!U29</f>
        <v>28</v>
      </c>
      <c r="V29" s="19">
        <f>U29/G10*100000</f>
        <v>11.88177622</v>
      </c>
      <c r="W29" s="17">
        <f>CAJICA!W29+COTA!W30+CHIA!W29+ZIPAQUIRA!W29+TABIO!W29+TENJO!W29+SOPO!W29+GACHANCIPA!W29+TOCANCIPA!W29+NEMOCON!W29+COGUA!W29</f>
        <v>11</v>
      </c>
      <c r="X29" s="19">
        <f>W29/H10*100000</f>
        <v>4.530491567</v>
      </c>
      <c r="Y29" s="19">
        <f t="shared" ref="Y29:Z29" si="36">((M29+O29+Q29+S29)/4)</f>
        <v>39.75</v>
      </c>
      <c r="Z29" s="19" t="str">
        <f t="shared" si="36"/>
        <v>#VALUE!</v>
      </c>
      <c r="AA29" s="19">
        <f t="shared" si="3"/>
        <v>26.5</v>
      </c>
      <c r="AB29" s="19">
        <f t="shared" si="4"/>
        <v>8.206133896</v>
      </c>
      <c r="AC29" s="22" t="s">
        <v>28</v>
      </c>
    </row>
    <row r="30" ht="14.25" customHeight="1"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L30" s="15" t="s">
        <v>92</v>
      </c>
      <c r="M30" s="17">
        <f>CAJICA!M30+COTA!M31+CHIA!M30+ZIPAQUIRA!M30+TABIO!M30+TENJO!M30+SOPO!M30+GACHANCIPA!M30+TOCANCIPA!M30+NEMOCON!M30+COGUA!M30</f>
        <v>398</v>
      </c>
      <c r="N30" s="19">
        <f>M30/C7*100000</f>
        <v>88.98487928</v>
      </c>
      <c r="O30" s="17">
        <f>CAJICA!O30+COTA!O31+CHIA!O30+ZIPAQUIRA!O30+TABIO!O30+TENJO!O30+SOPO!O30+GACHANCIPA!O30+TOCANCIPA!O30+NEMOCON!O30+COGUA!O30</f>
        <v>851</v>
      </c>
      <c r="P30" s="19">
        <f>O30/D7*100000</f>
        <v>184.0505393</v>
      </c>
      <c r="Q30" s="17">
        <f>CAJICA!Q30+COTA!Q31+CHIA!Q30+ZIPAQUIRA!Q30+TABIO!Q30+TENJO!Q30+SOPO!Q30+GACHANCIPA!Q30+TOCANCIPA!Q30+NEMOCON!Q30+COGUA!Q30</f>
        <v>166</v>
      </c>
      <c r="R30" s="19">
        <f>Q30/E7*100000</f>
        <v>34.80645723</v>
      </c>
      <c r="S30" s="17">
        <f>CAJICA!S30+COTA!S31+CHIA!S30+ZIPAQUIRA!S30+TABIO!S30+TENJO!S30+SOPO!S30+GACHANCIPA!S30+TOCANCIPA!S30+NEMOCON!S30+COGUA!S30</f>
        <v>82</v>
      </c>
      <c r="T30" s="19">
        <f>S30/F7*100000</f>
        <v>16.67296986</v>
      </c>
      <c r="U30" s="17">
        <f>CAJICA!U30+COTA!U31+CHIA!U30+ZIPAQUIRA!U30+TABIO!U30+TENJO!U30+SOPO!U30+GACHANCIPA!U30+TOCANCIPA!U30+NEMOCON!U30+COGUA!U30</f>
        <v>104</v>
      </c>
      <c r="V30" s="19" t="str">
        <f>U30/G7*100000</f>
        <v>#VALUE!</v>
      </c>
      <c r="W30" s="17">
        <f>CAJICA!W30+COTA!W31+CHIA!W30+ZIPAQUIRA!W30+TABIO!W30+TENJO!W30+SOPO!W30+GACHANCIPA!W30+TOCANCIPA!W30+NEMOCON!W30+COGUA!W30</f>
        <v>23</v>
      </c>
      <c r="X30" s="19">
        <f>W30/H7*100000</f>
        <v>4.419218605</v>
      </c>
      <c r="Y30" s="19">
        <f t="shared" ref="Y30:Z30" si="37">((M30+O30+Q30+S30)/4)</f>
        <v>374.25</v>
      </c>
      <c r="Z30" s="19">
        <f t="shared" si="37"/>
        <v>81.12871141</v>
      </c>
      <c r="AA30" s="19">
        <f t="shared" si="3"/>
        <v>93</v>
      </c>
      <c r="AB30" s="19" t="str">
        <f t="shared" si="4"/>
        <v>#VALUE!</v>
      </c>
      <c r="AC30" s="22" t="s">
        <v>28</v>
      </c>
    </row>
    <row r="31" ht="14.25" customHeight="1">
      <c r="B31" s="71" t="s">
        <v>93</v>
      </c>
      <c r="C31" s="111">
        <f>CAJICA!C31+COTA!C31+CHIA!C31+ZIPAQUIRA!C31+TABIO!C31+TENJO!C31+SOPO!C31+GACHANCIPA!C31+TOCANCIPA!C31+NEMOCON!C31+COGUA!C31</f>
        <v>21129.126</v>
      </c>
      <c r="D31" s="111">
        <f>CAJICA!D31+COTA!D31+CHIA!D31+ZIPAQUIRA!D31+TABIO!D31+TENJO!D31+SOPO!D31+GACHANCIPA!D31+TOCANCIPA!D31+NEMOCON!D31+COGUA!D31</f>
        <v>30527.206</v>
      </c>
      <c r="E31" s="111">
        <f>CAJICA!E31+COTA!E31+CHIA!E31+ZIPAQUIRA!E31+TABIO!E31+TENJO!E31+SOPO!E31+GACHANCIPA!E31+TOCANCIPA!E31+NEMOCON!E31+COGUA!E31</f>
        <v>31006.26</v>
      </c>
      <c r="F31" s="48" t="str">
        <f>CAJICA!F31+COTA!F31+CHIA!F31+ZIPAQUIRA!F31+TABIO!F31+TENJO!F31+SOPO!F31+GACHANCIPA!F31+#REF!+NEMOCON!F31+COGUA!F31</f>
        <v>#REF!</v>
      </c>
      <c r="G31" s="111">
        <f>CAJICA!G31+COTA!G31+CHIA!G31+ZIPAQUIRA!G31+TABIO!G31+TENJO!G31+SOPO!G31+GACHANCIPA!G31+TOCANCIPA!G31+NEMOCON!G31+COGUA!G31</f>
        <v>30641.265</v>
      </c>
      <c r="H31" s="111">
        <f>CAJICA!H31+COTA!H31+CHIA!H31+ZIPAQUIRA!H31+TABIO!H31+TENJO!H31+SOPO!H31+GACHANCIPA!H31+TOCANCIPA!A31+NEMOCON!H31+COGUA!H31</f>
        <v>23683.445</v>
      </c>
      <c r="L31" s="15" t="s">
        <v>94</v>
      </c>
      <c r="M31" s="17">
        <f>CAJICA!M31+COTA!M32+CHIA!M31+ZIPAQUIRA!M31+TABIO!M31+TENJO!M31+SOPO!M31+GACHANCIPA!M31+TOCANCIPA!M31+NEMOCON!M31+COGUA!M31</f>
        <v>27</v>
      </c>
      <c r="N31" s="19">
        <f>M31/C7*100000</f>
        <v>6.036662665</v>
      </c>
      <c r="O31" s="17">
        <f>CAJICA!O31+COTA!O32+CHIA!O31+ZIPAQUIRA!O31+TABIO!O31+TENJO!O31+SOPO!O31+GACHANCIPA!O31+TOCANCIPA!O31+NEMOCON!O31+COGUA!O31</f>
        <v>13</v>
      </c>
      <c r="P31" s="19">
        <f>O31/D7*100000</f>
        <v>2.811582856</v>
      </c>
      <c r="Q31" s="17">
        <f>CAJICA!Q31+COTA!Q32+CHIA!Q31+ZIPAQUIRA!Q31+TABIO!Q31+TENJO!Q31+SOPO!Q31+GACHANCIPA!Q31+TOCANCIPA!Q31+NEMOCON!Q31+COGUA!Q31</f>
        <v>13</v>
      </c>
      <c r="R31" s="19">
        <f>Q31/E7*100000</f>
        <v>2.725806891</v>
      </c>
      <c r="S31" s="17">
        <f>CAJICA!S31+COTA!S32+CHIA!S31+ZIPAQUIRA!S31+TABIO!S31+TENJO!S31+SOPO!S31+GACHANCIPA!S31+TOCANCIPA!S31+NEMOCON!S31+COGUA!S31</f>
        <v>22</v>
      </c>
      <c r="T31" s="19">
        <f>S31/F7*100000</f>
        <v>4.473235817</v>
      </c>
      <c r="U31" s="17">
        <f>CAJICA!U31+COTA!U32+CHIA!U31+ZIPAQUIRA!U31+TABIO!U31+TENJO!U31+SOPO!U31+GACHANCIPA!U31+TOCANCIPA!U31+NEMOCON!U31+COGUA!U31</f>
        <v>14</v>
      </c>
      <c r="V31" s="19" t="str">
        <f>U31/G7*100000</f>
        <v>#VALUE!</v>
      </c>
      <c r="W31" s="17">
        <f>CAJICA!W31+COTA!W32+CHIA!W31+ZIPAQUIRA!W31+TABIO!W31+TENJO!W31+SOPO!W31+GACHANCIPA!W31+TOCANCIPA!W31+NEMOCON!W31+COGUA!W31</f>
        <v>4</v>
      </c>
      <c r="X31" s="19">
        <f>W31/H7*100000</f>
        <v>0.7685597574</v>
      </c>
      <c r="Y31" s="19">
        <f t="shared" ref="Y31:Z31" si="38">((M31+O31+Q31+S31)/4)</f>
        <v>18.75</v>
      </c>
      <c r="Z31" s="19">
        <f t="shared" si="38"/>
        <v>4.011822057</v>
      </c>
      <c r="AA31" s="19">
        <f t="shared" si="3"/>
        <v>18</v>
      </c>
      <c r="AB31" s="19" t="str">
        <f t="shared" si="4"/>
        <v>#VALUE!</v>
      </c>
      <c r="AC31" s="22" t="s">
        <v>28</v>
      </c>
    </row>
    <row r="32" ht="14.25" customHeight="1">
      <c r="B32" s="71" t="s">
        <v>95</v>
      </c>
      <c r="C32" s="111">
        <f>CAJICA!C32+COTA!C32+CHIA!C32+ZIPAQUIRA!C32+TABIO!C32+TENJO!C32+SOPO!C32+GACHANCIPA!C32+TOCANCIPA!C32+NEMOCON!C32+COGUA!C32</f>
        <v>17397.933</v>
      </c>
      <c r="D32" s="111">
        <f>CAJICA!D32+COTA!D32+CHIA!D32+ZIPAQUIRA!D32+TABIO!D32+TENJO!D32+SOPO!D32+GACHANCIPA!D32+TOCANCIPA!D32+NEMOCON!D32+COGUA!D32</f>
        <v>26264.01</v>
      </c>
      <c r="E32" s="111">
        <f>CAJICA!E32+COTA!E32+CHIA!E32+ZIPAQUIRA!E32+TABIO!E32+TENJO!E32+SOPO!E32+GACHANCIPA!E32+TOCANCIPA!A32+NEMOCON!E32+COGUA!E32</f>
        <v>22609.079</v>
      </c>
      <c r="F32" s="111">
        <f>CAJICA!F32+COTA!F32+CHIA!F32+ZIPAQUIRA!F32+TABIO!F32+TENJO!F32+SOPO!F32+GACHANCIPA!F32+TOCANCIPA!F32+NEMOCON!F32+COGUA!F32</f>
        <v>27784.148</v>
      </c>
      <c r="G32" s="111">
        <f>CAJICA!G32+COTA!G32+CHIA!G32+ZIPAQUIRA!G32+TABIO!G32+TENJO!G32+SOPO!G32+GACHANCIPA!G32+TOCANCIPA!G32+NEMOCON!G32+COGUA!G32</f>
        <v>27860.202</v>
      </c>
      <c r="H32" s="111">
        <f>CAJICA!H32+COTA!H32+CHIA!H32+ZIPAQUIRA!H32+TABIO!H32+TENJO!H32+SOPO!H32+GACHANCIPA!H32+TOCANCIPA!H32+NEMOCON!H32+COGUA!H32</f>
        <v>25969.844</v>
      </c>
      <c r="L32" s="15" t="s">
        <v>96</v>
      </c>
      <c r="M32" s="17">
        <f>CAJICA!M32+COTA!M33+CHIA!M32+ZIPAQUIRA!M32+TABIO!M32+TENJO!M32+SOPO!M32+GACHANCIPA!M32+TOCANCIPA!M32+NEMOCON!M32+COGUA!M32</f>
        <v>1632</v>
      </c>
      <c r="N32" s="72">
        <f>M32/C7*100</f>
        <v>0.3648827211</v>
      </c>
      <c r="O32" s="17">
        <f>CAJICA!O32+COTA!O33+CHIA!O32+ZIPAQUIRA!O32+TABIO!O32+TENJO!O32+SOPO!O32+GACHANCIPA!O32+TOCANCIPA!O32+NEMOCON!O32+COGUA!O32</f>
        <v>2230</v>
      </c>
      <c r="P32" s="72">
        <f>O32/D7*100</f>
        <v>0.4822945977</v>
      </c>
      <c r="Q32" s="17">
        <f>CAJICA!Q32+COTA!Q33+CHIA!Q32+ZIPAQUIRA!Q32+TABIO!Q32+TENJO!Q32+SOPO!Q32+GACHANCIPA!Q32+TOCANCIPA!Q32+NEMOCON!Q32+COGUA!Q32</f>
        <v>2232</v>
      </c>
      <c r="R32" s="72">
        <f>Q32/E7*100</f>
        <v>0.4680000755</v>
      </c>
      <c r="S32" s="17">
        <f>CAJICA!S32+COTA!S33+CHIA!S32+ZIPAQUIRA!S32+TABIO!S32+TENJO!S32+SOPO!S32+GACHANCIPA!S32+TOCANCIPA!S32+NEMOCON!S32+COGUA!S32</f>
        <v>1918</v>
      </c>
      <c r="T32" s="72">
        <f>S32/F7*100</f>
        <v>0.3899848317</v>
      </c>
      <c r="U32" s="17">
        <f>CAJICA!U32+COTA!U33+CHIA!U32+ZIPAQUIRA!U32+TABIO!U32+TENJO!U32+SOPO!U32+GACHANCIPA!U32+TOCANCIPA!U32+NEMOCON!U32+COGUA!U32</f>
        <v>1988</v>
      </c>
      <c r="V32" s="72" t="str">
        <f>U32/G7*100</f>
        <v>#VALUE!</v>
      </c>
      <c r="W32" s="17">
        <f>CAJICA!W32+COTA!W33+CHIA!W32+ZIPAQUIRA!W32+TABIO!W32+TENJO!W32+SOPO!W32+GACHANCIPA!W32+TOCANCIPA!W32+NEMOCON!W32+COGUA!W32</f>
        <v>986</v>
      </c>
      <c r="X32" s="72">
        <f>W32/H7*100</f>
        <v>0.1894499802</v>
      </c>
      <c r="Y32" s="19">
        <f t="shared" ref="Y32:Z32" si="39">((M32+O32+Q32+S32)/4)</f>
        <v>2003</v>
      </c>
      <c r="Z32" s="74">
        <f t="shared" si="39"/>
        <v>0.4262905565</v>
      </c>
      <c r="AA32" s="19">
        <f t="shared" si="3"/>
        <v>1953</v>
      </c>
      <c r="AB32" s="19" t="str">
        <f t="shared" si="4"/>
        <v>#VALUE!</v>
      </c>
      <c r="AC32" s="22" t="s">
        <v>57</v>
      </c>
    </row>
    <row r="33" ht="14.25" customHeight="1">
      <c r="B33" s="71" t="s">
        <v>99</v>
      </c>
      <c r="C33" s="111">
        <f>CAJICA!C33+COTA!C33+CHIA!C33+ZIPAQUIRA!C33+TABIO!C33+TENJO!C33+SOPO!C33+GACHANCIPA!C33+TOCANCIPA!C33+NEMOCON!C33+COGUA!C33</f>
        <v>18723.904</v>
      </c>
      <c r="D33" s="111">
        <f>CAJICA!D33+COTA!D33+CHIA!D33+ZIPAQUIRA!D33+TABIO!D33+TENJO!D33+SOPO!D33+GACHANCIPA!D33+TOCANCIPA!D33+NEMOCON!D33+COGUA!D33</f>
        <v>27402.942</v>
      </c>
      <c r="E33" s="111">
        <f>CAJICA!E33+COTA!E33+CHIA!E33+ZIPAQUIRA!E33+TABIO!E33+TENJO!E33+SOPO!E33+GACHANCIPA!E33+TOCANCIPA!E33+NEMOCON!E33+COGUA!E33</f>
        <v>27743.976</v>
      </c>
      <c r="F33" s="111">
        <f>CAJICA!F33+COTA!F33+CHIA!F33+ZIPAQUIRA!F33+TABIO!F33+TENJO!F33+SOPO!F33+GACHANCIPA!F33+TOCANCIPA!F33+NEMOCON!F33+COGUA!F33</f>
        <v>28167.011</v>
      </c>
      <c r="G33" s="111">
        <f>CAJICA!G33+COTA!G33+CHIA!G33+ZIPAQUIRA!G33+TABIO!G33+TENJO!G33+SOPO!G33+GACHANCIPA!G33+TOCANCIPA!G33+NEMOCON!G33+COGUA!G33</f>
        <v>28088.068</v>
      </c>
      <c r="H33" s="111">
        <f>CAJICA!H33+COTA!H33+CHIA!H33+ZIPAQUIRA!H33+TABIO!H33+TENJO!H33+SOPO!H33+GACHANCIPA!H33+TOCANCIPA!H33+NEMOCON!H33+COGUA!H33</f>
        <v>25762.947</v>
      </c>
      <c r="L33" s="15" t="s">
        <v>100</v>
      </c>
      <c r="M33" s="17">
        <f>CAJICA!M33+COTA!M34+CHIA!M33+ZIPAQUIRA!M33+TABIO!M33+TENJO!M33+SOPO!M33+GACHANCIPA!M33+TOCANCIPA!M33+NEMOCON!M33+COGUA!M33</f>
        <v>43118</v>
      </c>
      <c r="N33" s="19">
        <f>M33/C7*10000</f>
        <v>964.0326695</v>
      </c>
      <c r="O33" s="17">
        <f>CAJICA!O33+COTA!O34+CHIA!O33+ZIPAQUIRA!O33+TABIO!O33+TENJO!O33+SOPO!O33+GACHANCIPA!O33+TOCANCIPA!O33+NEMOCON!O33+COGUA!O33</f>
        <v>55528</v>
      </c>
      <c r="P33" s="19">
        <f>O33/D7*10000</f>
        <v>1200.935176</v>
      </c>
      <c r="Q33" s="17">
        <f>CAJICA!Q33+COTA!Q34+CHIA!Q33+ZIPAQUIRA!Q33+TABIO!Q33+TENJO!Q33+SOPO!Q33+GACHANCIPA!Q33+TOCANCIPA!Q33+NEMOCON!Q33+COGUA!Q33</f>
        <v>71803</v>
      </c>
      <c r="R33" s="19">
        <f>Q33/E7*10000</f>
        <v>1505.547017</v>
      </c>
      <c r="S33" s="17">
        <f>CAJICA!S33+COTA!S34+CHIA!S33+ZIPAQUIRA!S33+TABIO!S33+TENJO!S33+SOPO!S33+GACHANCIPA!S33+TOCANCIPA!S33+NEMOCON!S33+COGUA!S33</f>
        <v>64996</v>
      </c>
      <c r="T33" s="19">
        <f>S33/F7*10000</f>
        <v>1321.556523</v>
      </c>
      <c r="U33" s="17">
        <f>CAJICA!U33+COTA!U34+CHIA!U33+ZIPAQUIRA!U33+TABIO!U33+TENJO!U33+SOPO!U33+GACHANCIPA!U33+TOCANCIPA!U33+NEMOCON!U33+COGUA!U33</f>
        <v>66870</v>
      </c>
      <c r="V33" s="19" t="str">
        <f>U33/G7*10000</f>
        <v>#VALUE!</v>
      </c>
      <c r="W33" s="17">
        <f>CAJICA!W33+COTA!W34+CHIA!W33+ZIPAQUIRA!W33+TABIO!W33+TENJO!W33+SOPO!W33+GACHANCIPA!W33+TOCANCIPA!W33+NEMOCON!W33+COGUA!W33</f>
        <v>35075</v>
      </c>
      <c r="X33" s="19">
        <f>W33/H7*10000</f>
        <v>673.9308373</v>
      </c>
      <c r="Y33" s="19">
        <f t="shared" ref="Y33:Z33" si="40">((M33+O33+Q33+S33)/4)</f>
        <v>58861.25</v>
      </c>
      <c r="Z33" s="19">
        <f t="shared" si="40"/>
        <v>1248.017846</v>
      </c>
      <c r="AA33" s="19">
        <f t="shared" si="3"/>
        <v>65933</v>
      </c>
      <c r="AB33" s="19" t="str">
        <f t="shared" si="4"/>
        <v>#VALUE!</v>
      </c>
      <c r="AC33" s="22" t="s">
        <v>57</v>
      </c>
    </row>
    <row r="34" ht="14.25" customHeight="1">
      <c r="B34" s="71" t="s">
        <v>101</v>
      </c>
      <c r="C34" s="111">
        <f>CAJICA!C34+COTA!C34+CHIA!C34+ZIPAQUIRA!C34+TABIO!C34+TENJO!C34+SOPO!C34+GACHANCIPA!C34+TOCANCIPA!C34+NEMOCON!C34+COGUA!C34</f>
        <v>39073.335</v>
      </c>
      <c r="D34" s="112">
        <f>CAJICA!D34+COTA!D34+CHIA!D34+ZIPAQUIRA!D34+TABIO!D34+TENJO!D34+SOPO!D34+GACHANCIPA!D34+TOCANCIPA!A35+NEMOCON!D34+COGUA!D34</f>
        <v>47469.465</v>
      </c>
      <c r="E34" s="112">
        <f>CAJICA!E34+COTA!E34+CHIA!E34+ZIPAQUIRA!E34+TABIO!E34+TENJO!E34+SOPO!E34+GACHANCIPA!E34+TOCANCIPA!E34+NEMOCON!E34+COGUA!E34</f>
        <v>58132.537</v>
      </c>
      <c r="F34" s="112">
        <f>CAJICA!F34+COTA!F34+CHIA!F34+ZIPAQUIRA!F34+TABIO!F34+TENJO!F34+SOPO!F34+GACHANCIPA!F34+TOCANCIPA!F34+NEMOCON!F34+COGUA!F34</f>
        <v>58898.583</v>
      </c>
      <c r="G34" s="112">
        <f>CAJICA!G34+COTA!G34+CHIA!G34+ZIPAQUIRA!G34+TABIO!G34+TENJO!G34+SOPO!G34+GACHANCIPA!G34+TOCANCIPA!G34+NEMOCON!G34+COGUA!G34</f>
        <v>59137.618</v>
      </c>
      <c r="H34" s="111">
        <f>CAJICA!H34+COTA!H34+CHIA!H34+ZIPAQUIRA!H34+TABIO!H34+TENJO!H34+SOPO!H34+GACHANCIPA!H34+TOCANCIPA!H34+NEMOCON!H34+COGUA!H34</f>
        <v>50332.6</v>
      </c>
      <c r="L34" s="15" t="s">
        <v>102</v>
      </c>
      <c r="M34" s="17">
        <f>CAJICA!M34+COTA!M35+CHIA!M34+ZIPAQUIRA!M34+TABIO!M34+TENJO!M34+SOPO!M34+GACHANCIPA!M34+TOCANCIPA!M34+NEMOCON!M34+COGUA!M34</f>
        <v>17013</v>
      </c>
      <c r="N34" s="19">
        <f>M34/C7*10000</f>
        <v>380.3768219</v>
      </c>
      <c r="O34" s="17">
        <f>CAJICA!O34+COTA!O35+CHIA!O34+ZIPAQUIRA!O34+TABIO!O34+TENJO!O34+SOPO!O34+GACHANCIPA!O34+TOCANCIPA!O34+NEMOCON!O34+COGUA!O34</f>
        <v>17484</v>
      </c>
      <c r="P34" s="19">
        <f>O34/D7*10000</f>
        <v>378.1362666</v>
      </c>
      <c r="Q34" s="17">
        <f>CAJICA!Q34+COTA!Q35+CHIA!Q34+ZIPAQUIRA!Q34+TABIO!Q34+TENJO!Q34+SOPO!Q34+GACHANCIPA!Q34+TOCANCIPA!Q34+NEMOCON!Q34+COGUA!Q34</f>
        <v>25305</v>
      </c>
      <c r="R34" s="19">
        <f>Q34/E7*10000</f>
        <v>530.5887953</v>
      </c>
      <c r="S34" s="17">
        <f>CAJICA!S34+COTA!S35+CHIA!S34+ZIPAQUIRA!S34+TABIO!S34+TENJO!S34+SOPO!S34+GACHANCIPA!S34+TOCANCIPA!S34+NEMOCON!S34+COGUA!S34</f>
        <v>23776</v>
      </c>
      <c r="T34" s="19">
        <f>S34/F7*10000</f>
        <v>483.4347945</v>
      </c>
      <c r="U34" s="17">
        <f>CAJICA!U34+COTA!U35+CHIA!U34+ZIPAQUIRA!U34+TABIO!U34+TENJO!U34+SOPO!U34+GACHANCIPA!U34+TOCANCIPA!U34+NEMOCON!U34+COGUA!U34</f>
        <v>33304</v>
      </c>
      <c r="V34" s="19" t="str">
        <f>U34/G7*10000</f>
        <v>#VALUE!</v>
      </c>
      <c r="W34" s="17">
        <f>CAJICA!W34+COTA!W35+CHIA!W34+ZIPAQUIRA!W34+TABIO!W34+TENJO!W34+SOPO!W34+GACHANCIPA!W34+TOCANCIPA!W34+NEMOCON!W34+COGUA!W34</f>
        <v>18250</v>
      </c>
      <c r="X34" s="19">
        <f>W34/H7*10000</f>
        <v>350.6553893</v>
      </c>
      <c r="Y34" s="19">
        <f t="shared" ref="Y34:Z34" si="41">((M34+O34+Q34+S34)/4)</f>
        <v>20894.5</v>
      </c>
      <c r="Z34" s="19">
        <f t="shared" si="41"/>
        <v>443.1341696</v>
      </c>
      <c r="AA34" s="19">
        <f t="shared" si="3"/>
        <v>28540</v>
      </c>
      <c r="AB34" s="19" t="str">
        <f t="shared" si="4"/>
        <v>#VALUE!</v>
      </c>
      <c r="AC34" s="22" t="s">
        <v>57</v>
      </c>
    </row>
    <row r="35" ht="14.25" customHeight="1">
      <c r="B35" s="71" t="s">
        <v>103</v>
      </c>
      <c r="C35" s="111">
        <f>CAJICA!C35+COTA!C35+CHIA!C35+ZIPAQUIRA!C35+TABIO!C35+TENJO!C35+SOPO!C35+GACHANCIPA!C35+TOCANCIPA!C35+NEMOCON!C35+COGUA!C35</f>
        <v>82024.601</v>
      </c>
      <c r="D35" s="48" t="str">
        <f>CAJICA!D35+#REF!+CHIA!D35+ZIPAQUIRA!D35+TABIO!D35+TENJO!D35+SOPO!D35+GACHANCIPA!D35+TOCANCIPA!D35+NEMOCON!D35+COGUA!D35</f>
        <v>#REF!</v>
      </c>
      <c r="E35" s="48" t="str">
        <f>CAJICA!E35+#REF!+CHIA!E35+ZIPAQUIRA!E35+TABIO!E35+TENJO!E35+SOPO!E35+GACHANCIPA!E35+TOCANCIPA!E35+NEMOCON!E35+COGUA!E35</f>
        <v>#REF!</v>
      </c>
      <c r="F35" s="48" t="str">
        <f>CAJICA!F35+#REF!+CHIA!F35+ZIPAQUIRA!F35+TABIO!F35+TENJO!F35+SOPO!F35+GACHANCIPA!F35+TOCANCIPA!F35+NEMOCON!F35+COGUA!F35</f>
        <v>#REF!</v>
      </c>
      <c r="G35" s="48" t="str">
        <f>CAJICA!G35+#REF!+CHIA!G35+ZIPAQUIRA!G35+TABIO!G35+TENJO!G35+SOPO!G35+GACHANCIPA!G35+TOCANCIPA!G35+NEMOCON!G35+COGUA!G35</f>
        <v>#REF!</v>
      </c>
      <c r="H35" s="48" t="str">
        <f>CAJICA!H35+#REF!+CHIA!H35+ZIPAQUIRA!H35+TABIO!H35+TENJO!H35+SOPO!H35+GACHANCIPA!H35+TOCANCIPA!H35+NEMOCON!H35+COGUA!H35</f>
        <v>#REF!</v>
      </c>
      <c r="L35" s="15" t="s">
        <v>104</v>
      </c>
      <c r="M35" s="17">
        <f>CAJICA!M35+COTA!M36+CHIA!M35+ZIPAQUIRA!M35+TABIO!M35+TENJO!M35+SOPO!M35+GACHANCIPA!M35+TOCANCIPA!M35+NEMOCON!M35+COGUA!M35</f>
        <v>293</v>
      </c>
      <c r="N35" s="19">
        <f>M35/M4*1000</f>
        <v>70.34813926</v>
      </c>
      <c r="O35" s="17">
        <f>CAJICA!O35+COTA!O36+CHIA!O35+ZIPAQUIRA!O35+TABIO!O35+TENJO!O35+SOPO!O35+GACHANCIPA!O35+TOCANCIPA!O35+NEMOCON!O35+COGUA!O35</f>
        <v>319</v>
      </c>
      <c r="P35" s="19">
        <f>O35/O4*1000</f>
        <v>69.07752274</v>
      </c>
      <c r="Q35" s="17">
        <f>CAJICA!Q35+COTA!Q36+CHIA!Q35+ZIPAQUIRA!Q35+TABIO!Q35+TENJO!Q35+SOPO!Q35+GACHANCIPA!Q35+TOCANCIPA!Q35+NEMOCON!Q35+COGUA!Q35</f>
        <v>343</v>
      </c>
      <c r="R35" s="19">
        <f>Q35/Q4*1000</f>
        <v>72.08911307</v>
      </c>
      <c r="S35" s="17">
        <f>CAJICA!S35+COTA!S36+CHIA!S35+ZIPAQUIRA!S35+TABIO!S35+TENJO!S35+SOPO!S35+GACHANCIPA!S35+TOCANCIPA!S35+NEMOCON!S35+COGUA!S35</f>
        <v>215</v>
      </c>
      <c r="T35" s="19">
        <f>S35/S4*1000</f>
        <v>50.52878966</v>
      </c>
      <c r="U35" s="17">
        <f>CAJICA!U35+COTA!U36+CHIA!U35+ZIPAQUIRA!U35+TABIO!U35+TENJO!U35+SOPO!U35+GACHANCIPA!U35+TOCANCIPA!U35+NEMOCON!U35+COGUA!U35</f>
        <v>369</v>
      </c>
      <c r="V35" s="19">
        <f>U35/U4*1000</f>
        <v>85.06224066</v>
      </c>
      <c r="W35" s="17">
        <f>CAJICA!W35+COTA!W36+CHIA!W35+ZIPAQUIRA!W35+TABIO!W35+TENJO!W35+SOPO!W35+GACHANCIPA!W35+TOCANCIPA!W35+NEMOCON!W35+COGUA!W35</f>
        <v>200</v>
      </c>
      <c r="X35" s="19">
        <f>W35/W4*1000</f>
        <v>108.1081081</v>
      </c>
      <c r="Y35" s="19">
        <f t="shared" ref="Y35:Z35" si="42">((M35+O35+Q35+S35)/4)</f>
        <v>292.5</v>
      </c>
      <c r="Z35" s="19">
        <f t="shared" si="42"/>
        <v>65.51089118</v>
      </c>
      <c r="AA35" s="19">
        <f t="shared" si="3"/>
        <v>292</v>
      </c>
      <c r="AB35" s="19">
        <f t="shared" si="4"/>
        <v>96.58517439</v>
      </c>
      <c r="AC35" s="22" t="s">
        <v>57</v>
      </c>
    </row>
    <row r="36" ht="14.25" customHeight="1">
      <c r="B36" s="71" t="s">
        <v>105</v>
      </c>
      <c r="C36" s="111">
        <f>CAJICA!C36+COTA!C36+CHIA!C36+ZIPAQUIRA!C36+TABIO!C36+TENJO!C36+SOPO!C36+GACHANCIPA!C36+TOCANCIPA!A36+NEMOCON!C36+COGUA!C36</f>
        <v>16398.477</v>
      </c>
      <c r="D36" s="111">
        <f>CAJICA!D36+COTA!D35+CHIA!D36+ZIPAQUIRA!D36+TABIO!D36+TENJO!D36+SOPO!D36+GACHANCIPA!D36+TOCANCIPA!D36+NEMOCON!D36+COGUA!D36</f>
        <v>35129.561</v>
      </c>
      <c r="E36" s="111">
        <f>CAJICA!E36+COTA!E35+CHIA!E36+ZIPAQUIRA!E36+TABIO!E36+TENJO!E36+SOPO!E36+GACHANCIPA!E36+TOCANCIPA!E36+NEMOCON!E36+COGUA!E36</f>
        <v>107620.118</v>
      </c>
      <c r="F36" s="111">
        <f>CAJICA!F36+COTA!F35+CHIA!F36+ZIPAQUIRA!F36+TABIO!F36+TENJO!F36+SOPO!F36+GACHANCIPA!F36+TOCANCIPA!F36+NEMOCON!F36+COGUA!F36</f>
        <v>110838.392</v>
      </c>
      <c r="G36" s="48" t="str">
        <f>CAJICA!G36+COTA!G35+CHIA!G36+ZIPAQUIRA!G36+TABIO!G36+TENJO!G36+SOPO!G36+GACHANCIPA!G36+TOCANCIPA!G36+NEMOCON!G36+COGUA!G36</f>
        <v>#VALUE!</v>
      </c>
      <c r="H36" s="48" t="str">
        <f>CAJICA!H36+COTA!H35+CHIA!H36+ZIPAQUIRA!H36+TABIO!H36+TENJO!H36+SOPO!H36+GACHANCIPA!H36+TOCANCIPA!H36+NEMOCON!H36+COGUA!H36</f>
        <v>#VALUE!</v>
      </c>
      <c r="L36" s="15" t="s">
        <v>106</v>
      </c>
      <c r="M36" s="17">
        <f>CAJICA!M36+COTA!M37+CHIA!M36+ZIPAQUIRA!M36+TABIO!M36+TENJO!M36+SOPO!M36+GACHANCIPA!M36+TOCANCIPA!M36+NEMOCON!M36+COGUA!M36</f>
        <v>42</v>
      </c>
      <c r="N36" s="19">
        <f>M36/M4*1000</f>
        <v>10.08403361</v>
      </c>
      <c r="O36" s="17">
        <f>CAJICA!O36+COTA!O37+CHIA!O36+ZIPAQUIRA!O36+TABIO!O36+TENJO!O36+SOPO!O36+GACHANCIPA!O36+TOCANCIPA!O36+NEMOCON!O36+COGUA!O36</f>
        <v>25</v>
      </c>
      <c r="P36" s="19">
        <f>O36/O4*1000</f>
        <v>5.413598961</v>
      </c>
      <c r="Q36" s="17">
        <f>CAJICA!Q36+COTA!Q37+CHIA!Q36+ZIPAQUIRA!Q36+TABIO!Q36+TENJO!Q36+SOPO!Q36+GACHANCIPA!Q36+TOCANCIPA!Q36+NEMOCON!Q36+COGUA!Q36</f>
        <v>37</v>
      </c>
      <c r="R36" s="19">
        <f>Q36/Q4*1000</f>
        <v>7.776376629</v>
      </c>
      <c r="S36" s="17">
        <f>CAJICA!S36+COTA!S37+CHIA!S36+ZIPAQUIRA!S36+TABIO!S36+TENJO!S36+SOPO!S36+GACHANCIPA!S36+TOCANCIPA!S36+NEMOCON!S36+COGUA!S36</f>
        <v>36</v>
      </c>
      <c r="T36" s="19">
        <f>S36/S4*1000</f>
        <v>8.460634548</v>
      </c>
      <c r="U36" s="17">
        <f>CAJICA!U36+COTA!U37+CHIA!U36+ZIPAQUIRA!U36+TABIO!U36+TENJO!U36+SOPO!U36+GACHANCIPA!U36+TOCANCIPA!U36+NEMOCON!U36+COGUA!U36</f>
        <v>60</v>
      </c>
      <c r="V36" s="19">
        <f>U36/U4*1000</f>
        <v>13.83125864</v>
      </c>
      <c r="W36" s="17">
        <f>CAJICA!W36+COTA!W37+CHIA!W36+ZIPAQUIRA!W36+TABIO!W36+TENJO!W36+SOPO!W36+GACHANCIPA!W36+TOCANCIPA!W36+NEMOCON!W36+COGUA!W36</f>
        <v>31</v>
      </c>
      <c r="X36" s="19">
        <f>W36/W4*1000</f>
        <v>16.75675676</v>
      </c>
      <c r="Y36" s="19">
        <f t="shared" ref="Y36:Z36" si="43">((M36+O36+Q36+S36)/4)</f>
        <v>35</v>
      </c>
      <c r="Z36" s="19">
        <f t="shared" si="43"/>
        <v>7.933660938</v>
      </c>
      <c r="AA36" s="19">
        <f t="shared" si="3"/>
        <v>48</v>
      </c>
      <c r="AB36" s="19">
        <f t="shared" si="4"/>
        <v>15.2940077</v>
      </c>
      <c r="AC36" s="22" t="s">
        <v>57</v>
      </c>
    </row>
    <row r="37" ht="14.25" customHeight="1">
      <c r="L37" s="54" t="s">
        <v>107</v>
      </c>
      <c r="M37" s="17">
        <f>CAJICA!M37+COTA!M38+CHIA!M37+ZIPAQUIRA!M37+TABIO!M37+TENJO!M37+SOPO!M37+GACHANCIPA!M37+TOCANCIPA!M37+NEMOCON!M37+COGUA!M37</f>
        <v>4</v>
      </c>
      <c r="N37" s="17">
        <f>CAJICA!N37+COTA!N37+CHIA!N37+ZIPAQUIRA!N37+TABIO!N37+TENJO!N37+SOPO!N37+GACHANCIPA!N37+TOCANCIPA!N37+NEMOCON!N37+COGUA!N37</f>
        <v>0</v>
      </c>
      <c r="O37" s="17">
        <f>CAJICA!O37+COTA!O38+CHIA!O37+ZIPAQUIRA!O37+TABIO!O37+TENJO!O37+SOPO!O37+GACHANCIPA!O37+TOCANCIPA!O37+NEMOCON!O37+COGUA!O37</f>
        <v>8</v>
      </c>
      <c r="P37" s="17">
        <f>CAJICA!P37+COTA!P37+CHIA!P37+ZIPAQUIRA!P37+TABIO!P37+TENJO!P37+SOPO!P37+GACHANCIPA!P37+TOCANCIPA!P37+NEMOCON!P37+COGUA!P37</f>
        <v>2.145922747</v>
      </c>
      <c r="Q37" s="17">
        <f>CAJICA!Q37+COTA!Q38+CHIA!Q37+ZIPAQUIRA!Q37+TABIO!Q37+TENJO!Q37+SOPO!Q37+GACHANCIPA!Q37+TOCANCIPA!Q37+NEMOCON!Q37+COGUA!Q37</f>
        <v>4</v>
      </c>
      <c r="R37" s="17">
        <f>CAJICA!R37+COTA!R37+CHIA!R37+ZIPAQUIRA!R37+TABIO!R37+TENJO!R37+SOPO!R37+GACHANCIPA!R37+TOCANCIPA!R37+NEMOCON!R37+COGUA!R37</f>
        <v>0</v>
      </c>
      <c r="S37" s="17">
        <f>CAJICA!S37+COTA!S38+CHIA!S37+ZIPAQUIRA!S37+TABIO!S37+TENJO!S37+SOPO!S37+GACHANCIPA!S37+TOCANCIPA!S37+NEMOCON!S37+COGUA!S37</f>
        <v>7</v>
      </c>
      <c r="T37" s="17">
        <f>CAJICA!T37+COTA!T37+CHIA!T37+ZIPAQUIRA!T37+TABIO!T37+TENJO!T37+SOPO!T37+GACHANCIPA!T37+TOCANCIPA!T37+NEMOCON!T37+COGUA!T37</f>
        <v>1.145475372</v>
      </c>
      <c r="U37" s="17">
        <f>CAJICA!U37+COTA!U38+CHIA!U37+ZIPAQUIRA!U37+TABIO!U37+TENJO!U37+SOPO!U37+GACHANCIPA!U37+TOCANCIPA!U37+NEMOCON!U37+COGUA!U37</f>
        <v>9</v>
      </c>
      <c r="V37" s="17">
        <f>CAJICA!V37+COTA!V37+CHIA!V37+ZIPAQUIRA!V37+TABIO!V37+TENJO!V37+SOPO!V37+GACHANCIPA!V37+TOCANCIPA!V37+NEMOCON!V37+COGUA!V37</f>
        <v>2.249718785</v>
      </c>
      <c r="W37" s="17">
        <f>CAJICA!W37+COTA!W38+CHIA!W37+ZIPAQUIRA!W37+TABIO!W37+TENJO!W37+SOPO!W37+GACHANCIPA!W37+TOCANCIPA!W37+NEMOCON!W37+COGUA!W37</f>
        <v>3</v>
      </c>
      <c r="X37" s="17">
        <f>CAJICA!X37+COTA!X37+CHIA!X37+ZIPAQUIRA!X37+TABIO!X37+TENJO!X37+SOPO!X37+GACHANCIPA!X37+TOCANCIPA!X37+NEMOCON!X37+COGUA!X37</f>
        <v>2.583979328</v>
      </c>
      <c r="Y37" s="19">
        <f t="shared" ref="Y37:Z37" si="44">((M37+O37+Q37+S37)/4)</f>
        <v>5.75</v>
      </c>
      <c r="Z37" s="19">
        <f t="shared" si="44"/>
        <v>0.8228495298</v>
      </c>
      <c r="AA37" s="19">
        <f t="shared" si="3"/>
        <v>8</v>
      </c>
      <c r="AB37" s="19">
        <f t="shared" si="4"/>
        <v>2.416849057</v>
      </c>
      <c r="AC37" s="22" t="s">
        <v>57</v>
      </c>
    </row>
    <row r="38" ht="14.25" customHeight="1">
      <c r="L38" s="15" t="s">
        <v>108</v>
      </c>
      <c r="M38" s="17">
        <f>CAJICA!M38+COTA!M39+CHIA!M38+ZIPAQUIRA!M38+TABIO!M38+TENJO!M38+SOPO!M38+GACHANCIPA!M38+TOCANCIPA!M38+NEMOCON!M38+COGUA!M38</f>
        <v>20</v>
      </c>
      <c r="N38" s="19">
        <f>M38/C7*10000</f>
        <v>0.4471601974</v>
      </c>
      <c r="O38" s="17">
        <f>CAJICA!O38+COTA!O39+CHIA!O38+ZIPAQUIRA!O38+TABIO!O38+TENJO!O38+SOPO!O38+GACHANCIPA!O38+TOCANCIPA!O38+NEMOCON!O38+COGUA!O38</f>
        <v>30</v>
      </c>
      <c r="P38" s="19">
        <f>O38/E7*10000</f>
        <v>0.6290323595</v>
      </c>
      <c r="Q38" s="17">
        <f>CAJICA!Q38+COTA!Q39+CHIA!Q38+ZIPAQUIRA!Q38+TABIO!Q38+TENJO!Q38+SOPO!Q38+GACHANCIPA!Q38+TOCANCIPA!Q38+NEMOCON!Q38+COGUA!Q38</f>
        <v>83</v>
      </c>
      <c r="R38" s="19">
        <f>Q38/E7*10000</f>
        <v>1.740322861</v>
      </c>
      <c r="S38" s="17">
        <f>CAJICA!S38+COTA!S39+CHIA!S38+ZIPAQUIRA!S38+TABIO!S38+TENJO!S38+SOPO!S38+GACHANCIPA!S38+TOCANCIPA!S38+NEMOCON!S38+COGUA!S38</f>
        <v>103</v>
      </c>
      <c r="T38" s="19">
        <f>S38/F7*10000</f>
        <v>2.094287678</v>
      </c>
      <c r="U38" s="17">
        <f>CAJICA!U38+COTA!U39+CHIA!U38+ZIPAQUIRA!U38+TABIO!U38+TENJO!U38+SOPO!U38+GACHANCIPA!U38+TOCANCIPA!U38+NEMOCON!U38+COGUA!U38</f>
        <v>139</v>
      </c>
      <c r="V38" s="19" t="str">
        <f>U38/G7*10000</f>
        <v>#VALUE!</v>
      </c>
      <c r="W38" s="17">
        <f>CAJICA!W38+COTA!W39+CHIA!W38+ZIPAQUIRA!W38+TABIO!W38+TENJO!W38+SOPO!W38+GACHANCIPA!W38+TOCANCIPA!W38+NEMOCON!W38+COGUA!W38</f>
        <v>161</v>
      </c>
      <c r="X38" s="19">
        <f>W38/H7*10000</f>
        <v>3.093453024</v>
      </c>
      <c r="Y38" s="19">
        <f t="shared" ref="Y38:Z38" si="45">((M38+O38+Q38+S38)/4)</f>
        <v>59</v>
      </c>
      <c r="Z38" s="19">
        <f t="shared" si="45"/>
        <v>1.227700774</v>
      </c>
      <c r="AA38" s="19">
        <f t="shared" si="3"/>
        <v>121</v>
      </c>
      <c r="AB38" s="19" t="str">
        <f t="shared" si="4"/>
        <v>#VALUE!</v>
      </c>
      <c r="AC38" s="22" t="s">
        <v>57</v>
      </c>
    </row>
    <row r="39" ht="14.25" customHeight="1">
      <c r="L39" s="15" t="s">
        <v>109</v>
      </c>
      <c r="M39" s="17">
        <f>CAJICA!M39+COTA!M40+CHIA!M39+ZIPAQUIRA!M39+TABIO!M39+TENJO!M39+SOPO!M39+GACHANCIPA!M39+TOCANCIPA!M39+NEMOCON!M39+COGUA!M39</f>
        <v>255</v>
      </c>
      <c r="N39" s="19">
        <f>M39/C17*10000</f>
        <v>19.54207732</v>
      </c>
      <c r="O39" s="17">
        <f>CAJICA!O39+COTA!O40+CHIA!O39+ZIPAQUIRA!O39+TABIO!O39+TENJO!O39+SOPO!O39+GACHANCIPA!O39+TOCANCIPA!O39+NEMOCON!O39+COGUA!O39</f>
        <v>258</v>
      </c>
      <c r="P39" s="19">
        <f>O39/D17*10000</f>
        <v>19.38088353</v>
      </c>
      <c r="Q39" s="17">
        <f>CAJICA!Q39+COTA!Q40+CHIA!Q39+ZIPAQUIRA!Q39+TABIO!Q39+TENJO!Q39+SOPO!Q39+GACHANCIPA!Q39+TOCANCIPA!Q39+NEMOCON!Q39+COGUA!Q39</f>
        <v>450</v>
      </c>
      <c r="R39" s="19">
        <f>Q39/E17*100000</f>
        <v>329.878107</v>
      </c>
      <c r="S39" s="17">
        <f>CAJICA!S39+COTA!S40+CHIA!S39+ZIPAQUIRA!S39+TABIO!S39+TENJO!S39+SOPO!S39+GACHANCIPA!S39+TOCANCIPA!S39+NEMOCON!S39+COGUA!S39</f>
        <v>1267</v>
      </c>
      <c r="T39" s="19">
        <f>S39/F17*100000</f>
        <v>912.8756784</v>
      </c>
      <c r="U39" s="17">
        <f>CAJICA!U39+COTA!U40+CHIA!U39+ZIPAQUIRA!U39+TABIO!U39+TENJO!U39+SOPO!U39+GACHANCIPA!U39+TOCANCIPA!U39+NEMOCON!U39+COGUA!U39</f>
        <v>1431</v>
      </c>
      <c r="V39" s="19">
        <f>U39/G17*100000</f>
        <v>1038.067781</v>
      </c>
      <c r="W39" s="17">
        <f>CAJICA!W39+COTA!W40+CHIA!W39+ZIPAQUIRA!W39+TABIO!W39+TENJO!W39+SOPO!W39+GACHANCIPA!W39+TOCANCIPA!W39+NEMOCON!W39+COGUA!W39</f>
        <v>854</v>
      </c>
      <c r="X39" s="19">
        <f>W39/H17*100000</f>
        <v>610.2121184</v>
      </c>
      <c r="Y39" s="19">
        <f t="shared" ref="Y39:Z39" si="46">((M39+O39+Q39+S39)/4)</f>
        <v>557.5</v>
      </c>
      <c r="Z39" s="19">
        <f t="shared" si="46"/>
        <v>320.4191866</v>
      </c>
      <c r="AA39" s="19">
        <f t="shared" si="3"/>
        <v>1349</v>
      </c>
      <c r="AB39" s="19">
        <f t="shared" si="4"/>
        <v>824.1399496</v>
      </c>
      <c r="AC39" s="22" t="s">
        <v>57</v>
      </c>
    </row>
    <row r="40" ht="14.25" customHeight="1">
      <c r="L40" s="15" t="s">
        <v>110</v>
      </c>
      <c r="M40" s="17">
        <f>CAJICA!M40+COTA!M41+CHIA!M40+ZIPAQUIRA!M40+TABIO!M40+TENJO!M40+SOPO!M40+GACHANCIPA!M40+TOCANCIPA!M40+NEMOCON!M40+COGUA!M40</f>
        <v>372</v>
      </c>
      <c r="N40" s="19">
        <f>M40/C7*100000</f>
        <v>83.17179671</v>
      </c>
      <c r="O40" s="17">
        <f>CAJICA!O40+COTA!O41+CHIA!O40+ZIPAQUIRA!O40+TABIO!O40+TENJO!O40+SOPO!O40+GACHANCIPA!O40+TOCANCIPA!O40+NEMOCON!O40+COGUA!O40</f>
        <v>378</v>
      </c>
      <c r="P40" s="19">
        <f>O40/D7*100000</f>
        <v>81.75217844</v>
      </c>
      <c r="Q40" s="17">
        <f>CAJICA!Q40+COTA!Q41+CHIA!Q40+ZIPAQUIRA!Q40+TABIO!Q40+TENJO!Q40+SOPO!Q40+GACHANCIPA!Q40+TOCANCIPA!Q40+NEMOCON!Q40+COGUA!Q40</f>
        <v>613</v>
      </c>
      <c r="R40" s="19">
        <f>Q40/E7*100000</f>
        <v>128.5322788</v>
      </c>
      <c r="S40" s="17">
        <f>CAJICA!S40+COTA!S41+CHIA!S40+ZIPAQUIRA!S40+TABIO!S40+TENJO!S40+SOPO!S40+GACHANCIPA!S40+TOCANCIPA!S40+NEMOCON!S40+COGUA!S40</f>
        <v>815</v>
      </c>
      <c r="T40" s="19">
        <f>S40/F7*100000</f>
        <v>165.7130541</v>
      </c>
      <c r="U40" s="17">
        <f>CAJICA!U40+COTA!U41+CHIA!U40+ZIPAQUIRA!U40+TABIO!U40+TENJO!U40+SOPO!U40+GACHANCIPA!U40+TOCANCIPA!U40+NEMOCON!U40+COGUA!U40</f>
        <v>867</v>
      </c>
      <c r="V40" s="19" t="str">
        <f>U40/G7*100000</f>
        <v>#VALUE!</v>
      </c>
      <c r="W40" s="17">
        <f>CAJICA!W40+COTA!W41+CHIA!W40+ZIPAQUIRA!W40+TABIO!W40+TENJO!W40+SOPO!W40+GACHANCIPA!W40+TOCANCIPA!W40+NEMOCON!W40+COGUA!W40</f>
        <v>451</v>
      </c>
      <c r="X40" s="19">
        <f>W40/H7*100000</f>
        <v>86.65511265</v>
      </c>
      <c r="Y40" s="19">
        <f t="shared" ref="Y40:Z40" si="47">((M40+O40+Q40+S40)/4)</f>
        <v>544.5</v>
      </c>
      <c r="Z40" s="19">
        <f t="shared" si="47"/>
        <v>114.792327</v>
      </c>
      <c r="AA40" s="19">
        <f t="shared" si="3"/>
        <v>841</v>
      </c>
      <c r="AB40" s="19" t="str">
        <f t="shared" si="4"/>
        <v>#VALUE!</v>
      </c>
      <c r="AC40" s="22" t="s">
        <v>57</v>
      </c>
    </row>
    <row r="41" ht="14.25" customHeight="1">
      <c r="L41" s="15" t="s">
        <v>111</v>
      </c>
      <c r="M41" s="17">
        <f>CAJICA!M41+COTA!M42+CHIA!M41+ZIPAQUIRA!M41+TABIO!M41+TENJO!M41+SOPO!M41+GACHANCIPA!M41+TOCANCIPA!M41+NEMOCON!M41+COGUA!M41</f>
        <v>1358</v>
      </c>
      <c r="N41" s="57">
        <f>M41/C7*10000</f>
        <v>30.3621774</v>
      </c>
      <c r="O41" s="17">
        <f>CAJICA!O41+COTA!O42+CHIA!O41+ZIPAQUIRA!O41+TABIO!O41+TENJO!O41+SOPO!O41+GACHANCIPA!O41+TOCANCIPA!O41+NEMOCON!O41+COGUA!O41</f>
        <v>1346</v>
      </c>
      <c r="P41" s="57">
        <f>O41/D7*10000</f>
        <v>29.11069634</v>
      </c>
      <c r="Q41" s="17">
        <f>CAJICA!Q41+COTA!Q42+CHIA!Q41+ZIPAQUIRA!Q41+TABIO!Q41+TENJO!Q41+SOPO!Q41+GACHANCIPA!Q41+TOCANCIPA!Q41+NEMOCON!Q41+COGUA!Q41</f>
        <v>1776</v>
      </c>
      <c r="R41" s="57">
        <f>Q41/E7*10000</f>
        <v>37.23871568</v>
      </c>
      <c r="S41" s="17">
        <f>CAJICA!S41+COTA!S42+CHIA!S41+ZIPAQUIRA!S41+TABIO!S41+TENJO!S41+SOPO!S41+GACHANCIPA!S41+TOCANCIPA!S41+NEMOCON!S41+COGUA!S41</f>
        <v>1802</v>
      </c>
      <c r="T41" s="57">
        <f>S41/F7*10000</f>
        <v>36.63986792</v>
      </c>
      <c r="U41" s="17">
        <f>CAJICA!U41+COTA!U42+CHIA!U41+ZIPAQUIRA!U41+TABIO!U41+TENJO!U41+SOPO!U41+GACHANCIPA!U41+TOCANCIPA!U41+NEMOCON!U41+COGUA!U41</f>
        <v>2197</v>
      </c>
      <c r="V41" s="57" t="str">
        <f>U41/G7*10000</f>
        <v>#VALUE!</v>
      </c>
      <c r="W41" s="17">
        <f>CAJICA!W41+COTA!W42+CHIA!W41+ZIPAQUIRA!W41+TABIO!W41+TENJO!W41+SOPO!W41+GACHANCIPA!W41+TOCANCIPA!W41+NEMOCON!W41+COGUA!W41</f>
        <v>1250</v>
      </c>
      <c r="X41" s="57">
        <f>W41/H7*10000</f>
        <v>24.01749242</v>
      </c>
      <c r="Y41" s="19">
        <f t="shared" ref="Y41:Z41" si="48">((M41+O41+Q41+S41)/4)</f>
        <v>1570.5</v>
      </c>
      <c r="Z41" s="19">
        <f t="shared" si="48"/>
        <v>33.33786434</v>
      </c>
      <c r="AA41" s="19">
        <f t="shared" si="3"/>
        <v>1999.5</v>
      </c>
      <c r="AB41" s="19" t="str">
        <f t="shared" si="4"/>
        <v>#VALUE!</v>
      </c>
      <c r="AC41" s="22" t="s">
        <v>57</v>
      </c>
    </row>
    <row r="42" ht="14.25" customHeight="1">
      <c r="L42" s="15" t="s">
        <v>112</v>
      </c>
      <c r="M42" s="17">
        <f>CAJICA!M42+COTA!M43+CHIA!M42+ZIPAQUIRA!M42+TABIO!M42+TENJO!M42+SOPO!M42+GACHANCIPA!M42+TOCANCIPA!M42+NEMOCON!M42+COGUA!M42</f>
        <v>291</v>
      </c>
      <c r="N42" s="57">
        <f>M42/C7*10000</f>
        <v>6.506180872</v>
      </c>
      <c r="O42" s="17">
        <f>CAJICA!O42+COTA!O43+CHIA!O42+ZIPAQUIRA!O42+TABIO!O42+TENJO!O42+SOPO!O42+GACHANCIPA!O42+TOCANCIPA!O42+NEMOCON!O42+COGUA!O42</f>
        <v>227</v>
      </c>
      <c r="P42" s="57">
        <f>O42/D7*10000</f>
        <v>4.909456218</v>
      </c>
      <c r="Q42" s="17">
        <f>CAJICA!Q42+COTA!Q43+CHIA!Q42+ZIPAQUIRA!Q42+TABIO!Q42+TENJO!Q42+SOPO!Q42+GACHANCIPA!Q42+TOCANCIPA!Q42+NEMOCON!Q42+COGUA!Q42</f>
        <v>438</v>
      </c>
      <c r="R42" s="57">
        <f>Q42/E7*10000</f>
        <v>9.183872449</v>
      </c>
      <c r="S42" s="17">
        <f>CAJICA!S42+COTA!S43+CHIA!S42+ZIPAQUIRA!S42+TABIO!S42+TENJO!S42+SOPO!S42+GACHANCIPA!S42+TOCANCIPA!S42+NEMOCON!S42+COGUA!S42</f>
        <v>517</v>
      </c>
      <c r="T42" s="57">
        <f>S42/F7*10000</f>
        <v>10.51210417</v>
      </c>
      <c r="U42" s="17">
        <f>CAJICA!U42+COTA!U43+CHIA!U42+ZIPAQUIRA!U42+TABIO!U42+TENJO!U42+SOPO!U42+GACHANCIPA!U42+TOCANCIPA!U42+NEMOCON!U42+COGUA!U42</f>
        <v>572</v>
      </c>
      <c r="V42" s="57" t="str">
        <f>U42/G7*10000</f>
        <v>#VALUE!</v>
      </c>
      <c r="W42" s="17">
        <f>CAJICA!W42+COTA!W43+CHIA!W42+ZIPAQUIRA!W42+TABIO!W42+TENJO!W42+SOPO!W42+GACHANCIPA!W42+TOCANCIPA!W42+NEMOCON!W42+COGUA!W42</f>
        <v>410</v>
      </c>
      <c r="X42" s="57">
        <f>W42/H7*10000</f>
        <v>7.877737514</v>
      </c>
      <c r="Y42" s="19">
        <f t="shared" ref="Y42:Z42" si="49">((M42+O42+Q42+S42)/4)</f>
        <v>368.25</v>
      </c>
      <c r="Z42" s="19">
        <f t="shared" si="49"/>
        <v>7.777903427</v>
      </c>
      <c r="AA42" s="19">
        <f t="shared" si="3"/>
        <v>544.5</v>
      </c>
      <c r="AB42" s="19" t="str">
        <f t="shared" si="4"/>
        <v>#VALUE!</v>
      </c>
      <c r="AC42" s="22" t="s">
        <v>57</v>
      </c>
    </row>
    <row r="43" ht="14.25" customHeight="1">
      <c r="L43" s="15" t="s">
        <v>113</v>
      </c>
      <c r="M43" s="17">
        <f>CAJICA!M43+COTA!M44+CHIA!M43+ZIPAQUIRA!M43+TABIO!M43+TENJO!M43+SOPO!M43+GACHANCIPA!M43+TOCANCIPA!M43+NEMOCON!M43+COGUA!M43</f>
        <v>416</v>
      </c>
      <c r="N43" s="57">
        <f>M43/C16*10000</f>
        <v>12.43504527</v>
      </c>
      <c r="O43" s="17">
        <f>CAJICA!O43+COTA!O44+CHIA!O43+ZIPAQUIRA!O43+TABIO!O43+TENJO!O43+SOPO!O43+GACHANCIPA!O43+TOCANCIPA!O43+NEMOCON!O43+COGUA!O43</f>
        <v>532</v>
      </c>
      <c r="P43" s="57">
        <f>O43/D16*10000</f>
        <v>15.04422853</v>
      </c>
      <c r="Q43" s="17">
        <f>CAJICA!Q43+COTA!Q44+CHIA!Q43+ZIPAQUIRA!Q43+TABIO!Q43+TENJO!Q43+SOPO!Q43+GACHANCIPA!Q43+TOCANCIPA!Q43+NEMOCON!Q43+COGUA!Q43</f>
        <v>795</v>
      </c>
      <c r="R43" s="57">
        <f>Q43/E16*100000</f>
        <v>223.5988348</v>
      </c>
      <c r="S43" s="17">
        <f>CAJICA!S43+COTA!S44+CHIA!S43+ZIPAQUIRA!S43+TABIO!S43+TENJO!S43+SOPO!S43+GACHANCIPA!S43+TOCANCIPA!S43+NEMOCON!S43+COGUA!S43</f>
        <v>1437</v>
      </c>
      <c r="T43" s="57">
        <f>S43/F16*100000</f>
        <v>393.4173884</v>
      </c>
      <c r="U43" s="17">
        <f>CAJICA!U43+COTA!U44+CHIA!U43+ZIPAQUIRA!U43+TABIO!U43+TENJO!U43+SOPO!U43+GACHANCIPA!U43+TOCANCIPA!U43+NEMOCON!U43+COGUA!U43</f>
        <v>1621</v>
      </c>
      <c r="V43" s="57">
        <f>U43/G16*100000</f>
        <v>431.0270845</v>
      </c>
      <c r="W43" s="17">
        <f>CAJICA!W43+COTA!W44+CHIA!W43+ZIPAQUIRA!W43+TABIO!W43+TENJO!W43+SOPO!W43+GACHANCIPA!W43+TOCANCIPA!W43+NEMOCON!W43+COGUA!W43</f>
        <v>882</v>
      </c>
      <c r="X43" s="57">
        <f>W43/H16*100000</f>
        <v>227.4773502</v>
      </c>
      <c r="Y43" s="19">
        <f t="shared" ref="Y43:Z43" si="50">((M43+O43+Q43+S43)/4)</f>
        <v>795</v>
      </c>
      <c r="Z43" s="19">
        <f t="shared" si="50"/>
        <v>161.1238743</v>
      </c>
      <c r="AA43" s="19">
        <f t="shared" si="3"/>
        <v>1529</v>
      </c>
      <c r="AB43" s="19">
        <f t="shared" si="4"/>
        <v>329.2522174</v>
      </c>
      <c r="AC43" s="22" t="s">
        <v>57</v>
      </c>
    </row>
    <row r="44" ht="14.25" customHeight="1">
      <c r="L44" s="15" t="s">
        <v>114</v>
      </c>
      <c r="M44" s="17">
        <f>CAJICA!M44+COTA!M45+CHIA!M44+ZIPAQUIRA!M44+TABIO!M44+TENJO!M44+SOPO!M44+GACHANCIPA!M44+TOCANCIPA!M44+NEMOCON!M44+COGUA!M44</f>
        <v>794</v>
      </c>
      <c r="N44" s="57">
        <f>M44/C7*100000</f>
        <v>177.5225984</v>
      </c>
      <c r="O44" s="17">
        <f>CAJICA!O44+COTA!O45+CHIA!O44+ZIPAQUIRA!O44+TABIO!O44+TENJO!O44+SOPO!O44+GACHANCIPA!O44+TOCANCIPA!O44+NEMOCON!O44+COGUA!O44</f>
        <v>923</v>
      </c>
      <c r="P44" s="57">
        <f>O44/D7*100000</f>
        <v>199.6223828</v>
      </c>
      <c r="Q44" s="17">
        <f>CAJICA!Q44+COTA!Q45+CHIA!Q44+ZIPAQUIRA!Q44+TABIO!Q44+TENJO!Q44+SOPO!Q44+GACHANCIPA!Q44+TOCANCIPA!Q44+NEMOCON!Q44+COGUA!Q44</f>
        <v>906</v>
      </c>
      <c r="R44" s="19">
        <f>Q44/E7*100000</f>
        <v>189.9677726</v>
      </c>
      <c r="S44" s="17">
        <f>CAJICA!S44+COTA!S45+CHIA!S44+ZIPAQUIRA!S44+TABIO!S44+TENJO!S44+SOPO!S44+GACHANCIPA!S44+TOCANCIPA!S44+NEMOCON!S44+COGUA!S44</f>
        <v>897</v>
      </c>
      <c r="T44" s="19">
        <f>S44/F7*100000</f>
        <v>182.386024</v>
      </c>
      <c r="U44" s="17">
        <f>CAJICA!U44+COTA!U45+CHIA!U44+ZIPAQUIRA!U44+TABIO!U44+TENJO!U44+SOPO!U44+GACHANCIPA!U44+TOCANCIPA!U44+NEMOCON!U44+COGUA!U44</f>
        <v>767</v>
      </c>
      <c r="V44" s="19" t="str">
        <f>U44/G7*100000</f>
        <v>#VALUE!</v>
      </c>
      <c r="W44" s="17">
        <f>CAJICA!W44+COTA!W45+CHIA!W44+ZIPAQUIRA!W44+TABIO!W44+TENJO!W44+SOPO!W44+GACHANCIPA!W44+TOCANCIPA!W44+NEMOCON!W44+COGUA!W44</f>
        <v>382</v>
      </c>
      <c r="X44" s="19">
        <f>W44/H7*100000</f>
        <v>73.39745684</v>
      </c>
      <c r="Y44" s="19">
        <f t="shared" ref="Y44:Z44" si="51">((M44+O44+Q44+S44)/4)</f>
        <v>880</v>
      </c>
      <c r="Z44" s="19">
        <f t="shared" si="51"/>
        <v>187.3746944</v>
      </c>
      <c r="AA44" s="19">
        <f t="shared" si="3"/>
        <v>832</v>
      </c>
      <c r="AB44" s="19" t="str">
        <f t="shared" si="4"/>
        <v>#VALUE!</v>
      </c>
      <c r="AC44" s="22" t="s">
        <v>57</v>
      </c>
    </row>
    <row r="45" ht="14.25" customHeight="1">
      <c r="L45" s="15" t="s">
        <v>115</v>
      </c>
      <c r="M45" s="17">
        <f>CAJICA!M45+COTA!M46+CHIA!M45+ZIPAQUIRA!M45+TABIO!M45+TENJO!M45+SOPO!M45+GACHANCIPA!M45+TOCANCIPA!M45+NEMOCON!M45+COGUA!M45</f>
        <v>4293</v>
      </c>
      <c r="N45" s="57">
        <f>M45/M4*100</f>
        <v>103.0732293</v>
      </c>
      <c r="O45" s="17">
        <f>CAJICA!O45+COTA!O46+CHIA!O45+ZIPAQUIRA!O45+TABIO!O45+TENJO!O45+SOPO!O45+GACHANCIPA!O45+TOCANCIPA!O45+NEMOCON!O45+COGUA!O45</f>
        <v>4315</v>
      </c>
      <c r="P45" s="57">
        <f>O45/O4*100</f>
        <v>93.43871806</v>
      </c>
      <c r="Q45" s="17">
        <f>CAJICA!Q45+COTA!Q46+CHIA!Q45+ZIPAQUIRA!Q45+TABIO!Q45+TENJO!Q45+SOPO!Q45+GACHANCIPA!Q45+TOCANCIPA!Q45+NEMOCON!Q45+COGUA!Q45</f>
        <v>4327</v>
      </c>
      <c r="R45" s="19">
        <f>Q45/Q4*100</f>
        <v>90.94157209</v>
      </c>
      <c r="S45" s="17">
        <f>CAJICA!S45+COTA!S46+CHIA!S45+ZIPAQUIRA!S45+TABIO!S45+TENJO!S45+SOPO!S45+GACHANCIPA!S45+TOCANCIPA!S45+NEMOCON!S45+COGUA!S45</f>
        <v>3858</v>
      </c>
      <c r="T45" s="19">
        <f>S45/S4*100</f>
        <v>90.66980024</v>
      </c>
      <c r="U45" s="17">
        <f>CAJICA!U45+COTA!U46+CHIA!U45+ZIPAQUIRA!U45+TABIO!U45+TENJO!U45+SOPO!U45+GACHANCIPA!U45+TOCANCIPA!U45+NEMOCON!U45+COGUA!U45</f>
        <v>3690</v>
      </c>
      <c r="V45" s="19">
        <f>U45/U4*100</f>
        <v>85.06224066</v>
      </c>
      <c r="W45" s="17">
        <f>CAJICA!W45+COTA!W46+CHIA!W45+ZIPAQUIRA!W45+TABIO!W45+TENJO!W45+SOPO!W45+GACHANCIPA!W45+TOCANCIPA!W45+NEMOCON!W45+COGUA!W45</f>
        <v>1775</v>
      </c>
      <c r="X45" s="19">
        <f>W45/W4*100</f>
        <v>95.94594595</v>
      </c>
      <c r="Y45" s="19">
        <f t="shared" ref="Y45:Z45" si="52">((M45+O45+Q45+S45)/4)</f>
        <v>4198.25</v>
      </c>
      <c r="Z45" s="19">
        <f t="shared" si="52"/>
        <v>94.53082992</v>
      </c>
      <c r="AA45" s="19">
        <f t="shared" si="3"/>
        <v>3774</v>
      </c>
      <c r="AB45" s="19">
        <f t="shared" si="4"/>
        <v>90.5040933</v>
      </c>
      <c r="AC45" s="22" t="s">
        <v>116</v>
      </c>
    </row>
    <row r="46" ht="14.25" customHeight="1">
      <c r="L46" s="15" t="s">
        <v>117</v>
      </c>
      <c r="M46" s="17">
        <f>CAJICA!M46+COTA!M47+CHIA!M46+ZIPAQUIRA!M46+TABIO!M46+TENJO!M46+SOPO!M46+GACHANCIPA!M46+TOCANCIPA!M46+NEMOCON!M46+COGUA!M46</f>
        <v>3545</v>
      </c>
      <c r="N46" s="57">
        <f>M46/M4*100</f>
        <v>85.11404562</v>
      </c>
      <c r="O46" s="17">
        <f>CAJICA!O46+COTA!O47+CHIA!O46+ZIPAQUIRA!O46+TABIO!O46+TENJO!O46+SOPO!O46+GACHANCIPA!O46+TOCANCIPA!O46+NEMOCON!O46+COGUA!O46</f>
        <v>3598</v>
      </c>
      <c r="P46" s="57">
        <f>O46/O4*100</f>
        <v>77.91251624</v>
      </c>
      <c r="Q46" s="17">
        <f>CAJICA!Q46+COTA!Q47+CHIA!Q46+ZIPAQUIRA!Q46+TABIO!Q46+TENJO!Q46+SOPO!Q46+GACHANCIPA!Q46+TOCANCIPA!Q46+NEMOCON!Q46+COGUA!Q46</f>
        <v>3631</v>
      </c>
      <c r="R46" s="19">
        <f>Q46/Q4*100</f>
        <v>76.31357713</v>
      </c>
      <c r="S46" s="17">
        <f>CAJICA!S46+COTA!S47+CHIA!S46+ZIPAQUIRA!S46+TABIO!S46+TENJO!S46+SOPO!S46+GACHANCIPA!S46+TOCANCIPA!S46+NEMOCON!S46+COGUA!S46</f>
        <v>3278</v>
      </c>
      <c r="T46" s="19">
        <f>S46/S4*100</f>
        <v>77.03877791</v>
      </c>
      <c r="U46" s="17">
        <f>CAJICA!U46+COTA!U47+CHIA!U46+ZIPAQUIRA!U46+TABIO!U46+TENJO!U46+SOPO!U46+GACHANCIPA!U46+TOCANCIPA!U46+NEMOCON!U46+COGUA!U46</f>
        <v>3197</v>
      </c>
      <c r="V46" s="19">
        <f>U46/U4*100</f>
        <v>73.69755648</v>
      </c>
      <c r="W46" s="17">
        <f>CAJICA!W46+COTA!W47+CHIA!W46+ZIPAQUIRA!W46+TABIO!W46+TENJO!W46+SOPO!W46+GACHANCIPA!W46+TOCANCIPA!W46+NEMOCON!W46+COGUA!W46</f>
        <v>1548</v>
      </c>
      <c r="X46" s="19">
        <f>W46/W4*100</f>
        <v>83.67567568</v>
      </c>
      <c r="Y46" s="19">
        <f t="shared" ref="Y46:Z46" si="53">((M46+O46+Q46+S46)/4)</f>
        <v>3513</v>
      </c>
      <c r="Z46" s="19">
        <f t="shared" si="53"/>
        <v>79.09472923</v>
      </c>
      <c r="AA46" s="19">
        <f t="shared" si="3"/>
        <v>3237.5</v>
      </c>
      <c r="AB46" s="19">
        <f t="shared" si="4"/>
        <v>78.68661608</v>
      </c>
      <c r="AC46" s="22" t="s">
        <v>116</v>
      </c>
    </row>
    <row r="47" ht="14.25" customHeight="1">
      <c r="L47" s="15" t="s">
        <v>118</v>
      </c>
      <c r="M47" s="17">
        <f>CAJICA!M47+COTA!M48+CHIA!M47+ZIPAQUIRA!M47+TABIO!M47+TENJO!M47+SOPO!M47+GACHANCIPA!M47+TOCANCIPA!M47+NEMOCON!M47+COGUA!M47</f>
        <v>106</v>
      </c>
      <c r="N47" s="19">
        <f>M47/C7*100000</f>
        <v>23.69949046</v>
      </c>
      <c r="O47" s="17">
        <f>CAJICA!O47+COTA!O48+CHIA!O47+ZIPAQUIRA!O47+TABIO!O47+TENJO!O47+SOPO!O47+GACHANCIPA!O47+TOCANCIPA!O47+NEMOCON!O47+COGUA!O47</f>
        <v>93</v>
      </c>
      <c r="P47" s="19">
        <f>O47/D7*100000</f>
        <v>20.1136312</v>
      </c>
      <c r="Q47" s="17">
        <f>CAJICA!Q47+COTA!Q48+CHIA!Q47+ZIPAQUIRA!Q47+TABIO!Q47+TENJO!Q47+SOPO!Q47+GACHANCIPA!Q47+TOCANCIPA!Q47+NEMOCON!Q47+COGUA!Q47</f>
        <v>99</v>
      </c>
      <c r="R47" s="19">
        <f>Q47/E7*100000</f>
        <v>20.75806786</v>
      </c>
      <c r="S47" s="17">
        <f>CAJICA!S47+COTA!S48+CHIA!S47+ZIPAQUIRA!S47+TABIO!S47+TENJO!S47+SOPO!S47+GACHANCIPA!S47+TOCANCIPA!S47+NEMOCON!S47+COGUA!S47</f>
        <v>70</v>
      </c>
      <c r="T47" s="19">
        <f>S47/F7*100000</f>
        <v>14.23302305</v>
      </c>
      <c r="U47" s="17">
        <f>CAJICA!U47+COTA!U48+CHIA!U47+ZIPAQUIRA!U47+TABIO!U47+TENJO!U47+SOPO!U47+GACHANCIPA!U47+TOCANCIPA!U47+NEMOCON!U47+COGUA!U47</f>
        <v>136</v>
      </c>
      <c r="V47" s="19" t="str">
        <f>U47/G7*100000</f>
        <v>#VALUE!</v>
      </c>
      <c r="W47" s="17">
        <f>CAJICA!W47+COTA!W48+CHIA!W47+ZIPAQUIRA!W47+TABIO!W47+TENJO!W47+SOPO!W47+GACHANCIPA!W47+TOCANCIPA!W47+NEMOCON!W47+COGUA!W47</f>
        <v>81</v>
      </c>
      <c r="X47" s="19">
        <f>W47/H7*100000</f>
        <v>15.56333509</v>
      </c>
      <c r="Y47" s="19">
        <f t="shared" ref="Y47:Z47" si="54">((M47+O47+Q47+S47)/4)</f>
        <v>92</v>
      </c>
      <c r="Z47" s="19">
        <f t="shared" si="54"/>
        <v>19.70105315</v>
      </c>
      <c r="AA47" s="19">
        <f t="shared" si="3"/>
        <v>103</v>
      </c>
      <c r="AB47" s="19" t="str">
        <f t="shared" si="4"/>
        <v>#VALUE!</v>
      </c>
      <c r="AC47" s="22" t="s">
        <v>57</v>
      </c>
    </row>
    <row r="48" ht="14.25" customHeight="1">
      <c r="L48" s="15" t="s">
        <v>119</v>
      </c>
      <c r="M48" s="17">
        <f>CAJICA!M48+COTA!M49+CHIA!M48+ZIPAQUIRA!M48+TABIO!M48+TENJO!M48+SOPO!M48+GACHANCIPA!M48+TOCANCIPA!M48+NEMOCON!M48+COGUA!M48</f>
        <v>61</v>
      </c>
      <c r="N48" s="19">
        <f>M48/C7*100000</f>
        <v>13.63838602</v>
      </c>
      <c r="O48" s="17">
        <f>CAJICA!O48+COTA!O49+CHIA!O48+ZIPAQUIRA!O48+TABIO!O48+TENJO!O48+SOPO!O48+GACHANCIPA!O48+TOCANCIPA!O48+NEMOCON!O48+COGUA!O48</f>
        <v>82</v>
      </c>
      <c r="P48" s="19">
        <f>O48/D7*100000</f>
        <v>17.73459955</v>
      </c>
      <c r="Q48" s="17">
        <f>CAJICA!Q48+COTA!Q49+CHIA!Q48+ZIPAQUIRA!Q48+TABIO!Q48+TENJO!Q48+SOPO!Q48+GACHANCIPA!Q48+TOCANCIPA!Q48+NEMOCON!Q48+COGUA!Q48</f>
        <v>69</v>
      </c>
      <c r="R48" s="19">
        <f>Q48/E7*100000</f>
        <v>14.46774427</v>
      </c>
      <c r="S48" s="17">
        <f>CAJICA!S48+COTA!S49+CHIA!S48+ZIPAQUIRA!S48+TABIO!S48+TENJO!S48+SOPO!S48+GACHANCIPA!S48+TOCANCIPA!S48+NEMOCON!S48+COGUA!S48</f>
        <v>63</v>
      </c>
      <c r="T48" s="19">
        <f>S48/F7*100000</f>
        <v>12.80972075</v>
      </c>
      <c r="U48" s="17">
        <f>CAJICA!U48+COTA!U49+CHIA!U48+ZIPAQUIRA!U48+TABIO!U48+TENJO!U48+SOPO!U48+GACHANCIPA!U48+TOCANCIPA!U48+NEMOCON!U48+COGUA!U48</f>
        <v>64</v>
      </c>
      <c r="V48" s="19" t="str">
        <f>U48/G7*100000</f>
        <v>#VALUE!</v>
      </c>
      <c r="W48" s="17">
        <f>CAJICA!W48+COTA!W49+CHIA!W48+ZIPAQUIRA!W48+TABIO!W48+TENJO!W48+SOPO!W48+GACHANCIPA!W48+TOCANCIPA!W48+NEMOCON!W48+COGUA!W48</f>
        <v>40</v>
      </c>
      <c r="X48" s="19">
        <f>W48/H7*100000</f>
        <v>7.685597574</v>
      </c>
      <c r="Y48" s="19">
        <f t="shared" ref="Y48:Z48" si="55">((M48+O48+Q48+S48)/4)</f>
        <v>68.75</v>
      </c>
      <c r="Z48" s="19">
        <f t="shared" si="55"/>
        <v>14.66261265</v>
      </c>
      <c r="AA48" s="19">
        <f t="shared" si="3"/>
        <v>63.5</v>
      </c>
      <c r="AB48" s="19" t="str">
        <f t="shared" si="4"/>
        <v>#VALUE!</v>
      </c>
      <c r="AC48" s="92" t="s">
        <v>28</v>
      </c>
    </row>
    <row r="49" ht="14.25" customHeight="1">
      <c r="L49" s="15" t="s">
        <v>120</v>
      </c>
      <c r="M49" s="17">
        <f>CAJICA!M49+COTA!M50+CHIA!M49+ZIPAQUIRA!M49+TABIO!M49+TENJO!M49+SOPO!M49+GACHANCIPA!M49+TOCANCIPA!M49+NEMOCON!M49+COGUA!M49</f>
        <v>131</v>
      </c>
      <c r="N49" s="19">
        <f>M49/C7*100000</f>
        <v>29.28899293</v>
      </c>
      <c r="O49" s="17">
        <f>CAJICA!O49+COTA!O50+CHIA!O49+ZIPAQUIRA!O49+TABIO!O49+TENJO!O49+SOPO!O49+GACHANCIPA!O49+TOCANCIPA!O49+NEMOCON!O49+COGUA!O49</f>
        <v>139</v>
      </c>
      <c r="P49" s="19">
        <f>O49/D7*100000</f>
        <v>30.062309</v>
      </c>
      <c r="Q49" s="17">
        <f>CAJICA!Q49+COTA!Q50+CHIA!Q49+ZIPAQUIRA!Q49+TABIO!Q49+TENJO!Q49+SOPO!Q49+GACHANCIPA!Q49+TOCANCIPA!Q49+NEMOCON!Q49+COGUA!Q49</f>
        <v>138</v>
      </c>
      <c r="R49" s="19">
        <f>Q49/E7*100000</f>
        <v>28.93548854</v>
      </c>
      <c r="S49" s="17">
        <f>CAJICA!S49+COTA!S50+CHIA!S49+ZIPAQUIRA!S49+TABIO!S49+TENJO!S49+SOPO!S49+GACHANCIPA!S49+TOCANCIPA!S49+NEMOCON!S49+COGUA!S49</f>
        <v>105</v>
      </c>
      <c r="T49" s="19">
        <f>S49/F7*100000</f>
        <v>21.34953458</v>
      </c>
      <c r="U49" s="17">
        <f>CAJICA!U49+COTA!U50+CHIA!U49+ZIPAQUIRA!U49+TABIO!U49+TENJO!U49+SOPO!U49+GACHANCIPA!U49+TOCANCIPA!U49+NEMOCON!U49+COGUA!U49</f>
        <v>113</v>
      </c>
      <c r="V49" s="19" t="str">
        <f>U49/G7*100000</f>
        <v>#VALUE!</v>
      </c>
      <c r="W49" s="17">
        <f>CAJICA!W49+COTA!W50+CHIA!W49+ZIPAQUIRA!W49+TABIO!W49+TENJO!W49+SOPO!W49+GACHANCIPA!W49+TOCANCIPA!W49+NEMOCON!W49+COGUA!W49</f>
        <v>49</v>
      </c>
      <c r="X49" s="19">
        <f>W49/H7*100000</f>
        <v>9.414857029</v>
      </c>
      <c r="Y49" s="19">
        <f t="shared" ref="Y49:Z49" si="56">((M49+O49+Q49+S49)/4)</f>
        <v>128.25</v>
      </c>
      <c r="Z49" s="19">
        <f t="shared" si="56"/>
        <v>27.40908126</v>
      </c>
      <c r="AA49" s="19">
        <f t="shared" si="3"/>
        <v>109</v>
      </c>
      <c r="AB49" s="19" t="str">
        <f t="shared" si="4"/>
        <v>#VALUE!</v>
      </c>
      <c r="AC49" s="92" t="s">
        <v>28</v>
      </c>
    </row>
    <row r="50" ht="14.25" customHeight="1">
      <c r="L50" s="15" t="s">
        <v>121</v>
      </c>
      <c r="M50" s="17">
        <f>CAJICA!M50+COTA!M51+CHIA!M50+ZIPAQUIRA!M50+TABIO!M50+TENJO!M50+SOPO!M50+GACHANCIPA!M50+TOCANCIPA!M50+NEMOCON!M50+COGUA!M50</f>
        <v>12</v>
      </c>
      <c r="N50" s="19">
        <f>M50/C7*100000</f>
        <v>2.682961184</v>
      </c>
      <c r="O50" s="17">
        <f>CAJICA!O50+COTA!O51+CHIA!O50+ZIPAQUIRA!O50+TABIO!O50+TENJO!O50+SOPO!O50+GACHANCIPA!O50+TOCANCIPA!O50+NEMOCON!O50+COGUA!O50</f>
        <v>16</v>
      </c>
      <c r="P50" s="19">
        <f>O50/D7*100000</f>
        <v>3.460409669</v>
      </c>
      <c r="Q50" s="17">
        <f>CAJICA!Q50+COTA!Q51+CHIA!Q50+ZIPAQUIRA!Q50+TABIO!Q50+TENJO!Q50+SOPO!Q50+GACHANCIPA!Q50+TOCANCIPA!Q50+NEMOCON!Q50+COGUA!Q50</f>
        <v>17</v>
      </c>
      <c r="R50" s="19">
        <f>Q50/E7*100000</f>
        <v>3.564516704</v>
      </c>
      <c r="S50" s="17">
        <f>CAJICA!S50+COTA!S51+CHIA!S50+ZIPAQUIRA!S50+TABIO!S50+TENJO!S50+SOPO!S50+GACHANCIPA!S50+TOCANCIPA!S50+NEMOCON!S50+COGUA!S50</f>
        <v>24</v>
      </c>
      <c r="T50" s="19">
        <f>S50/F7*100000</f>
        <v>4.879893618</v>
      </c>
      <c r="U50" s="17">
        <f>CAJICA!U50+COTA!U51+CHIA!U50+ZIPAQUIRA!U50+TABIO!U50+TENJO!U50+SOPO!U50+GACHANCIPA!U50+TOCANCIPA!U50+NEMOCON!U50+COGUA!U50</f>
        <v>32</v>
      </c>
      <c r="V50" s="19" t="str">
        <f>U50/G7*100000</f>
        <v>#VALUE!</v>
      </c>
      <c r="W50" s="17">
        <f>CAJICA!W50+COTA!W51+CHIA!W50+ZIPAQUIRA!W50+TABIO!W50+TENJO!W50+SOPO!W50+GACHANCIPA!W50+TOCANCIPA!W50+NEMOCON!W50+COGUA!W50</f>
        <v>7</v>
      </c>
      <c r="X50" s="19">
        <f>W50/H7*100000</f>
        <v>1.344979576</v>
      </c>
      <c r="Y50" s="19">
        <f t="shared" ref="Y50:Z50" si="57">((M50+O50+Q50+S50)/4)</f>
        <v>17.25</v>
      </c>
      <c r="Z50" s="19">
        <f t="shared" si="57"/>
        <v>3.646945294</v>
      </c>
      <c r="AA50" s="19">
        <f t="shared" si="3"/>
        <v>28</v>
      </c>
      <c r="AB50" s="19" t="str">
        <f t="shared" si="4"/>
        <v>#VALUE!</v>
      </c>
      <c r="AC50" s="22" t="s">
        <v>57</v>
      </c>
    </row>
    <row r="51" ht="14.25" customHeight="1">
      <c r="L51" s="15" t="s">
        <v>122</v>
      </c>
      <c r="M51" s="17">
        <f>CAJICA!M51+COTA!M52+CHIA!M51+ZIPAQUIRA!M51+TABIO!M51+TENJO!M51+SOPO!M51+GACHANCIPA!M51+TOCANCIPA!M51+NEMOCON!M51+COGUA!M51</f>
        <v>3</v>
      </c>
      <c r="N51" s="19">
        <f>M51/C7*100000</f>
        <v>0.6707402961</v>
      </c>
      <c r="O51" s="17">
        <f>CAJICA!O51+COTA!O52+CHIA!O51+ZIPAQUIRA!O51+TABIO!O51+TENJO!O51+SOPO!O51+GACHANCIPA!O51+TOCANCIPA!O51+NEMOCON!O51+COGUA!O51</f>
        <v>6</v>
      </c>
      <c r="P51" s="19">
        <f>O51/D7*100000</f>
        <v>1.297653626</v>
      </c>
      <c r="Q51" s="17">
        <f>CAJICA!Q51+COTA!Q52+CHIA!Q51+ZIPAQUIRA!Q51+TABIO!Q51+TENJO!Q51+SOPO!Q51+GACHANCIPA!Q51+TOCANCIPA!Q51+NEMOCON!Q51+COGUA!Q51</f>
        <v>7</v>
      </c>
      <c r="R51" s="19">
        <f>Q51/E7*100000</f>
        <v>1.467742172</v>
      </c>
      <c r="S51" s="17">
        <f>CAJICA!S51+COTA!S52+CHIA!S51+ZIPAQUIRA!S51+TABIO!S51+TENJO!S51+SOPO!S51+GACHANCIPA!S51+TOCANCIPA!S51+NEMOCON!S51+COGUA!S51</f>
        <v>11</v>
      </c>
      <c r="T51" s="19">
        <f>S51/F7*100000</f>
        <v>2.236617908</v>
      </c>
      <c r="U51" s="17">
        <f>CAJICA!U51+COTA!U52+CHIA!U51+ZIPAQUIRA!U51+TABIO!U51+TENJO!U51+SOPO!U51+GACHANCIPA!U51+TOCANCIPA!U51+NEMOCON!U51+COGUA!U51</f>
        <v>13</v>
      </c>
      <c r="V51" s="19" t="str">
        <f>U51/G7*100000</f>
        <v>#VALUE!</v>
      </c>
      <c r="W51" s="17">
        <f>CAJICA!W51+COTA!W52+CHIA!W51+ZIPAQUIRA!W51+TABIO!W51+TENJO!W51+SOPO!W51+GACHANCIPA!W51+TOCANCIPA!W51+NEMOCON!W51+COGUA!W51</f>
        <v>4</v>
      </c>
      <c r="X51" s="19">
        <f>W51/H7*100000</f>
        <v>0.7685597574</v>
      </c>
      <c r="Y51" s="19">
        <f t="shared" ref="Y51:Z51" si="58">((M51+O51+Q51+S51)/4)</f>
        <v>6.75</v>
      </c>
      <c r="Z51" s="19">
        <f t="shared" si="58"/>
        <v>1.418188501</v>
      </c>
      <c r="AA51" s="19">
        <f t="shared" si="3"/>
        <v>12</v>
      </c>
      <c r="AB51" s="19" t="str">
        <f t="shared" si="4"/>
        <v>#VALUE!</v>
      </c>
      <c r="AC51" s="22" t="s">
        <v>57</v>
      </c>
    </row>
    <row r="52" ht="14.25" customHeight="1">
      <c r="L52" s="15" t="s">
        <v>123</v>
      </c>
      <c r="M52" s="17">
        <f>CAJICA!M52+COTA!M53+CHIA!M52+ZIPAQUIRA!M52+TABIO!M52+TENJO!M52+SOPO!M52+GACHANCIPA!M52+TOCANCIPA!M52+NEMOCON!M52+COGUA!M52</f>
        <v>37</v>
      </c>
      <c r="N52" s="19">
        <f>M52/C7*100000</f>
        <v>8.272463651</v>
      </c>
      <c r="O52" s="17">
        <f>CAJICA!O52+COTA!O53+CHIA!O52+ZIPAQUIRA!O52+TABIO!O52+TENJO!O52+SOPO!O52+GACHANCIPA!O52+TOCANCIPA!O52+NEMOCON!O52+COGUA!O52</f>
        <v>26</v>
      </c>
      <c r="P52" s="19">
        <f>O52/D7*100000</f>
        <v>5.623165713</v>
      </c>
      <c r="Q52" s="17">
        <f>CAJICA!Q52+COTA!Q53+CHIA!Q52+ZIPAQUIRA!Q52+TABIO!Q52+TENJO!Q52+SOPO!Q52+GACHANCIPA!Q52+TOCANCIPA!Q52+NEMOCON!Q52+COGUA!Q52</f>
        <v>56</v>
      </c>
      <c r="R52" s="19">
        <f>Q52/E7*100000</f>
        <v>11.74193738</v>
      </c>
      <c r="S52" s="17">
        <f>CAJICA!S52+COTA!S53+CHIA!S52+ZIPAQUIRA!S52+TABIO!S52+TENJO!S52+SOPO!S52+GACHANCIPA!S52+TOCANCIPA!S52+NEMOCON!S52+COGUA!S52</f>
        <v>58</v>
      </c>
      <c r="T52" s="19">
        <f>S52/F7*100000</f>
        <v>11.79307624</v>
      </c>
      <c r="U52" s="17">
        <f>CAJICA!U52+COTA!U53+CHIA!U52+ZIPAQUIRA!U52+TABIO!U52+TENJO!U52+SOPO!U52+GACHANCIPA!U52+TOCANCIPA!U52+NEMOCON!U52+COGUA!U52</f>
        <v>40</v>
      </c>
      <c r="V52" s="19" t="str">
        <f>U52/G7*100000</f>
        <v>#VALUE!</v>
      </c>
      <c r="W52" s="17">
        <f>CAJICA!W52+COTA!W53+CHIA!W52+ZIPAQUIRA!W52+TABIO!W52+TENJO!W52+SOPO!W52+GACHANCIPA!W52+TOCANCIPA!W52+NEMOCON!W52+COGUA!W52</f>
        <v>19</v>
      </c>
      <c r="X52" s="19">
        <f>W52/H7*100000</f>
        <v>3.650658848</v>
      </c>
      <c r="Y52" s="19">
        <f t="shared" ref="Y52:Z52" si="59">((M52+O52+Q52+S52)/4)</f>
        <v>44.25</v>
      </c>
      <c r="Z52" s="19">
        <f t="shared" si="59"/>
        <v>9.357660746</v>
      </c>
      <c r="AA52" s="19">
        <f t="shared" si="3"/>
        <v>49</v>
      </c>
      <c r="AB52" s="19" t="str">
        <f t="shared" si="4"/>
        <v>#VALUE!</v>
      </c>
      <c r="AC52" s="22" t="s">
        <v>57</v>
      </c>
    </row>
    <row r="53" ht="14.25" customHeight="1">
      <c r="L53" s="15" t="s">
        <v>124</v>
      </c>
      <c r="M53" s="17">
        <f>CAJICA!M53+COTA!M54+CHIA!M53+ZIPAQUIRA!M53+TABIO!M53+TENJO!M53+SOPO!M53+GACHANCIPA!M53+TOCANCIPA!M53+NEMOCON!M53+COGUA!M53</f>
        <v>5</v>
      </c>
      <c r="N53" s="19">
        <f>M53/C17*100000</f>
        <v>3.831779867</v>
      </c>
      <c r="O53" s="17">
        <f>CAJICA!O53+COTA!O54+CHIA!O53+ZIPAQUIRA!O53+TABIO!O53+TENJO!O53+SOPO!O53+GACHANCIPA!O53+TOCANCIPA!O53+NEMOCON!O53+COGUA!O53</f>
        <v>3</v>
      </c>
      <c r="P53" s="19">
        <f>O53/D17*100000</f>
        <v>2.253591109</v>
      </c>
      <c r="Q53" s="17">
        <f>CAJICA!Q53+COTA!Q54+CHIA!Q53+ZIPAQUIRA!Q53+TABIO!Q53+TENJO!Q53+SOPO!Q53+GACHANCIPA!Q53+TOCANCIPA!Q53+NEMOCON!Q53+COGUA!Q53</f>
        <v>9</v>
      </c>
      <c r="R53" s="19">
        <f>Q53/E17*100000</f>
        <v>6.597562139</v>
      </c>
      <c r="S53" s="17">
        <f>CAJICA!S53+COTA!S54+CHIA!S53+ZIPAQUIRA!S53+TABIO!S53+TENJO!S53+SOPO!S53+GACHANCIPA!S53+TOCANCIPA!S53+NEMOCON!S53+COGUA!S53</f>
        <v>10</v>
      </c>
      <c r="T53" s="19">
        <f>S53/F17*100000</f>
        <v>7.205017194</v>
      </c>
      <c r="U53" s="17">
        <f>CAJICA!U53+COTA!U54+CHIA!U53+ZIPAQUIRA!U53+TABIO!U53+TENJO!U53+SOPO!U53+GACHANCIPA!U53+TOCANCIPA!U53+NEMOCON!U53+COGUA!U53</f>
        <v>3</v>
      </c>
      <c r="V53" s="19">
        <f>U53/G17*100000</f>
        <v>2.176242727</v>
      </c>
      <c r="W53" s="17">
        <f>CAJICA!W53+COTA!W54+CHIA!W53+ZIPAQUIRA!W53+TABIO!W53+TENJO!W53+SOPO!W53+GACHANCIPA!W53+TOCANCIPA!W53+NEMOCON!W53+COGUA!W53</f>
        <v>3</v>
      </c>
      <c r="X53" s="19">
        <f>W53/H17*100000</f>
        <v>2.14360229</v>
      </c>
      <c r="Y53" s="19">
        <f t="shared" ref="Y53:Z53" si="60">((M53+O53+Q53+S53)/4)</f>
        <v>6.75</v>
      </c>
      <c r="Z53" s="19">
        <f t="shared" si="60"/>
        <v>4.971987577</v>
      </c>
      <c r="AA53" s="19">
        <f t="shared" si="3"/>
        <v>6.5</v>
      </c>
      <c r="AB53" s="19">
        <f t="shared" si="4"/>
        <v>2.159922508</v>
      </c>
      <c r="AC53" s="92" t="s">
        <v>28</v>
      </c>
    </row>
    <row r="54" ht="14.25" customHeight="1">
      <c r="L54" s="15" t="s">
        <v>125</v>
      </c>
      <c r="M54" s="17">
        <f>CAJICA!M54+COTA!M55+CHIA!M54+ZIPAQUIRA!M54+TABIO!M54+TENJO!M54+SOPO!M54+GACHANCIPA!M54+TOCANCIPA!M54+NEMOCON!M54+COGUA!M54</f>
        <v>36</v>
      </c>
      <c r="N54" s="19">
        <f>M54/C19*100000</f>
        <v>14.88711596</v>
      </c>
      <c r="O54" s="17">
        <f>CAJICA!O54+COTA!O55+CHIA!O54+ZIPAQUIRA!O54+TABIO!O54+TENJO!O54+SOPO!O54+GACHANCIPA!O54+TOCANCIPA!O54+NEMOCON!O54+COGUA!O54</f>
        <v>42</v>
      </c>
      <c r="P54" s="19">
        <f>O54/D19*100000</f>
        <v>14.524963</v>
      </c>
      <c r="Q54" s="17">
        <f>CAJICA!Q54+COTA!Q55+CHIA!Q54+ZIPAQUIRA!Q54+TABIO!Q54+TENJO!Q54+SOPO!Q54+GACHANCIPA!Q54+TOCANCIPA!Q54+NEMOCON!Q54+COGUA!Q54</f>
        <v>45</v>
      </c>
      <c r="R54" s="19">
        <f>Q54/E19*100000</f>
        <v>15.56383698</v>
      </c>
      <c r="S54" s="17">
        <f>CAJICA!S54+COTA!S55+CHIA!S54+ZIPAQUIRA!S54+TABIO!S54+TENJO!S54+SOPO!S54+GACHANCIPA!S54+TOCANCIPA!S54+NEMOCON!S54+COGUA!S54</f>
        <v>28</v>
      </c>
      <c r="T54" s="19">
        <f>S54/F19*100000</f>
        <v>9.409671615</v>
      </c>
      <c r="U54" s="17">
        <f>CAJICA!U54+COTA!U55+CHIA!U54+ZIPAQUIRA!U54+TABIO!U54+TENJO!U54+SOPO!U54+GACHANCIPA!U54+TOCANCIPA!U54+NEMOCON!U54+COGUA!U54</f>
        <v>27</v>
      </c>
      <c r="V54" s="19">
        <f>U54/G19*100000</f>
        <v>8.72153257</v>
      </c>
      <c r="W54" s="17">
        <f>CAJICA!W54+COTA!W55+CHIA!W54+ZIPAQUIRA!W54+TABIO!W54+TENJO!W54+SOPO!W54+GACHANCIPA!W54+TOCANCIPA!W54+NEMOCON!W54+COGUA!W54</f>
        <v>16</v>
      </c>
      <c r="X54" s="19">
        <f>W54/H19*100000</f>
        <v>5.059784212</v>
      </c>
      <c r="Y54" s="19">
        <f t="shared" ref="Y54:Z54" si="61">((M54+O54+Q54+S54)/4)</f>
        <v>37.75</v>
      </c>
      <c r="Z54" s="19">
        <f t="shared" si="61"/>
        <v>13.59639689</v>
      </c>
      <c r="AA54" s="19">
        <f t="shared" si="3"/>
        <v>27.5</v>
      </c>
      <c r="AB54" s="19">
        <f t="shared" si="4"/>
        <v>6.890658391</v>
      </c>
      <c r="AC54" s="92" t="s">
        <v>28</v>
      </c>
    </row>
    <row r="55" ht="14.25" customHeight="1">
      <c r="L55" s="15" t="s">
        <v>126</v>
      </c>
      <c r="M55" s="17">
        <f>CAJICA!M55+COTA!M56+CHIA!M55+ZIPAQUIRA!M55+TABIO!M55+TENJO!M55+SOPO!M55+GACHANCIPA!M55+TOCANCIPA!M55+NEMOCON!M55+COGUA!M55</f>
        <v>98</v>
      </c>
      <c r="N55" s="19">
        <f>M55/C19*100000</f>
        <v>40.5260379</v>
      </c>
      <c r="O55" s="17">
        <f>CAJICA!O55+COTA!O56+CHIA!O55+ZIPAQUIRA!O55+TABIO!O55+TENJO!O55+SOPO!O55+GACHANCIPA!O55+TOCANCIPA!O55+NEMOCON!O55+COGUA!O55</f>
        <v>97</v>
      </c>
      <c r="P55" s="19">
        <f>O55/D19*100000</f>
        <v>33.54574789</v>
      </c>
      <c r="Q55" s="17">
        <f>CAJICA!Q55+COTA!Q56+CHIA!Q55+ZIPAQUIRA!Q55+TABIO!Q55+TENJO!Q55+SOPO!Q55+GACHANCIPA!Q55+TOCANCIPA!Q55+NEMOCON!Q55+COGUA!Q55</f>
        <v>99</v>
      </c>
      <c r="R55" s="19">
        <f>Q55/E19*100000</f>
        <v>34.24044137</v>
      </c>
      <c r="S55" s="17">
        <f>CAJICA!S55+COTA!S56+CHIA!S55+ZIPAQUIRA!S55+TABIO!S55+TENJO!S55+SOPO!S55+GACHANCIPA!S55+TOCANCIPA!S55+NEMOCON!S55+COGUA!S55</f>
        <v>90</v>
      </c>
      <c r="T55" s="19">
        <f>S55/F19*100000</f>
        <v>30.24537305</v>
      </c>
      <c r="U55" s="17">
        <f>CAJICA!U55+COTA!U56+CHIA!U55+ZIPAQUIRA!U55+TABIO!U55+TENJO!U55+SOPO!U55+GACHANCIPA!U55+TOCANCIPA!U55+NEMOCON!U55+COGUA!U55</f>
        <v>90</v>
      </c>
      <c r="V55" s="19">
        <f>U55/G19*100000</f>
        <v>29.07177523</v>
      </c>
      <c r="W55" s="17">
        <f>CAJICA!W55+COTA!W56+CHIA!W55+ZIPAQUIRA!W55+TABIO!W55+TENJO!W55+SOPO!W55+GACHANCIPA!W55+TOCANCIPA!W55+NEMOCON!W55+COGUA!W55</f>
        <v>48</v>
      </c>
      <c r="X55" s="19">
        <f>W55/H19*100000</f>
        <v>15.17935264</v>
      </c>
      <c r="Y55" s="19">
        <f t="shared" ref="Y55:Z55" si="62">((M55+O55+Q55+S55)/4)</f>
        <v>96</v>
      </c>
      <c r="Z55" s="19">
        <f t="shared" si="62"/>
        <v>34.63940005</v>
      </c>
      <c r="AA55" s="19">
        <f t="shared" si="3"/>
        <v>90</v>
      </c>
      <c r="AB55" s="19">
        <f t="shared" si="4"/>
        <v>22.12556394</v>
      </c>
      <c r="AC55" s="92" t="s">
        <v>28</v>
      </c>
    </row>
    <row r="56" ht="14.25" customHeight="1">
      <c r="L56" s="15" t="s">
        <v>127</v>
      </c>
      <c r="M56" s="17">
        <f>CAJICA!M56+COTA!M57+CHIA!M56+ZIPAQUIRA!M56+TABIO!M56+TENJO!M56+SOPO!M56+GACHANCIPA!M56+TOCANCIPA!M56+NEMOCON!M56+COGUA!M56</f>
        <v>0</v>
      </c>
      <c r="N56" s="19">
        <f>M56/C7*100000</f>
        <v>0</v>
      </c>
      <c r="O56" s="17">
        <f>CAJICA!O56+COTA!O57+CHIA!O56+ZIPAQUIRA!O56+TABIO!O56+TENJO!O56+SOPO!O56+GACHANCIPA!O56+TOCANCIPA!O56+NEMOCON!O56+COGUA!O56</f>
        <v>0</v>
      </c>
      <c r="P56" s="19">
        <f>O56/D7*100000</f>
        <v>0</v>
      </c>
      <c r="Q56" s="17">
        <f>CAJICA!Q56+COTA!Q57+CHIA!Q56+ZIPAQUIRA!Q56+TABIO!Q56+TENJO!Q56+SOPO!Q56+GACHANCIPA!Q56+TOCANCIPA!Q56+NEMOCON!Q56+COGUA!Q56</f>
        <v>0</v>
      </c>
      <c r="R56" s="19">
        <f>Q56/E7*100000</f>
        <v>0</v>
      </c>
      <c r="S56" s="17">
        <f>CAJICA!S56+COTA!S57+CHIA!S56+ZIPAQUIRA!S56+TABIO!S56+TENJO!S56+SOPO!S56+GACHANCIPA!S56+TOCANCIPA!S56+NEMOCON!S56+COGUA!S56</f>
        <v>0</v>
      </c>
      <c r="T56" s="19">
        <f>S56/F7*100000</f>
        <v>0</v>
      </c>
      <c r="U56" s="17">
        <f>CAJICA!U56+COTA!U57+CHIA!U56+ZIPAQUIRA!U56+TABIO!U56+TENJO!U56+SOPO!U56+GACHANCIPA!U56+TOCANCIPA!U56+NEMOCON!U56+COGUA!U56</f>
        <v>0</v>
      </c>
      <c r="V56" s="19" t="str">
        <f>U56/G7*100000</f>
        <v>#VALUE!</v>
      </c>
      <c r="W56" s="17">
        <f>CAJICA!W56+COTA!W57+CHIA!W56+ZIPAQUIRA!W56+TABIO!W56+TENJO!W56+SOPO!W56+GACHANCIPA!W56+TOCANCIPA!W56+NEMOCON!W56+COGUA!W56</f>
        <v>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 t="str">
        <f t="shared" si="4"/>
        <v>#VALUE!</v>
      </c>
      <c r="AC56" s="92" t="s">
        <v>28</v>
      </c>
    </row>
    <row r="57" ht="14.25" customHeight="1">
      <c r="L57" s="15" t="s">
        <v>128</v>
      </c>
      <c r="M57" s="17">
        <f>CAJICA!M57+COTA!M58+CHIA!M57+ZIPAQUIRA!M57+TABIO!M57+TENJO!M57+SOPO!M57+GACHANCIPA!M57+TOCANCIPA!M57+NEMOCON!M57+COGUA!M57</f>
        <v>36</v>
      </c>
      <c r="N57" s="19">
        <f>M57/M4*100000</f>
        <v>864.3457383</v>
      </c>
      <c r="O57" s="17">
        <f>CAJICA!O57+COTA!O58+CHIA!O57+ZIPAQUIRA!O57+TABIO!O57+TENJO!O57+SOPO!O57+GACHANCIPA!O57+TOCANCIPA!O57+NEMOCON!O57+COGUA!O57</f>
        <v>30</v>
      </c>
      <c r="P57" s="19">
        <f>O57/O4*100000</f>
        <v>649.6318753</v>
      </c>
      <c r="Q57" s="17">
        <f>CAJICA!Q57+COTA!Q58+CHIA!Q57+ZIPAQUIRA!Q57+TABIO!Q57+TENJO!Q57+SOPO!Q57+GACHANCIPA!Q57+TOCANCIPA!Q57+NEMOCON!Q57+COGUA!Q57</f>
        <v>34</v>
      </c>
      <c r="R57" s="19">
        <f>Q57/Q4*100000</f>
        <v>714.5859605</v>
      </c>
      <c r="S57" s="17">
        <f>CAJICA!S57+COTA!S58+CHIA!S57+ZIPAQUIRA!S57+TABIO!S57+TENJO!S57+SOPO!S57+GACHANCIPA!S57+TOCANCIPA!S57+NEMOCON!S57+COGUA!S57</f>
        <v>39</v>
      </c>
      <c r="T57" s="19">
        <f>S57/S4*100000</f>
        <v>916.5687427</v>
      </c>
      <c r="U57" s="17">
        <f>CAJICA!U57+COTA!U58+CHIA!U57+ZIPAQUIRA!U57+TABIO!U57+TENJO!U57+SOPO!U57+GACHANCIPA!U57+TOCANCIPA!U57+NEMOCON!U57+COGUA!U57</f>
        <v>31</v>
      </c>
      <c r="V57" s="19">
        <f>U57/U4*100000</f>
        <v>714.61503</v>
      </c>
      <c r="W57" s="17">
        <f>CAJICA!W57+COTA!W58+CHIA!W57+ZIPAQUIRA!W57+TABIO!W57+TENJO!W57+SOPO!W57+GACHANCIPA!W57+TOCANCIPA!W57+NEMOCON!W57+COGUA!W57</f>
        <v>12</v>
      </c>
      <c r="X57" s="19">
        <f>W57/W4*100000</f>
        <v>648.6486486</v>
      </c>
      <c r="Y57" s="19">
        <f t="shared" ref="Y57:Z57" si="64">((M57+O57+Q57+S57)/4)</f>
        <v>34.75</v>
      </c>
      <c r="Z57" s="19">
        <f t="shared" si="64"/>
        <v>786.2830792</v>
      </c>
      <c r="AA57" s="19">
        <f t="shared" si="3"/>
        <v>35</v>
      </c>
      <c r="AB57" s="19">
        <f t="shared" si="4"/>
        <v>681.6318393</v>
      </c>
      <c r="AC57" s="22" t="s">
        <v>57</v>
      </c>
    </row>
    <row r="58" ht="14.25" customHeight="1">
      <c r="L58" s="15" t="s">
        <v>129</v>
      </c>
      <c r="M58" s="17">
        <f>CAJICA!M58+COTA!M59+CHIA!M58+ZIPAQUIRA!M58+TABIO!M58+TENJO!M58+SOPO!M58+GACHANCIPA!M58+TOCANCIPA!M58+NEMOCON!M58+COGUA!M58</f>
        <v>301</v>
      </c>
      <c r="N58" s="57">
        <f>M58/C7*100000</f>
        <v>67.29760971</v>
      </c>
      <c r="O58" s="17">
        <f>CAJICA!O58+COTA!O59+CHIA!O58+ZIPAQUIRA!O58+TABIO!O58+TENJO!O58+SOPO!O58+GACHANCIPA!O58+TOCANCIPA!O58+NEMOCON!O58+COGUA!O58</f>
        <v>303</v>
      </c>
      <c r="P58" s="57">
        <f>O58/D7*100000</f>
        <v>65.53150811</v>
      </c>
      <c r="Q58" s="17">
        <f>CAJICA!Q58+COTA!Q59+CHIA!Q58+ZIPAQUIRA!Q58+TABIO!Q58+TENJO!Q58+SOPO!Q58+GACHANCIPA!Q58+TOCANCIPA!Q58+NEMOCON!Q58+COGUA!Q58</f>
        <v>375</v>
      </c>
      <c r="R58" s="57">
        <f>Q58/E7*100000</f>
        <v>78.62904494</v>
      </c>
      <c r="S58" s="17">
        <f>CAJICA!S58+COTA!S59+CHIA!S58+ZIPAQUIRA!S58+TABIO!S58+TENJO!S58+SOPO!S58+GACHANCIPA!S58+TOCANCIPA!S58+NEMOCON!S58+COGUA!S58</f>
        <v>317</v>
      </c>
      <c r="T58" s="57">
        <f>S58/F7*100000</f>
        <v>64.45526154</v>
      </c>
      <c r="U58" s="17">
        <f>CAJICA!U58+COTA!U59+CHIA!U58+ZIPAQUIRA!U58+TABIO!U58+TENJO!U58+SOPO!U58+GACHANCIPA!U58+TOCANCIPA!U58+NEMOCON!U58+COGUA!U58</f>
        <v>344</v>
      </c>
      <c r="V58" s="57" t="str">
        <f>U58/G7*100000</f>
        <v>#VALUE!</v>
      </c>
      <c r="W58" s="17">
        <f>CAJICA!W58+COTA!W59+CHIA!W58+ZIPAQUIRA!W58+TABIO!W58+TENJO!W58+SOPO!W58+GACHANCIPA!W58+TOCANCIPA!W58+NEMOCON!W58+COGUA!W58</f>
        <v>129</v>
      </c>
      <c r="X58" s="57">
        <f>W58/H7*100000</f>
        <v>24.78605218</v>
      </c>
      <c r="Y58" s="19">
        <f t="shared" ref="Y58:Z58" si="65">((M58+O58+Q58+S58)/4)</f>
        <v>324</v>
      </c>
      <c r="Z58" s="19">
        <f t="shared" si="65"/>
        <v>68.97835607</v>
      </c>
      <c r="AA58" s="19">
        <f t="shared" si="3"/>
        <v>330.5</v>
      </c>
      <c r="AB58" s="19" t="str">
        <f t="shared" si="4"/>
        <v>#VALUE!</v>
      </c>
      <c r="AC58" s="92" t="s">
        <v>28</v>
      </c>
    </row>
    <row r="59" ht="14.25" customHeight="1">
      <c r="L59" s="95" t="s">
        <v>130</v>
      </c>
      <c r="M59" s="17">
        <f>CAJICA!M59+COTA!M60+CHIA!M59+ZIPAQUIRA!M59+TABIO!M59+TENJO!M59+SOPO!M59+GACHANCIPA!M59+TOCANCIPA!M59+NEMOCON!M59+COGUA!M59</f>
        <v>5</v>
      </c>
      <c r="N59" s="57">
        <f>M59/C7*100000</f>
        <v>1.117900493</v>
      </c>
      <c r="O59" s="17">
        <f>CAJICA!O59+COTA!O60+CHIA!O59+ZIPAQUIRA!O59+TABIO!O59+TENJO!O59+SOPO!O59+GACHANCIPA!O59+TOCANCIPA!O59+NEMOCON!O59+COGUA!O59</f>
        <v>6</v>
      </c>
      <c r="P59" s="57">
        <f>O59/D7*100000</f>
        <v>1.297653626</v>
      </c>
      <c r="Q59" s="17">
        <f>CAJICA!Q59+COTA!Q60+CHIA!Q59+ZIPAQUIRA!Q59+TABIO!Q59+TENJO!Q59+SOPO!Q59+GACHANCIPA!Q59+TOCANCIPA!Q59+NEMOCON!Q59+COGUA!Q59</f>
        <v>7</v>
      </c>
      <c r="R59" s="57">
        <f>Q59/E7*100000</f>
        <v>1.467742172</v>
      </c>
      <c r="S59" s="17">
        <f>CAJICA!S59+COTA!S60+CHIA!S59+ZIPAQUIRA!S59+TABIO!S59+TENJO!S59+SOPO!S59+GACHANCIPA!S59+TOCANCIPA!S59+NEMOCON!S59+COGUA!S59</f>
        <v>4</v>
      </c>
      <c r="T59" s="98">
        <f>S59/F7*100000</f>
        <v>0.8133156031</v>
      </c>
      <c r="U59" s="17">
        <f>CAJICA!U59+COTA!U60+CHIA!U59+ZIPAQUIRA!U59+TABIO!U59+TENJO!U59+SOPO!U59+GACHANCIPA!U59+TOCANCIPA!U59+NEMOCON!U59+COGUA!U59</f>
        <v>5</v>
      </c>
      <c r="V59" s="98" t="str">
        <f>U59/G7*100000</f>
        <v>#VALUE!</v>
      </c>
      <c r="W59" s="17">
        <f>CAJICA!W59+COTA!W60+CHIA!W59+ZIPAQUIRA!W59+TABIO!W59+TENJO!W59+SOPO!W59+GACHANCIPA!W59+TOCANCIPA!W59+NEMOCON!W59+COGUA!W59</f>
        <v>1</v>
      </c>
      <c r="X59" s="98">
        <f>W59/H7*100000</f>
        <v>0.1921399394</v>
      </c>
      <c r="Y59" s="99">
        <f t="shared" ref="Y59:Z59" si="66">((M59+O59+Q59+S59)/4)</f>
        <v>5.5</v>
      </c>
      <c r="Z59" s="99">
        <f t="shared" si="66"/>
        <v>1.174152974</v>
      </c>
      <c r="AA59" s="19">
        <f t="shared" si="3"/>
        <v>4.5</v>
      </c>
      <c r="AB59" s="19" t="str">
        <f t="shared" si="4"/>
        <v>#VALUE!</v>
      </c>
      <c r="AC59" s="100" t="s">
        <v>28</v>
      </c>
    </row>
    <row r="60" ht="14.25" customHeight="1">
      <c r="L60" s="15" t="s">
        <v>131</v>
      </c>
      <c r="M60" s="17">
        <f>CAJICA!M60+COTA!M61+CHIA!M60+ZIPAQUIRA!M60+TABIO!M60+TENJO!M60+SOPO!M60+GACHANCIPA!M60+TOCANCIPA!M60+NEMOCON!M60+COGUA!M60</f>
        <v>60</v>
      </c>
      <c r="N60" s="57">
        <f>M60/C17*100000</f>
        <v>45.98135841</v>
      </c>
      <c r="O60" s="17">
        <f>CAJICA!O60+COTA!O61+CHIA!O60+ZIPAQUIRA!O60+TABIO!O60+TENJO!O60+SOPO!O60+GACHANCIPA!O60+TOCANCIPA!O60+NEMOCON!O60+COGUA!O60</f>
        <v>74</v>
      </c>
      <c r="P60" s="57">
        <f>O60/D17*100000</f>
        <v>55.58858068</v>
      </c>
      <c r="Q60" s="17">
        <f>CAJICA!Q60+COTA!Q61+CHIA!Q60+ZIPAQUIRA!Q60+TABIO!Q60+TENJO!Q60+SOPO!Q60+GACHANCIPA!Q60+TOCANCIPA!Q60+NEMOCON!Q60+COGUA!Q60</f>
        <v>101</v>
      </c>
      <c r="R60" s="57">
        <f>Q60/E17*100000</f>
        <v>74.03930845</v>
      </c>
      <c r="S60" s="17">
        <f>CAJICA!S60+COTA!S61+CHIA!S60+ZIPAQUIRA!S60+TABIO!S60+TENJO!S60+SOPO!S60+GACHANCIPA!S60+TOCANCIPA!S60+NEMOCON!S60+COGUA!S60</f>
        <v>109</v>
      </c>
      <c r="T60" s="57">
        <f>S60/F17*100000</f>
        <v>78.53468741</v>
      </c>
      <c r="U60" s="17">
        <f>CAJICA!U60+COTA!U61+CHIA!U60+ZIPAQUIRA!U60+TABIO!U60+TENJO!U60+SOPO!U60+GACHANCIPA!U60+TOCANCIPA!U60+NEMOCON!U60+COGUA!U60</f>
        <v>108</v>
      </c>
      <c r="V60" s="57">
        <f>U60/G17*100000</f>
        <v>78.34473818</v>
      </c>
      <c r="W60" s="17">
        <f>CAJICA!W60+COTA!W61+CHIA!W60+ZIPAQUIRA!W60+TABIO!W60+TENJO!W60+SOPO!W60+GACHANCIPA!W60+TOCANCIPA!W60+NEMOCON!W60+COGUA!W60</f>
        <v>96</v>
      </c>
      <c r="X60" s="57">
        <f>W60/H17*100000</f>
        <v>68.59527327</v>
      </c>
      <c r="Y60" s="99">
        <f>((M60+O60+Q60+S60)/4)</f>
        <v>86</v>
      </c>
      <c r="Z60" s="99">
        <f>((N60+P60+R60+T60)/1)</f>
        <v>254.1439349</v>
      </c>
      <c r="AA60" s="19">
        <f t="shared" si="3"/>
        <v>108.5</v>
      </c>
      <c r="AB60" s="19">
        <f t="shared" si="4"/>
        <v>73.47000572</v>
      </c>
      <c r="AC60" s="92" t="s">
        <v>57</v>
      </c>
    </row>
    <row r="61" ht="14.25" customHeight="1">
      <c r="L61" s="15" t="s">
        <v>132</v>
      </c>
      <c r="M61" s="17">
        <f>CAJICA!M61+COTA!M62+CHIA!M61+ZIPAQUIRA!M61+TABIO!M61+TENJO!M61+SOPO!M61+GACHANCIPA!M61+TOCANCIPA!M61+NEMOCON!M61+COGUA!M61</f>
        <v>2311</v>
      </c>
      <c r="N61" s="57">
        <f>M61/C15*1000</f>
        <v>58.90880901</v>
      </c>
      <c r="O61" s="17">
        <f>CAJICA!O61+COTA!O62+CHIA!O61+ZIPAQUIRA!O61+TABIO!O61+TENJO!O61+SOPO!O61+GACHANCIPA!O61+TOCANCIPA!O61+NEMOCON!O61+COGUA!O61</f>
        <v>2330</v>
      </c>
      <c r="P61" s="57">
        <f>O61/D15*1000</f>
        <v>57.82038586</v>
      </c>
      <c r="Q61" s="17">
        <f>CAJICA!Q61+COTA!Q62+CHIA!Q61+ZIPAQUIRA!Q61+TABIO!Q61+TENJO!Q61+SOPO!Q61+GACHANCIPA!Q61+TOCANCIPA!Q61+NEMOCON!Q61+COGUA!Q61</f>
        <v>4283</v>
      </c>
      <c r="R61" s="57">
        <f>Q61/E15*1000</f>
        <v>104.4143653</v>
      </c>
      <c r="S61" s="17">
        <f>CAJICA!S61+COTA!S62+CHIA!S61+ZIPAQUIRA!S61+TABIO!S61+TENJO!S61+SOPO!S61+GACHANCIPA!S61+TOCANCIPA!S61+NEMOCON!S61+COGUA!S61</f>
        <v>2625</v>
      </c>
      <c r="T61" s="57">
        <f>S61/F15*1000</f>
        <v>64.53230513</v>
      </c>
      <c r="U61" s="17">
        <f>CAJICA!U61+COTA!U62+CHIA!U61+ZIPAQUIRA!U61+TABIO!U61+TENJO!U61+SOPO!U61+GACHANCIPA!U61+TOCANCIPA!U61+NEMOCON!U61+COGUA!U61</f>
        <v>3645</v>
      </c>
      <c r="V61" s="57">
        <f>U61/G15*1000</f>
        <v>89.64085006</v>
      </c>
      <c r="W61" s="17">
        <f>CAJICA!W61+COTA!W62+CHIA!W61+ZIPAQUIRA!W61+TABIO!W61+TENJO!W61+SOPO!W61+GACHANCIPA!W61+TOCANCIPA!W61+NEMOCON!W61+COGUA!W61</f>
        <v>2073</v>
      </c>
      <c r="X61" s="57">
        <f>W61/H23*1000</f>
        <v>45.69476208</v>
      </c>
      <c r="Y61" s="99">
        <f t="shared" ref="Y61:Z61" si="67">((M61+O61+Q61+S61)/1)</f>
        <v>11549</v>
      </c>
      <c r="Z61" s="99">
        <f t="shared" si="67"/>
        <v>285.6758654</v>
      </c>
      <c r="AA61" s="19">
        <f t="shared" si="3"/>
        <v>3135</v>
      </c>
      <c r="AB61" s="19">
        <f t="shared" si="4"/>
        <v>67.66780607</v>
      </c>
      <c r="AC61" s="92" t="s">
        <v>57</v>
      </c>
    </row>
    <row r="62" ht="14.25" customHeight="1">
      <c r="L62" s="15" t="s">
        <v>133</v>
      </c>
      <c r="M62" s="17" t="str">
        <f>CAJICA!M62+COTA!M63+CHIA!M62+ZIPAQUIRA!M62+TABIO!M62+TENJO!M62+SOPO!M62+GACHANCIPA!M62+TOCANCIPA!M62+NEMOCON!M62+COGUA!M62</f>
        <v>#VALUE!</v>
      </c>
      <c r="N62" s="57" t="str">
        <f>M62/C15*1000</f>
        <v>#VALUE!</v>
      </c>
      <c r="O62" s="17" t="str">
        <f>CAJICA!O62+COTA!O63+CHIA!O62+ZIPAQUIRA!O62+TABIO!O62+TENJO!O62+SOPO!O62+GACHANCIPA!O62+TOCANCIPA!O62+NEMOCON!O62+COGUA!O62</f>
        <v>#VALUE!</v>
      </c>
      <c r="P62" s="57" t="str">
        <f>O62/D15*1000</f>
        <v>#VALUE!</v>
      </c>
      <c r="Q62" s="17">
        <f>CAJICA!Q62+COTA!Q63+CHIA!Q62+ZIPAQUIRA!Q62+TABIO!Q62+TENJO!Q62+SOPO!Q62+GACHANCIPA!Q62+TOCANCIPA!Q62+NEMOCON!Q62+COGUA!Q62</f>
        <v>17240</v>
      </c>
      <c r="R62" s="57">
        <f>Q62/E15*1000</f>
        <v>420.2903709</v>
      </c>
      <c r="S62" s="17">
        <f>CAJICA!S62+COTA!S63+CHIA!S62+ZIPAQUIRA!S62+TABIO!S62+TENJO!S62+SOPO!S62+GACHANCIPA!S62+TOCANCIPA!S62+NEMOCON!S62+COGUA!S62</f>
        <v>16022</v>
      </c>
      <c r="T62" s="57">
        <f>S62/F15*1000</f>
        <v>393.8806068</v>
      </c>
      <c r="U62" s="17">
        <f>CAJICA!U62+COTA!U63+CHIA!U62+ZIPAQUIRA!U62+TABIO!U62+TENJO!U62+SOPO!U62+GACHANCIPA!U62+TOCANCIPA!U62+NEMOCON!U62+COGUA!U62</f>
        <v>13169</v>
      </c>
      <c r="V62" s="57">
        <f>U62/G15*1000</f>
        <v>323.862923</v>
      </c>
      <c r="W62" s="17">
        <f>CAJICA!W62+COTA!W63+CHIA!W62+ZIPAQUIRA!W62+TABIO!W62+TENJO!W62+SOPO!W62+GACHANCIPA!W62+TOCANCIPA!W62+NEMOCON!W62+COGUA!W62</f>
        <v>7106</v>
      </c>
      <c r="X62" s="57">
        <f>W62/H15*1000</f>
        <v>174.1015919</v>
      </c>
      <c r="Y62" s="99" t="str">
        <f t="shared" ref="Y62:Z62" si="68">((M62+O62+Q62+S62)/1)</f>
        <v>#VALUE!</v>
      </c>
      <c r="Z62" s="99" t="str">
        <f t="shared" si="68"/>
        <v>#VALUE!</v>
      </c>
      <c r="AA62" s="19">
        <f t="shared" si="3"/>
        <v>14595.5</v>
      </c>
      <c r="AB62" s="19">
        <f t="shared" si="4"/>
        <v>248.9822575</v>
      </c>
      <c r="AC62" s="92" t="s">
        <v>57</v>
      </c>
    </row>
    <row r="63" ht="14.25" customHeight="1">
      <c r="L63" s="15" t="s">
        <v>134</v>
      </c>
      <c r="M63" s="17">
        <f>CAJICA!M63+COTA!M64+CHIA!M63+ZIPAQUIRA!M63+TABIO!M63+TENJO!M63+SOPO!M63+GACHANCIPA!M63+TOCANCIPA!M63+NEMOCON!M63+COGUA!M63</f>
        <v>57</v>
      </c>
      <c r="N63" s="57">
        <f>M63/C17*100000</f>
        <v>43.68229049</v>
      </c>
      <c r="O63" s="17">
        <f>CAJICA!O63+COTA!O64+CHIA!O63+ZIPAQUIRA!O63+TABIO!O63+TENJO!O63+SOPO!O63+GACHANCIPA!O63+TOCANCIPA!O63+NEMOCON!O63+COGUA!O63</f>
        <v>185</v>
      </c>
      <c r="P63" s="57">
        <f>O63/D17*100000</f>
        <v>138.9714517</v>
      </c>
      <c r="Q63" s="17">
        <f>CAJICA!Q63+COTA!Q64+CHIA!Q63+ZIPAQUIRA!Q63+TABIO!Q63+TENJO!Q63+SOPO!Q63+GACHANCIPA!Q63+TOCANCIPA!Q63+NEMOCON!Q63+COGUA!Q63</f>
        <v>288</v>
      </c>
      <c r="R63" s="57">
        <f>Q63/E17*100000</f>
        <v>211.1219885</v>
      </c>
      <c r="S63" s="17">
        <f>CAJICA!S63+COTA!S64+CHIA!S63+ZIPAQUIRA!S63+TABIO!S63+TENJO!S63+SOPO!S63+GACHANCIPA!S63+TOCANCIPA!S63+NEMOCON!S63+COGUA!S63</f>
        <v>963</v>
      </c>
      <c r="T63" s="57">
        <f>S63/F17*100000</f>
        <v>693.8431557</v>
      </c>
      <c r="U63" s="17">
        <f>CAJICA!U63+COTA!U64+CHIA!U63+ZIPAQUIRA!U63+TABIO!U63+TENJO!U63+SOPO!U63+GACHANCIPA!U63+TOCANCIPA!U63+NEMOCON!U63+COGUA!U63</f>
        <v>1015</v>
      </c>
      <c r="V63" s="57">
        <f>U63/G17*100000</f>
        <v>736.295456</v>
      </c>
      <c r="W63" s="17">
        <f>CAJICA!W63+COTA!W64+CHIA!W63+ZIPAQUIRA!W63+TABIO!W63+TENJO!W63+SOPO!W63+GACHANCIPA!W63+TOCANCIPA!W63+NEMOCON!W63+COGUA!W63</f>
        <v>528</v>
      </c>
      <c r="X63" s="57">
        <f>W63/H17*100000</f>
        <v>377.274003</v>
      </c>
      <c r="Y63" s="99">
        <f t="shared" ref="Y63:Z63" si="69">((M63+O63+Q63+S63)/1)</f>
        <v>1493</v>
      </c>
      <c r="Z63" s="99">
        <f t="shared" si="69"/>
        <v>1087.618886</v>
      </c>
      <c r="AA63" s="19">
        <f t="shared" si="3"/>
        <v>989</v>
      </c>
      <c r="AB63" s="19">
        <f t="shared" si="4"/>
        <v>556.7847295</v>
      </c>
      <c r="AC63" s="92" t="s">
        <v>57</v>
      </c>
    </row>
    <row r="64" ht="14.25" customHeight="1">
      <c r="L64" s="15" t="s">
        <v>135</v>
      </c>
      <c r="M64" s="17">
        <f>CAJICA!M64+COTA!M65+CHIA!M64+ZIPAQUIRA!M64+TABIO!M64+TENJO!M64+SOPO!M64+GACHANCIPA!M64+TOCANCIPA!M64+NEMOCON!M64+COGUA!M64</f>
        <v>25</v>
      </c>
      <c r="N64" s="57">
        <f>M64/C17*100000</f>
        <v>19.15889934</v>
      </c>
      <c r="O64" s="17">
        <f>CAJICA!O64+COTA!O65+CHIA!O64+ZIPAQUIRA!O64+TABIO!O64+TENJO!O64+SOPO!O64+GACHANCIPA!O64+TOCANCIPA!O64+NEMOCON!O64+COGUA!O64</f>
        <v>39</v>
      </c>
      <c r="P64" s="57">
        <f>O64/D17*100000</f>
        <v>29.29668441</v>
      </c>
      <c r="Q64" s="17">
        <f>CAJICA!Q64+COTA!Q65+CHIA!Q64+ZIPAQUIRA!Q64+TABIO!Q64+TENJO!Q64+SOPO!Q64+GACHANCIPA!Q64+TOCANCIPA!Q64+NEMOCON!Q64+COGUA!Q64</f>
        <v>42</v>
      </c>
      <c r="R64" s="57">
        <f>Q64/E17*100000</f>
        <v>30.78862332</v>
      </c>
      <c r="S64" s="17">
        <f>CAJICA!S64+COTA!S65+CHIA!S64+ZIPAQUIRA!S64+TABIO!S64+TENJO!S64+SOPO!S64+GACHANCIPA!S64+TOCANCIPA!S64+NEMOCON!S64+COGUA!S64</f>
        <v>29</v>
      </c>
      <c r="T64" s="57">
        <f>S64/F17*100000</f>
        <v>20.89454986</v>
      </c>
      <c r="U64" s="17" t="str">
        <f>CAJICA!U64+COTA!U65+CHIA!U64+ZIPAQUIRA!U64+TABIO!U64+TENJO!U64+SOPO!U64+GACHANCIPA!U64+TOCANCIPA!U64+NEMOCON!U64+COGUA!U64</f>
        <v>#VALUE!</v>
      </c>
      <c r="V64" s="57" t="str">
        <f>U64/G17*100000</f>
        <v>#VALUE!</v>
      </c>
      <c r="W64" s="17">
        <f>CAJICA!W64+COTA!W65+CHIA!W64+ZIPAQUIRA!W64+TABIO!W64+TENJO!W64+SOPO!W64+GACHANCIPA!W64+TOCANCIPA!W64+NEMOCON!W64+COGUA!W64</f>
        <v>25</v>
      </c>
      <c r="X64" s="57">
        <f>W64/H17*100000</f>
        <v>17.86335241</v>
      </c>
      <c r="Y64" s="99">
        <f t="shared" ref="Y64:Z64" si="70">((M64+O64+Q64+S64)/1)</f>
        <v>135</v>
      </c>
      <c r="Z64" s="99">
        <f t="shared" si="70"/>
        <v>100.1387569</v>
      </c>
      <c r="AA64" s="19" t="str">
        <f t="shared" si="3"/>
        <v>#VALUE!</v>
      </c>
      <c r="AB64" s="19" t="str">
        <f t="shared" si="4"/>
        <v>#VALUE!</v>
      </c>
      <c r="AC64" s="92" t="s">
        <v>136</v>
      </c>
    </row>
    <row r="65" ht="14.25" customHeight="1">
      <c r="L65" s="103" t="s">
        <v>137</v>
      </c>
      <c r="M65" s="17">
        <f>CAJICA!M65+COTA!M66+CHIA!M65+ZIPAQUIRA!M65+TABIO!M65+TENJO!M65+SOPO!M65+GACHANCIPA!M65+TOCANCIPA!M65+NEMOCON!M65+COGUA!M65</f>
        <v>159</v>
      </c>
      <c r="N65" s="57">
        <f>M65/C17*100000</f>
        <v>121.8505998</v>
      </c>
      <c r="O65" s="17">
        <f>CAJICA!O65+COTA!O66+CHIA!O65+ZIPAQUIRA!O65+TABIO!O65+TENJO!O65+SOPO!O65+GACHANCIPA!O65+TOCANCIPA!O65+NEMOCON!O65+COGUA!O65</f>
        <v>179</v>
      </c>
      <c r="P65" s="57">
        <f>O65/D17*100000</f>
        <v>134.4642695</v>
      </c>
      <c r="Q65" s="17">
        <f>CAJICA!Q65+COTA!Q66+CHIA!Q65+ZIPAQUIRA!Q65+TABIO!Q65+TENJO!Q65+SOPO!Q65+GACHANCIPA!Q65+TOCANCIPA!Q65+NEMOCON!Q65+COGUA!Q65</f>
        <v>223</v>
      </c>
      <c r="R65" s="57">
        <f>Q65/E17*100000</f>
        <v>163.4729286</v>
      </c>
      <c r="S65" s="17">
        <f>CAJICA!S65+COTA!S66+CHIA!S65+ZIPAQUIRA!S65+TABIO!S65+TENJO!S65+SOPO!S65+GACHANCIPA!S65+TOCANCIPA!S65+NEMOCON!S65+COGUA!S65</f>
        <v>248</v>
      </c>
      <c r="T65" s="57">
        <f>S65/F17*100000</f>
        <v>178.6844264</v>
      </c>
      <c r="U65" s="17">
        <f>CAJICA!U65+COTA!U66+CHIA!U65+ZIPAQUIRA!U65+TABIO!U65+TENJO!U65+SOPO!U65+GACHANCIPA!U65+TOCANCIPA!U65+NEMOCON!U65+COGUA!U65</f>
        <v>257</v>
      </c>
      <c r="V65" s="57">
        <f>U65/G17*100000</f>
        <v>186.4314603</v>
      </c>
      <c r="W65" s="17">
        <f>CAJICA!W65+COTA!W66+CHIA!W65+ZIPAQUIRA!W65+TABIO!W65+TENJO!W65+SOPO!W65+GACHANCIPA!W65+TOCANCIPA!W65+NEMOCON!W65+COGUA!W65</f>
        <v>133</v>
      </c>
      <c r="X65" s="57">
        <f>W65/H17*100000</f>
        <v>95.03303484</v>
      </c>
      <c r="Y65" s="99">
        <f t="shared" ref="Y65:Z65" si="71">((M65+O65+Q65+S65)/1)</f>
        <v>809</v>
      </c>
      <c r="Z65" s="99">
        <f t="shared" si="71"/>
        <v>598.4722242</v>
      </c>
      <c r="AA65" s="19">
        <f t="shared" si="3"/>
        <v>252.5</v>
      </c>
      <c r="AB65" s="19">
        <f t="shared" si="4"/>
        <v>140.7322476</v>
      </c>
      <c r="AC65" s="92" t="s">
        <v>57</v>
      </c>
    </row>
    <row r="66" ht="14.25" customHeight="1">
      <c r="L66" s="103" t="s">
        <v>138</v>
      </c>
      <c r="M66" s="17">
        <f>CAJICA!M66+COTA!M67+CHIA!M66+ZIPAQUIRA!M66+TABIO!M66+TENJO!M66+SOPO!M66+GACHANCIPA!M66+TOCANCIPA!M66+NEMOCON!M66+COGUA!M66</f>
        <v>166</v>
      </c>
      <c r="N66" s="57">
        <f>M66/C17*100000</f>
        <v>127.2150916</v>
      </c>
      <c r="O66" s="17">
        <f>CAJICA!O66+COTA!O67+CHIA!O66+ZIPAQUIRA!O66+TABIO!O66+TENJO!O66+SOPO!O66+GACHANCIPA!O66+TOCANCIPA!O66+NEMOCON!O66+COGUA!O66</f>
        <v>104</v>
      </c>
      <c r="P66" s="57">
        <f>O66/D17*100000</f>
        <v>78.12449177</v>
      </c>
      <c r="Q66" s="17">
        <f>CAJICA!Q66+COTA!Q67+CHIA!Q66+ZIPAQUIRA!Q66+TABIO!Q66+TENJO!Q66+SOPO!Q66+GACHANCIPA!Q66+TOCANCIPA!Q66+NEMOCON!Q66+COGUA!Q66</f>
        <v>217</v>
      </c>
      <c r="R66" s="57">
        <f>Q66/E17*100000</f>
        <v>159.0745538</v>
      </c>
      <c r="S66" s="17">
        <f>CAJICA!S66+COTA!S67+CHIA!S66+ZIPAQUIRA!S66+TABIO!S66+TENJO!S66+SOPO!S66+GACHANCIPA!S66+TOCANCIPA!S66+NEMOCON!S66+COGUA!S66</f>
        <v>1034</v>
      </c>
      <c r="T66" s="57">
        <f>S66/F17*100000</f>
        <v>744.9987778</v>
      </c>
      <c r="U66" s="17">
        <f>CAJICA!U66+COTA!U67+CHIA!U66+ZIPAQUIRA!U66+TABIO!U66+TENJO!U66+SOPO!U66+GACHANCIPA!U66+TOCANCIPA!U66+NEMOCON!U66+COGUA!U66</f>
        <v>1174</v>
      </c>
      <c r="V66" s="57">
        <f>U66/G17*100000</f>
        <v>851.6363205</v>
      </c>
      <c r="W66" s="17">
        <f>CAJICA!W66+COTA!W67+CHIA!W66+ZIPAQUIRA!W66+TABIO!W66+TENJO!W66+SOPO!W66+GACHANCIPA!W66+TOCANCIPA!W66+NEMOCON!W66+COGUA!W66</f>
        <v>634</v>
      </c>
      <c r="X66" s="57">
        <f>W66/H17*100000</f>
        <v>453.0146172</v>
      </c>
      <c r="Y66" s="99">
        <f t="shared" ref="Y66:Z66" si="72">((M66+O66+Q66+S66)/1)</f>
        <v>1521</v>
      </c>
      <c r="Z66" s="99">
        <f t="shared" si="72"/>
        <v>1109.412915</v>
      </c>
      <c r="AA66" s="19">
        <f t="shared" si="3"/>
        <v>1104</v>
      </c>
      <c r="AB66" s="19">
        <f t="shared" si="4"/>
        <v>652.3254689</v>
      </c>
      <c r="AC66" s="92" t="s">
        <v>57</v>
      </c>
    </row>
    <row r="67" ht="14.25" customHeight="1">
      <c r="L67" s="15" t="s">
        <v>139</v>
      </c>
      <c r="M67" s="17">
        <f>CAJICA!M67+COTA!M68+CHIA!M67+ZIPAQUIRA!M67+TABIO!M67+TENJO!M67+SOPO!M67+GACHANCIPA!M67+TOCANCIPA!M67+NEMOCON!M67+COGUA!M67</f>
        <v>40</v>
      </c>
      <c r="N67" s="57">
        <f>M67/C17*100000</f>
        <v>30.65423894</v>
      </c>
      <c r="O67" s="17">
        <f>CAJICA!O67+COTA!O68+CHIA!O67+ZIPAQUIRA!O67+TABIO!O67+TENJO!O67+SOPO!O67+GACHANCIPA!O67+TOCANCIPA!O67+NEMOCON!O67+COGUA!O67</f>
        <v>45</v>
      </c>
      <c r="P67" s="57">
        <f>O67/D17*100000</f>
        <v>33.80386663</v>
      </c>
      <c r="Q67" s="17">
        <f>CAJICA!Q67+COTA!Q68+CHIA!Q67+ZIPAQUIRA!Q67+TABIO!Q67+TENJO!Q67+SOPO!Q67+GACHANCIPA!Q67+TOCANCIPA!Q67+NEMOCON!Q67+COGUA!Q67</f>
        <v>44</v>
      </c>
      <c r="R67" s="57">
        <f>Q67/E17*100000</f>
        <v>32.25474824</v>
      </c>
      <c r="S67" s="17">
        <f>CAJICA!S67+COTA!S68+CHIA!S67+ZIPAQUIRA!S67+TABIO!S67+TENJO!S67+SOPO!S67+GACHANCIPA!S67+TOCANCIPA!S67+NEMOCON!S67+COGUA!S67</f>
        <v>33</v>
      </c>
      <c r="T67" s="57">
        <f>S67/F17*100000</f>
        <v>23.77655674</v>
      </c>
      <c r="U67" s="17">
        <f>CAJICA!U67+COTA!U68+CHIA!U67+ZIPAQUIRA!U67+TABIO!U67+TENJO!U67+SOPO!U67+GACHANCIPA!U67+TOCANCIPA!U67+NEMOCON!U67+COGUA!U67</f>
        <v>58</v>
      </c>
      <c r="V67" s="57">
        <f>U67/G17*100000</f>
        <v>42.07402606</v>
      </c>
      <c r="W67" s="17">
        <f>CAJICA!W67+COTA!W68+CHIA!W67+ZIPAQUIRA!W67+TABIO!W67+TENJO!W67+SOPO!W67+GACHANCIPA!W67+TOCANCIPA!W67+NEMOCON!W67+COGUA!W67</f>
        <v>37</v>
      </c>
      <c r="X67" s="57">
        <f>W67/H17*100000</f>
        <v>26.43776157</v>
      </c>
      <c r="Y67" s="99">
        <f t="shared" ref="Y67:Z67" si="73">((M67+O67+Q67+S67)/1)</f>
        <v>162</v>
      </c>
      <c r="Z67" s="99">
        <f t="shared" si="73"/>
        <v>120.4894105</v>
      </c>
      <c r="AA67" s="19">
        <f t="shared" si="3"/>
        <v>45.5</v>
      </c>
      <c r="AB67" s="19">
        <f t="shared" si="4"/>
        <v>34.25589381</v>
      </c>
      <c r="AC67" s="92" t="s">
        <v>57</v>
      </c>
    </row>
    <row r="68" ht="14.25" customHeight="1">
      <c r="L68" s="15" t="s">
        <v>140</v>
      </c>
      <c r="M68" s="17">
        <f>CAJICA!M68+COTA!M69+CHIA!M68+ZIPAQUIRA!M68+TABIO!M68+TENJO!M68+SOPO!M68+GACHANCIPA!M68+TOCANCIPA!M68+NEMOCON!M68+COGUA!M68</f>
        <v>25</v>
      </c>
      <c r="N68" s="57">
        <f>M68/C11*100000</f>
        <v>11.30154445</v>
      </c>
      <c r="O68" s="17">
        <f>CAJICA!O68+COTA!O69+CHIA!O68+ZIPAQUIRA!O68+TABIO!O68+TENJO!O68+SOPO!O68+GACHANCIPA!O68+TOCANCIPA!O68+NEMOCON!O68+COGUA!O68</f>
        <v>50</v>
      </c>
      <c r="P68" s="57">
        <f>O68/D11*100000</f>
        <v>23.33452282</v>
      </c>
      <c r="Q68" s="17">
        <f>CAJICA!Q68+COTA!Q69+CHIA!Q68+ZIPAQUIRA!Q68+TABIO!Q68+TENJO!Q68+SOPO!Q68+GACHANCIPA!Q68+TOCANCIPA!Q68+NEMOCON!Q68+COGUA!Q68</f>
        <v>82</v>
      </c>
      <c r="R68" s="57">
        <f>Q68/E11*100000</f>
        <v>34.72672467</v>
      </c>
      <c r="S68" s="17">
        <f>CAJICA!S68+COTA!S69+CHIA!S68+ZIPAQUIRA!S68+TABIO!S68+TENJO!S68+SOPO!S68+GACHANCIPA!S68+TOCANCIPA!S68+NEMOCON!S68+COGUA!S68</f>
        <v>72</v>
      </c>
      <c r="T68" s="57">
        <f>S68/F11*100000</f>
        <v>29.64064875</v>
      </c>
      <c r="U68" s="17">
        <f>CAJICA!U68+COTA!U69+CHIA!U68+ZIPAQUIRA!U68+TABIO!U68+TENJO!U68+SOPO!U68+GACHANCIPA!U68+TOCANCIPA!U68+NEMOCON!U68+COGUA!U68</f>
        <v>82</v>
      </c>
      <c r="V68" s="57">
        <f>U68/G11*100000</f>
        <v>33.01792584</v>
      </c>
      <c r="W68" s="17">
        <f>CAJICA!W68+COTA!W69+CHIA!W68+ZIPAQUIRA!W68+TABIO!W68+TENJO!W68+SOPO!W68+GACHANCIPA!W68+TOCANCIPA!W68+NEMOCON!W68+COGUA!W68</f>
        <v>44</v>
      </c>
      <c r="X68" s="57">
        <f>W68/H11*100000</f>
        <v>17.23900273</v>
      </c>
      <c r="Y68" s="99">
        <f t="shared" ref="Y68:Z68" si="74">((M68+O68+Q68+S68)/2)</f>
        <v>114.5</v>
      </c>
      <c r="Z68" s="99">
        <f t="shared" si="74"/>
        <v>49.50172034</v>
      </c>
      <c r="AA68" s="19">
        <f t="shared" si="3"/>
        <v>77</v>
      </c>
      <c r="AB68" s="19">
        <f t="shared" si="4"/>
        <v>25.12846429</v>
      </c>
      <c r="AC68" s="92" t="s">
        <v>57</v>
      </c>
    </row>
    <row r="69" ht="14.25" customHeight="1">
      <c r="L69" s="15" t="s">
        <v>141</v>
      </c>
      <c r="M69" s="17">
        <f>CAJICA!M69+COTA!M70+CHIA!M69+ZIPAQUIRA!M69+TABIO!M69+TENJO!M69+SOPO!M69+GACHANCIPA!M69+TOCANCIPA!M69+NEMOCON!M69+COGUA!M69</f>
        <v>26</v>
      </c>
      <c r="N69" s="57">
        <f>M69/C11*100000</f>
        <v>11.75360622</v>
      </c>
      <c r="O69" s="17">
        <f>CAJICA!O69+COTA!O70+CHIA!O69+ZIPAQUIRA!O69+TABIO!O69+TENJO!O69+SOPO!O69+GACHANCIPA!O69+TOCANCIPA!O69+NEMOCON!O69+COGUA!O69</f>
        <v>64</v>
      </c>
      <c r="P69" s="57">
        <f>O69/D11*100000</f>
        <v>29.86818921</v>
      </c>
      <c r="Q69" s="17">
        <f>CAJICA!Q69+COTA!Q70+CHIA!Q69+ZIPAQUIRA!Q69+TABIO!Q69+TENJO!Q69+SOPO!Q69+GACHANCIPA!Q69+TOCANCIPA!Q69+NEMOCON!Q69+COGUA!Q69</f>
        <v>116</v>
      </c>
      <c r="R69" s="57">
        <f>Q69/E11*100000</f>
        <v>49.12561051</v>
      </c>
      <c r="S69" s="17">
        <f>CAJICA!S69+COTA!S70+CHIA!S69+ZIPAQUIRA!S69+TABIO!S69+TENJO!S69+SOPO!S69+GACHANCIPA!S69+TOCANCIPA!S69+NEMOCON!S69+COGUA!S69</f>
        <v>97</v>
      </c>
      <c r="T69" s="57">
        <f>S69/F11*100000</f>
        <v>39.93254068</v>
      </c>
      <c r="U69" s="17">
        <f>CAJICA!U69+COTA!U70+CHIA!U69+ZIPAQUIRA!U69+TABIO!U69+TENJO!U69+SOPO!U69+GACHANCIPA!U69+TOCANCIPA!U69+NEMOCON!U69+COGUA!U69</f>
        <v>78</v>
      </c>
      <c r="V69" s="57">
        <f>U69/G11*100000</f>
        <v>31.40729531</v>
      </c>
      <c r="W69" s="17">
        <f>CAJICA!W69+COTA!W70+CHIA!W69+ZIPAQUIRA!W69+TABIO!W69+TENJO!W69+SOPO!W69+GACHANCIPA!W69+TOCANCIPA!W69+NEMOCON!W69+COGUA!W69</f>
        <v>27</v>
      </c>
      <c r="X69" s="57">
        <f>W69/H11*100000</f>
        <v>10.57847895</v>
      </c>
      <c r="Y69" s="19">
        <f t="shared" ref="Y69:Z69" si="75">((M69+O69+Q69+S69)/2)</f>
        <v>151.5</v>
      </c>
      <c r="Z69" s="19">
        <f t="shared" si="75"/>
        <v>65.33997331</v>
      </c>
      <c r="AA69" s="19">
        <f t="shared" si="3"/>
        <v>87.5</v>
      </c>
      <c r="AB69" s="19">
        <f t="shared" si="4"/>
        <v>20.99288713</v>
      </c>
      <c r="AC69" s="92" t="s">
        <v>57</v>
      </c>
    </row>
    <row r="70" ht="14.25" customHeight="1">
      <c r="L70" s="95" t="s">
        <v>142</v>
      </c>
      <c r="M70" s="17">
        <f>CAJICA!M70+COTA!M71+CHIA!M70+ZIPAQUIRA!M70+TABIO!M70+TENJO!M70+SOPO!M70+GACHANCIPA!M70+TOCANCIPA!M70+NEMOCON!M70+COGUA!M70</f>
        <v>43</v>
      </c>
      <c r="N70" s="98">
        <f>M70/C7*100000</f>
        <v>9.613944244</v>
      </c>
      <c r="O70" s="17">
        <f>CAJICA!O70+COTA!O71+CHIA!O70+ZIPAQUIRA!O70+TABIO!O70+TENJO!O70+SOPO!O70+GACHANCIPA!O70+TOCANCIPA!O70+NEMOCON!O70+COGUA!O70</f>
        <v>32</v>
      </c>
      <c r="P70" s="98">
        <f>O70/D7*100000</f>
        <v>6.920819338</v>
      </c>
      <c r="Q70" s="17">
        <f>CAJICA!Q70+COTA!Q71+CHIA!Q70+ZIPAQUIRA!Q70+TABIO!Q70+TENJO!Q70+SOPO!Q70+GACHANCIPA!Q70+TOCANCIPA!Q70+NEMOCON!Q70+COGUA!Q70</f>
        <v>48</v>
      </c>
      <c r="R70" s="98">
        <f>Q70/E7*100000</f>
        <v>10.06451775</v>
      </c>
      <c r="S70" s="17">
        <f>CAJICA!S70+COTA!S71+CHIA!S70+ZIPAQUIRA!S70+TABIO!S70+TENJO!S70+SOPO!S70+GACHANCIPA!S70+TOCANCIPA!S70+NEMOCON!S70+COGUA!S70</f>
        <v>48</v>
      </c>
      <c r="T70" s="98">
        <f>S70/F7*100000</f>
        <v>9.759787237</v>
      </c>
      <c r="U70" s="17">
        <f>CAJICA!U70+COTA!U71+CHIA!U70+ZIPAQUIRA!U70+TABIO!U70+TENJO!U70+SOPO!U70+GACHANCIPA!U70+TOCANCIPA!U70+NEMOCON!U70+COGUA!U70</f>
        <v>50</v>
      </c>
      <c r="V70" s="98" t="str">
        <f>U70/G7*100000</f>
        <v>#VALUE!</v>
      </c>
      <c r="W70" s="17">
        <f>CAJICA!W70+COTA!W71+CHIA!W70+ZIPAQUIRA!W70+TABIO!W70+TENJO!W70+SOPO!W70+GACHANCIPA!W70+TOCANCIPA!W70+NEMOCON!W70+COGUA!W70</f>
        <v>14</v>
      </c>
      <c r="X70" s="98">
        <f>W70/H7*100000</f>
        <v>2.689959151</v>
      </c>
      <c r="Y70" s="99">
        <f t="shared" ref="Y70:Z70" si="76">((M70+O70+Q70+S70)/1)</f>
        <v>171</v>
      </c>
      <c r="Z70" s="99">
        <f t="shared" si="76"/>
        <v>36.35906857</v>
      </c>
      <c r="AA70" s="99">
        <f t="shared" si="3"/>
        <v>49</v>
      </c>
      <c r="AB70" s="99" t="str">
        <f t="shared" si="4"/>
        <v>#VALUE!</v>
      </c>
      <c r="AC70" s="105" t="s">
        <v>28</v>
      </c>
    </row>
    <row r="71" ht="14.25" customHeight="1">
      <c r="L71" s="138"/>
    </row>
    <row r="72" ht="14.25" customHeight="1">
      <c r="L72" s="138"/>
    </row>
    <row r="73" ht="14.25" customHeight="1">
      <c r="L73" s="138"/>
    </row>
    <row r="74" ht="14.25" customHeight="1">
      <c r="L74" s="138"/>
    </row>
    <row r="75" ht="14.25" customHeight="1">
      <c r="L75" s="138"/>
    </row>
    <row r="76" ht="14.25" customHeight="1">
      <c r="L76" s="138"/>
    </row>
    <row r="77" ht="14.25" customHeight="1">
      <c r="L77" s="138"/>
    </row>
    <row r="78" ht="14.25" customHeight="1">
      <c r="L78" s="138"/>
    </row>
    <row r="79" ht="14.25" customHeight="1">
      <c r="L79" s="138"/>
    </row>
    <row r="80" ht="14.25" customHeight="1">
      <c r="L80" s="138"/>
    </row>
    <row r="81" ht="14.25" customHeight="1">
      <c r="L81" s="138"/>
    </row>
    <row r="82" ht="14.25" customHeight="1">
      <c r="L82" s="138"/>
    </row>
    <row r="83" ht="14.25" customHeight="1">
      <c r="L83" s="138"/>
    </row>
    <row r="84" ht="14.25" customHeight="1">
      <c r="L84" s="138"/>
    </row>
    <row r="85" ht="14.25" customHeight="1">
      <c r="L85" s="138"/>
    </row>
    <row r="86" ht="14.25" customHeight="1">
      <c r="L86" s="138"/>
    </row>
    <row r="87" ht="14.25" customHeight="1">
      <c r="L87" s="138"/>
    </row>
    <row r="88" ht="14.25" customHeight="1">
      <c r="L88" s="138"/>
    </row>
    <row r="89" ht="14.25" customHeight="1">
      <c r="L89" s="138"/>
    </row>
    <row r="90" ht="14.25" customHeight="1">
      <c r="L90" s="138"/>
    </row>
    <row r="91" ht="14.25" customHeight="1">
      <c r="L91" s="138"/>
    </row>
    <row r="92" ht="14.25" customHeight="1">
      <c r="L92" s="138"/>
    </row>
    <row r="93" ht="14.25" customHeight="1">
      <c r="L93" s="138"/>
    </row>
    <row r="94" ht="14.25" customHeight="1">
      <c r="L94" s="138"/>
    </row>
    <row r="95" ht="14.25" customHeight="1">
      <c r="L95" s="138"/>
    </row>
    <row r="96" ht="14.25" customHeight="1">
      <c r="L96" s="138"/>
    </row>
    <row r="97" ht="14.25" customHeight="1">
      <c r="L97" s="138"/>
    </row>
    <row r="98" ht="14.25" customHeight="1">
      <c r="L98" s="138"/>
    </row>
    <row r="99" ht="14.25" customHeight="1">
      <c r="L99" s="138"/>
    </row>
    <row r="100" ht="14.25" customHeight="1">
      <c r="L100" s="138"/>
    </row>
    <row r="101" ht="14.25" customHeight="1">
      <c r="L101" s="138"/>
    </row>
    <row r="102" ht="14.25" customHeight="1">
      <c r="L102" s="138"/>
    </row>
    <row r="103" ht="14.25" customHeight="1">
      <c r="L103" s="138"/>
    </row>
    <row r="104" ht="14.25" customHeight="1">
      <c r="L104" s="138"/>
    </row>
    <row r="105" ht="14.25" customHeight="1">
      <c r="L105" s="138"/>
    </row>
    <row r="106" ht="14.25" customHeight="1">
      <c r="L106" s="138"/>
    </row>
    <row r="107" ht="14.25" customHeight="1">
      <c r="L107" s="138"/>
    </row>
    <row r="108" ht="14.25" customHeight="1">
      <c r="L108" s="138"/>
    </row>
    <row r="109" ht="14.25" customHeight="1">
      <c r="L109" s="138"/>
    </row>
    <row r="110" ht="14.25" customHeight="1">
      <c r="L110" s="138"/>
    </row>
    <row r="111" ht="14.25" customHeight="1">
      <c r="L111" s="138"/>
    </row>
    <row r="112" ht="14.25" customHeight="1">
      <c r="L112" s="138"/>
    </row>
    <row r="113" ht="14.25" customHeight="1">
      <c r="L113" s="138"/>
    </row>
    <row r="114" ht="14.25" customHeight="1">
      <c r="L114" s="138"/>
    </row>
    <row r="115" ht="14.25" customHeight="1">
      <c r="L115" s="138"/>
    </row>
    <row r="116" ht="14.25" customHeight="1">
      <c r="L116" s="138"/>
    </row>
    <row r="117" ht="14.25" customHeight="1">
      <c r="L117" s="138"/>
    </row>
    <row r="118" ht="14.25" customHeight="1">
      <c r="L118" s="138"/>
    </row>
    <row r="119" ht="14.25" customHeight="1">
      <c r="L119" s="138"/>
    </row>
    <row r="120" ht="14.25" customHeight="1">
      <c r="L120" s="138"/>
    </row>
    <row r="121" ht="14.25" customHeight="1">
      <c r="L121" s="138"/>
    </row>
    <row r="122" ht="14.25" customHeight="1">
      <c r="L122" s="138"/>
    </row>
    <row r="123" ht="14.25" customHeight="1">
      <c r="L123" s="138"/>
    </row>
    <row r="124" ht="14.25" customHeight="1">
      <c r="L124" s="138"/>
    </row>
    <row r="125" ht="14.25" customHeight="1">
      <c r="L125" s="138"/>
    </row>
    <row r="126" ht="14.25" customHeight="1">
      <c r="L126" s="138"/>
    </row>
    <row r="127" ht="14.25" customHeight="1">
      <c r="L127" s="138"/>
    </row>
    <row r="128" ht="14.25" customHeight="1">
      <c r="L128" s="138"/>
    </row>
    <row r="129" ht="14.25" customHeight="1">
      <c r="L129" s="138"/>
    </row>
    <row r="130" ht="14.25" customHeight="1">
      <c r="L130" s="138"/>
    </row>
    <row r="131" ht="14.25" customHeight="1">
      <c r="L131" s="138"/>
    </row>
    <row r="132" ht="14.25" customHeight="1">
      <c r="L132" s="138"/>
    </row>
    <row r="133" ht="14.25" customHeight="1">
      <c r="L133" s="138"/>
    </row>
    <row r="134" ht="14.25" customHeight="1">
      <c r="L134" s="138"/>
    </row>
    <row r="135" ht="14.25" customHeight="1">
      <c r="L135" s="138"/>
    </row>
    <row r="136" ht="14.25" customHeight="1">
      <c r="L136" s="138"/>
    </row>
    <row r="137" ht="14.25" customHeight="1">
      <c r="L137" s="138"/>
    </row>
    <row r="138" ht="14.25" customHeight="1">
      <c r="L138" s="138"/>
    </row>
    <row r="139" ht="14.25" customHeight="1">
      <c r="L139" s="138"/>
    </row>
    <row r="140" ht="14.25" customHeight="1">
      <c r="L140" s="138"/>
    </row>
    <row r="141" ht="14.25" customHeight="1">
      <c r="L141" s="138"/>
    </row>
    <row r="142" ht="14.25" customHeight="1">
      <c r="L142" s="138"/>
    </row>
    <row r="143" ht="14.25" customHeight="1">
      <c r="L143" s="138"/>
    </row>
    <row r="144" ht="14.25" customHeight="1">
      <c r="L144" s="138"/>
    </row>
    <row r="145" ht="14.25" customHeight="1">
      <c r="L145" s="138"/>
    </row>
    <row r="146" ht="14.25" customHeight="1">
      <c r="L146" s="138"/>
    </row>
    <row r="147" ht="14.25" customHeight="1">
      <c r="L147" s="138"/>
    </row>
    <row r="148" ht="14.25" customHeight="1">
      <c r="L148" s="138"/>
    </row>
    <row r="149" ht="14.25" customHeight="1">
      <c r="L149" s="138"/>
    </row>
    <row r="150" ht="14.25" customHeight="1">
      <c r="L150" s="138"/>
    </row>
    <row r="151" ht="14.25" customHeight="1">
      <c r="L151" s="138"/>
    </row>
    <row r="152" ht="14.25" customHeight="1">
      <c r="L152" s="138"/>
    </row>
    <row r="153" ht="14.25" customHeight="1">
      <c r="L153" s="138"/>
    </row>
    <row r="154" ht="14.25" customHeight="1">
      <c r="L154" s="138"/>
    </row>
    <row r="155" ht="14.25" customHeight="1">
      <c r="L155" s="138"/>
    </row>
    <row r="156" ht="14.25" customHeight="1">
      <c r="L156" s="138"/>
    </row>
    <row r="157" ht="14.25" customHeight="1">
      <c r="L157" s="138"/>
    </row>
    <row r="158" ht="14.25" customHeight="1">
      <c r="L158" s="138"/>
    </row>
    <row r="159" ht="14.25" customHeight="1">
      <c r="L159" s="138"/>
    </row>
    <row r="160" ht="14.25" customHeight="1">
      <c r="L160" s="138"/>
    </row>
    <row r="161" ht="14.25" customHeight="1">
      <c r="L161" s="138"/>
    </row>
    <row r="162" ht="14.25" customHeight="1">
      <c r="L162" s="138"/>
    </row>
    <row r="163" ht="14.25" customHeight="1">
      <c r="L163" s="138"/>
    </row>
    <row r="164" ht="14.25" customHeight="1">
      <c r="L164" s="138"/>
    </row>
    <row r="165" ht="14.25" customHeight="1">
      <c r="L165" s="138"/>
    </row>
    <row r="166" ht="14.25" customHeight="1">
      <c r="L166" s="138"/>
    </row>
    <row r="167" ht="14.25" customHeight="1">
      <c r="L167" s="138"/>
    </row>
    <row r="168" ht="14.25" customHeight="1">
      <c r="L168" s="138"/>
    </row>
    <row r="169" ht="14.25" customHeight="1">
      <c r="L169" s="138"/>
    </row>
    <row r="170" ht="14.25" customHeight="1">
      <c r="L170" s="138"/>
    </row>
    <row r="171" ht="14.25" customHeight="1">
      <c r="L171" s="138"/>
    </row>
    <row r="172" ht="14.25" customHeight="1">
      <c r="L172" s="138"/>
    </row>
    <row r="173" ht="14.25" customHeight="1">
      <c r="L173" s="138"/>
    </row>
    <row r="174" ht="14.25" customHeight="1">
      <c r="L174" s="138"/>
    </row>
    <row r="175" ht="14.25" customHeight="1">
      <c r="L175" s="138"/>
    </row>
    <row r="176" ht="14.25" customHeight="1">
      <c r="L176" s="138"/>
    </row>
    <row r="177" ht="14.25" customHeight="1">
      <c r="L177" s="138"/>
    </row>
    <row r="178" ht="14.25" customHeight="1">
      <c r="L178" s="138"/>
    </row>
    <row r="179" ht="14.25" customHeight="1">
      <c r="L179" s="138"/>
    </row>
    <row r="180" ht="14.25" customHeight="1">
      <c r="L180" s="138"/>
    </row>
    <row r="181" ht="14.25" customHeight="1">
      <c r="L181" s="138"/>
    </row>
    <row r="182" ht="14.25" customHeight="1">
      <c r="L182" s="138"/>
    </row>
    <row r="183" ht="14.25" customHeight="1">
      <c r="L183" s="138"/>
    </row>
    <row r="184" ht="14.25" customHeight="1">
      <c r="L184" s="138"/>
    </row>
    <row r="185" ht="14.25" customHeight="1">
      <c r="L185" s="138"/>
    </row>
    <row r="186" ht="14.25" customHeight="1">
      <c r="L186" s="138"/>
    </row>
    <row r="187" ht="14.25" customHeight="1">
      <c r="L187" s="138"/>
    </row>
    <row r="188" ht="14.25" customHeight="1">
      <c r="L188" s="138"/>
    </row>
    <row r="189" ht="14.25" customHeight="1">
      <c r="L189" s="138"/>
    </row>
    <row r="190" ht="14.25" customHeight="1">
      <c r="L190" s="138"/>
    </row>
    <row r="191" ht="14.25" customHeight="1">
      <c r="L191" s="138"/>
    </row>
    <row r="192" ht="14.25" customHeight="1">
      <c r="L192" s="138"/>
    </row>
    <row r="193" ht="14.25" customHeight="1">
      <c r="L193" s="138"/>
    </row>
    <row r="194" ht="14.25" customHeight="1">
      <c r="L194" s="138"/>
    </row>
    <row r="195" ht="14.25" customHeight="1">
      <c r="L195" s="138"/>
    </row>
    <row r="196" ht="14.25" customHeight="1">
      <c r="L196" s="138"/>
    </row>
    <row r="197" ht="14.25" customHeight="1">
      <c r="L197" s="138"/>
    </row>
    <row r="198" ht="14.25" customHeight="1">
      <c r="L198" s="138"/>
    </row>
    <row r="199" ht="14.25" customHeight="1">
      <c r="L199" s="138"/>
    </row>
    <row r="200" ht="14.25" customHeight="1">
      <c r="L200" s="138"/>
    </row>
    <row r="201" ht="14.25" customHeight="1">
      <c r="L201" s="138"/>
    </row>
    <row r="202" ht="14.25" customHeight="1">
      <c r="L202" s="138"/>
    </row>
    <row r="203" ht="14.25" customHeight="1">
      <c r="L203" s="138"/>
    </row>
    <row r="204" ht="14.25" customHeight="1">
      <c r="L204" s="138"/>
    </row>
    <row r="205" ht="14.25" customHeight="1">
      <c r="L205" s="138"/>
    </row>
    <row r="206" ht="14.25" customHeight="1">
      <c r="L206" s="138"/>
    </row>
    <row r="207" ht="14.25" customHeight="1">
      <c r="L207" s="138"/>
    </row>
    <row r="208" ht="14.25" customHeight="1">
      <c r="L208" s="138"/>
    </row>
    <row r="209" ht="14.25" customHeight="1">
      <c r="L209" s="138"/>
    </row>
    <row r="210" ht="14.25" customHeight="1">
      <c r="L210" s="138"/>
    </row>
    <row r="211" ht="14.25" customHeight="1">
      <c r="L211" s="138"/>
    </row>
    <row r="212" ht="14.25" customHeight="1">
      <c r="L212" s="138"/>
    </row>
    <row r="213" ht="14.25" customHeight="1">
      <c r="L213" s="138"/>
    </row>
    <row r="214" ht="14.25" customHeight="1">
      <c r="L214" s="138"/>
    </row>
    <row r="215" ht="14.25" customHeight="1">
      <c r="L215" s="138"/>
    </row>
    <row r="216" ht="14.25" customHeight="1">
      <c r="L216" s="138"/>
    </row>
    <row r="217" ht="14.25" customHeight="1">
      <c r="L217" s="138"/>
    </row>
    <row r="218" ht="14.25" customHeight="1">
      <c r="L218" s="138"/>
    </row>
    <row r="219" ht="14.25" customHeight="1">
      <c r="L219" s="138"/>
    </row>
    <row r="220" ht="14.25" customHeight="1">
      <c r="L220" s="138"/>
    </row>
    <row r="221" ht="14.25" customHeight="1">
      <c r="L221" s="138"/>
    </row>
    <row r="222" ht="14.25" customHeight="1">
      <c r="L222" s="138"/>
    </row>
    <row r="223" ht="14.25" customHeight="1">
      <c r="L223" s="138"/>
    </row>
    <row r="224" ht="14.25" customHeight="1">
      <c r="L224" s="138"/>
    </row>
    <row r="225" ht="14.25" customHeight="1">
      <c r="L225" s="138"/>
    </row>
    <row r="226" ht="14.25" customHeight="1">
      <c r="L226" s="138"/>
    </row>
    <row r="227" ht="14.25" customHeight="1">
      <c r="L227" s="138"/>
    </row>
    <row r="228" ht="14.25" customHeight="1">
      <c r="L228" s="138"/>
    </row>
    <row r="229" ht="14.25" customHeight="1">
      <c r="L229" s="138"/>
    </row>
    <row r="230" ht="14.25" customHeight="1">
      <c r="L230" s="138"/>
    </row>
    <row r="231" ht="14.25" customHeight="1">
      <c r="L231" s="138"/>
    </row>
    <row r="232" ht="14.25" customHeight="1">
      <c r="L232" s="138"/>
    </row>
    <row r="233" ht="14.25" customHeight="1">
      <c r="L233" s="138"/>
    </row>
    <row r="234" ht="14.25" customHeight="1">
      <c r="L234" s="138"/>
    </row>
    <row r="235" ht="14.25" customHeight="1">
      <c r="L235" s="138"/>
    </row>
    <row r="236" ht="14.25" customHeight="1">
      <c r="L236" s="138"/>
    </row>
    <row r="237" ht="14.25" customHeight="1">
      <c r="L237" s="138"/>
    </row>
    <row r="238" ht="14.25" customHeight="1">
      <c r="L238" s="138"/>
    </row>
    <row r="239" ht="14.25" customHeight="1">
      <c r="L239" s="138"/>
    </row>
    <row r="240" ht="14.25" customHeight="1">
      <c r="L240" s="138"/>
    </row>
    <row r="241" ht="14.25" customHeight="1">
      <c r="L241" s="138"/>
    </row>
    <row r="242" ht="14.25" customHeight="1">
      <c r="L242" s="138"/>
    </row>
    <row r="243" ht="14.25" customHeight="1">
      <c r="L243" s="138"/>
    </row>
    <row r="244" ht="14.25" customHeight="1">
      <c r="L244" s="138"/>
    </row>
    <row r="245" ht="14.25" customHeight="1">
      <c r="L245" s="138"/>
    </row>
    <row r="246" ht="14.25" customHeight="1">
      <c r="L246" s="138"/>
    </row>
    <row r="247" ht="14.25" customHeight="1">
      <c r="L247" s="138"/>
    </row>
    <row r="248" ht="14.25" customHeight="1">
      <c r="L248" s="138"/>
    </row>
    <row r="249" ht="14.25" customHeight="1">
      <c r="L249" s="138"/>
    </row>
    <row r="250" ht="14.25" customHeight="1">
      <c r="L250" s="138"/>
    </row>
    <row r="251" ht="14.25" customHeight="1">
      <c r="L251" s="138"/>
    </row>
    <row r="252" ht="14.25" customHeight="1">
      <c r="L252" s="138"/>
    </row>
    <row r="253" ht="14.25" customHeight="1">
      <c r="L253" s="138"/>
    </row>
    <row r="254" ht="14.25" customHeight="1">
      <c r="L254" s="138"/>
    </row>
    <row r="255" ht="14.25" customHeight="1">
      <c r="L255" s="138"/>
    </row>
    <row r="256" ht="14.25" customHeight="1">
      <c r="L256" s="138"/>
    </row>
    <row r="257" ht="14.25" customHeight="1">
      <c r="L257" s="138"/>
    </row>
    <row r="258" ht="14.25" customHeight="1">
      <c r="L258" s="138"/>
    </row>
    <row r="259" ht="14.25" customHeight="1">
      <c r="L259" s="138"/>
    </row>
    <row r="260" ht="14.25" customHeight="1">
      <c r="L260" s="138"/>
    </row>
    <row r="261" ht="14.25" customHeight="1">
      <c r="L261" s="138"/>
    </row>
    <row r="262" ht="14.25" customHeight="1">
      <c r="L262" s="138"/>
    </row>
    <row r="263" ht="14.25" customHeight="1">
      <c r="L263" s="138"/>
    </row>
    <row r="264" ht="14.25" customHeight="1">
      <c r="L264" s="138"/>
    </row>
    <row r="265" ht="14.25" customHeight="1">
      <c r="L265" s="138"/>
    </row>
    <row r="266" ht="14.25" customHeight="1">
      <c r="L266" s="138"/>
    </row>
    <row r="267" ht="14.25" customHeight="1">
      <c r="L267" s="138"/>
    </row>
    <row r="268" ht="14.25" customHeight="1">
      <c r="L268" s="138"/>
    </row>
    <row r="269" ht="14.25" customHeight="1">
      <c r="L269" s="138"/>
    </row>
    <row r="270" ht="14.25" customHeight="1">
      <c r="L270" s="138"/>
    </row>
    <row r="271" ht="14.25" customHeight="1">
      <c r="L271" s="138"/>
    </row>
    <row r="272" ht="14.25" customHeight="1">
      <c r="L272" s="138"/>
    </row>
    <row r="273" ht="14.25" customHeight="1">
      <c r="L273" s="138"/>
    </row>
    <row r="274" ht="14.25" customHeight="1">
      <c r="L274" s="138"/>
    </row>
    <row r="275" ht="14.25" customHeight="1">
      <c r="L275" s="138"/>
    </row>
    <row r="276" ht="14.25" customHeight="1">
      <c r="L276" s="138"/>
    </row>
    <row r="277" ht="14.25" customHeight="1">
      <c r="L277" s="138"/>
    </row>
    <row r="278" ht="14.25" customHeight="1">
      <c r="L278" s="138"/>
    </row>
    <row r="279" ht="14.25" customHeight="1">
      <c r="L279" s="138"/>
    </row>
    <row r="280" ht="14.25" customHeight="1">
      <c r="L280" s="138"/>
    </row>
    <row r="281" ht="14.25" customHeight="1">
      <c r="L281" s="138"/>
    </row>
    <row r="282" ht="14.25" customHeight="1">
      <c r="L282" s="138"/>
    </row>
    <row r="283" ht="14.25" customHeight="1">
      <c r="L283" s="138"/>
    </row>
    <row r="284" ht="14.25" customHeight="1">
      <c r="L284" s="138"/>
    </row>
    <row r="285" ht="14.25" customHeight="1">
      <c r="L285" s="138"/>
    </row>
    <row r="286" ht="14.25" customHeight="1">
      <c r="L286" s="138"/>
    </row>
    <row r="287" ht="14.25" customHeight="1">
      <c r="L287" s="138"/>
    </row>
    <row r="288" ht="14.25" customHeight="1">
      <c r="L288" s="138"/>
    </row>
    <row r="289" ht="14.25" customHeight="1">
      <c r="L289" s="138"/>
    </row>
    <row r="290" ht="14.25" customHeight="1">
      <c r="L290" s="138"/>
    </row>
    <row r="291" ht="14.25" customHeight="1">
      <c r="L291" s="138"/>
    </row>
    <row r="292" ht="14.25" customHeight="1">
      <c r="L292" s="138"/>
    </row>
    <row r="293" ht="14.25" customHeight="1">
      <c r="L293" s="138"/>
    </row>
    <row r="294" ht="14.25" customHeight="1">
      <c r="L294" s="138"/>
    </row>
    <row r="295" ht="14.25" customHeight="1">
      <c r="L295" s="138"/>
    </row>
    <row r="296" ht="14.25" customHeight="1">
      <c r="L296" s="138"/>
    </row>
    <row r="297" ht="14.25" customHeight="1">
      <c r="L297" s="138"/>
    </row>
    <row r="298" ht="14.25" customHeight="1">
      <c r="L298" s="138"/>
    </row>
    <row r="299" ht="14.25" customHeight="1">
      <c r="L299" s="138"/>
    </row>
    <row r="300" ht="14.25" customHeight="1">
      <c r="L300" s="138"/>
    </row>
    <row r="301" ht="14.25" customHeight="1">
      <c r="L301" s="138"/>
    </row>
    <row r="302" ht="14.25" customHeight="1">
      <c r="L302" s="138"/>
    </row>
    <row r="303" ht="14.25" customHeight="1">
      <c r="L303" s="138"/>
    </row>
    <row r="304" ht="14.25" customHeight="1">
      <c r="L304" s="138"/>
    </row>
    <row r="305" ht="14.25" customHeight="1">
      <c r="L305" s="138"/>
    </row>
    <row r="306" ht="14.25" customHeight="1">
      <c r="L306" s="138"/>
    </row>
    <row r="307" ht="14.25" customHeight="1">
      <c r="L307" s="138"/>
    </row>
    <row r="308" ht="14.25" customHeight="1">
      <c r="L308" s="138"/>
    </row>
    <row r="309" ht="14.25" customHeight="1">
      <c r="L309" s="138"/>
    </row>
    <row r="310" ht="14.25" customHeight="1">
      <c r="L310" s="138"/>
    </row>
    <row r="311" ht="14.25" customHeight="1">
      <c r="L311" s="138"/>
    </row>
    <row r="312" ht="14.25" customHeight="1">
      <c r="L312" s="138"/>
    </row>
    <row r="313" ht="14.25" customHeight="1">
      <c r="L313" s="138"/>
    </row>
    <row r="314" ht="14.25" customHeight="1">
      <c r="L314" s="138"/>
    </row>
    <row r="315" ht="14.25" customHeight="1">
      <c r="L315" s="138"/>
    </row>
    <row r="316" ht="14.25" customHeight="1">
      <c r="L316" s="138"/>
    </row>
    <row r="317" ht="14.25" customHeight="1">
      <c r="L317" s="138"/>
    </row>
    <row r="318" ht="14.25" customHeight="1">
      <c r="L318" s="138"/>
    </row>
    <row r="319" ht="14.25" customHeight="1">
      <c r="L319" s="138"/>
    </row>
    <row r="320" ht="14.25" customHeight="1">
      <c r="L320" s="138"/>
    </row>
    <row r="321" ht="14.25" customHeight="1">
      <c r="L321" s="138"/>
    </row>
    <row r="322" ht="14.25" customHeight="1">
      <c r="L322" s="138"/>
    </row>
    <row r="323" ht="14.25" customHeight="1">
      <c r="L323" s="138"/>
    </row>
    <row r="324" ht="14.25" customHeight="1">
      <c r="L324" s="138"/>
    </row>
    <row r="325" ht="14.25" customHeight="1">
      <c r="L325" s="138"/>
    </row>
    <row r="326" ht="14.25" customHeight="1">
      <c r="L326" s="138"/>
    </row>
    <row r="327" ht="14.25" customHeight="1">
      <c r="L327" s="138"/>
    </row>
    <row r="328" ht="14.25" customHeight="1">
      <c r="L328" s="138"/>
    </row>
    <row r="329" ht="14.25" customHeight="1">
      <c r="L329" s="138"/>
    </row>
    <row r="330" ht="14.25" customHeight="1">
      <c r="L330" s="138"/>
    </row>
    <row r="331" ht="14.25" customHeight="1">
      <c r="L331" s="138"/>
    </row>
    <row r="332" ht="14.25" customHeight="1">
      <c r="L332" s="138"/>
    </row>
    <row r="333" ht="14.25" customHeight="1">
      <c r="L333" s="138"/>
    </row>
    <row r="334" ht="14.25" customHeight="1">
      <c r="L334" s="138"/>
    </row>
    <row r="335" ht="14.25" customHeight="1">
      <c r="L335" s="138"/>
    </row>
    <row r="336" ht="14.25" customHeight="1">
      <c r="L336" s="138"/>
    </row>
    <row r="337" ht="14.25" customHeight="1">
      <c r="L337" s="138"/>
    </row>
    <row r="338" ht="14.25" customHeight="1">
      <c r="L338" s="138"/>
    </row>
    <row r="339" ht="14.25" customHeight="1">
      <c r="L339" s="138"/>
    </row>
    <row r="340" ht="14.25" customHeight="1">
      <c r="L340" s="138"/>
    </row>
    <row r="341" ht="14.25" customHeight="1">
      <c r="L341" s="138"/>
    </row>
    <row r="342" ht="14.25" customHeight="1">
      <c r="L342" s="138"/>
    </row>
    <row r="343" ht="14.25" customHeight="1">
      <c r="L343" s="138"/>
    </row>
    <row r="344" ht="14.25" customHeight="1">
      <c r="L344" s="138"/>
    </row>
    <row r="345" ht="14.25" customHeight="1">
      <c r="L345" s="138"/>
    </row>
    <row r="346" ht="14.25" customHeight="1">
      <c r="L346" s="138"/>
    </row>
    <row r="347" ht="14.25" customHeight="1">
      <c r="L347" s="138"/>
    </row>
    <row r="348" ht="14.25" customHeight="1">
      <c r="L348" s="138"/>
    </row>
    <row r="349" ht="14.25" customHeight="1">
      <c r="L349" s="138"/>
    </row>
    <row r="350" ht="14.25" customHeight="1">
      <c r="L350" s="138"/>
    </row>
    <row r="351" ht="14.25" customHeight="1">
      <c r="L351" s="138"/>
    </row>
    <row r="352" ht="14.25" customHeight="1">
      <c r="L352" s="138"/>
    </row>
    <row r="353" ht="14.25" customHeight="1">
      <c r="L353" s="138"/>
    </row>
    <row r="354" ht="14.25" customHeight="1">
      <c r="L354" s="138"/>
    </row>
    <row r="355" ht="14.25" customHeight="1">
      <c r="L355" s="138"/>
    </row>
    <row r="356" ht="14.25" customHeight="1">
      <c r="L356" s="138"/>
    </row>
    <row r="357" ht="14.25" customHeight="1">
      <c r="L357" s="138"/>
    </row>
    <row r="358" ht="14.25" customHeight="1">
      <c r="L358" s="138"/>
    </row>
    <row r="359" ht="14.25" customHeight="1">
      <c r="L359" s="138"/>
    </row>
    <row r="360" ht="14.25" customHeight="1">
      <c r="L360" s="138"/>
    </row>
    <row r="361" ht="14.25" customHeight="1">
      <c r="L361" s="138"/>
    </row>
    <row r="362" ht="14.25" customHeight="1">
      <c r="L362" s="138"/>
    </row>
    <row r="363" ht="14.25" customHeight="1">
      <c r="L363" s="138"/>
    </row>
    <row r="364" ht="14.25" customHeight="1">
      <c r="L364" s="138"/>
    </row>
    <row r="365" ht="14.25" customHeight="1">
      <c r="L365" s="138"/>
    </row>
    <row r="366" ht="14.25" customHeight="1">
      <c r="L366" s="138"/>
    </row>
    <row r="367" ht="14.25" customHeight="1">
      <c r="L367" s="138"/>
    </row>
    <row r="368" ht="14.25" customHeight="1">
      <c r="L368" s="138"/>
    </row>
    <row r="369" ht="14.25" customHeight="1">
      <c r="L369" s="138"/>
    </row>
    <row r="370" ht="14.25" customHeight="1">
      <c r="L370" s="138"/>
    </row>
    <row r="371" ht="14.25" customHeight="1">
      <c r="L371" s="138"/>
    </row>
    <row r="372" ht="14.25" customHeight="1">
      <c r="L372" s="138"/>
    </row>
    <row r="373" ht="14.25" customHeight="1">
      <c r="L373" s="138"/>
    </row>
    <row r="374" ht="14.25" customHeight="1">
      <c r="L374" s="138"/>
    </row>
    <row r="375" ht="14.25" customHeight="1">
      <c r="L375" s="138"/>
    </row>
    <row r="376" ht="14.25" customHeight="1">
      <c r="L376" s="138"/>
    </row>
    <row r="377" ht="14.25" customHeight="1">
      <c r="L377" s="138"/>
    </row>
    <row r="378" ht="14.25" customHeight="1">
      <c r="L378" s="138"/>
    </row>
    <row r="379" ht="14.25" customHeight="1">
      <c r="L379" s="138"/>
    </row>
    <row r="380" ht="14.25" customHeight="1">
      <c r="L380" s="138"/>
    </row>
    <row r="381" ht="14.25" customHeight="1">
      <c r="L381" s="138"/>
    </row>
    <row r="382" ht="14.25" customHeight="1">
      <c r="L382" s="138"/>
    </row>
    <row r="383" ht="14.25" customHeight="1">
      <c r="L383" s="138"/>
    </row>
    <row r="384" ht="14.25" customHeight="1">
      <c r="L384" s="138"/>
    </row>
    <row r="385" ht="14.25" customHeight="1">
      <c r="L385" s="138"/>
    </row>
    <row r="386" ht="14.25" customHeight="1">
      <c r="L386" s="138"/>
    </row>
    <row r="387" ht="14.25" customHeight="1">
      <c r="L387" s="138"/>
    </row>
    <row r="388" ht="14.25" customHeight="1">
      <c r="L388" s="138"/>
    </row>
    <row r="389" ht="14.25" customHeight="1">
      <c r="L389" s="138"/>
    </row>
    <row r="390" ht="14.25" customHeight="1">
      <c r="L390" s="138"/>
    </row>
    <row r="391" ht="14.25" customHeight="1">
      <c r="L391" s="138"/>
    </row>
    <row r="392" ht="14.25" customHeight="1">
      <c r="L392" s="138"/>
    </row>
    <row r="393" ht="14.25" customHeight="1">
      <c r="L393" s="138"/>
    </row>
    <row r="394" ht="14.25" customHeight="1">
      <c r="L394" s="138"/>
    </row>
    <row r="395" ht="14.25" customHeight="1">
      <c r="L395" s="138"/>
    </row>
    <row r="396" ht="14.25" customHeight="1">
      <c r="L396" s="138"/>
    </row>
    <row r="397" ht="14.25" customHeight="1">
      <c r="L397" s="138"/>
    </row>
    <row r="398" ht="14.25" customHeight="1">
      <c r="L398" s="138"/>
    </row>
    <row r="399" ht="14.25" customHeight="1">
      <c r="L399" s="138"/>
    </row>
    <row r="400" ht="14.25" customHeight="1">
      <c r="L400" s="138"/>
    </row>
    <row r="401" ht="14.25" customHeight="1">
      <c r="L401" s="138"/>
    </row>
    <row r="402" ht="14.25" customHeight="1">
      <c r="L402" s="138"/>
    </row>
    <row r="403" ht="14.25" customHeight="1">
      <c r="L403" s="138"/>
    </row>
    <row r="404" ht="14.25" customHeight="1">
      <c r="L404" s="138"/>
    </row>
    <row r="405" ht="14.25" customHeight="1">
      <c r="L405" s="138"/>
    </row>
    <row r="406" ht="14.25" customHeight="1">
      <c r="L406" s="138"/>
    </row>
    <row r="407" ht="14.25" customHeight="1">
      <c r="L407" s="138"/>
    </row>
    <row r="408" ht="14.25" customHeight="1">
      <c r="L408" s="138"/>
    </row>
    <row r="409" ht="14.25" customHeight="1">
      <c r="L409" s="138"/>
    </row>
    <row r="410" ht="14.25" customHeight="1">
      <c r="L410" s="138"/>
    </row>
    <row r="411" ht="14.25" customHeight="1">
      <c r="L411" s="138"/>
    </row>
    <row r="412" ht="14.25" customHeight="1">
      <c r="L412" s="138"/>
    </row>
    <row r="413" ht="14.25" customHeight="1">
      <c r="L413" s="138"/>
    </row>
    <row r="414" ht="14.25" customHeight="1">
      <c r="L414" s="138"/>
    </row>
    <row r="415" ht="14.25" customHeight="1">
      <c r="L415" s="138"/>
    </row>
    <row r="416" ht="14.25" customHeight="1">
      <c r="L416" s="138"/>
    </row>
    <row r="417" ht="14.25" customHeight="1">
      <c r="L417" s="138"/>
    </row>
    <row r="418" ht="14.25" customHeight="1">
      <c r="L418" s="138"/>
    </row>
    <row r="419" ht="14.25" customHeight="1">
      <c r="L419" s="138"/>
    </row>
    <row r="420" ht="14.25" customHeight="1">
      <c r="L420" s="138"/>
    </row>
    <row r="421" ht="14.25" customHeight="1">
      <c r="L421" s="138"/>
    </row>
    <row r="422" ht="14.25" customHeight="1">
      <c r="L422" s="138"/>
    </row>
    <row r="423" ht="14.25" customHeight="1">
      <c r="L423" s="138"/>
    </row>
    <row r="424" ht="14.25" customHeight="1">
      <c r="L424" s="138"/>
    </row>
    <row r="425" ht="14.25" customHeight="1">
      <c r="L425" s="138"/>
    </row>
    <row r="426" ht="14.25" customHeight="1">
      <c r="L426" s="138"/>
    </row>
    <row r="427" ht="14.25" customHeight="1">
      <c r="L427" s="138"/>
    </row>
    <row r="428" ht="14.25" customHeight="1">
      <c r="L428" s="138"/>
    </row>
    <row r="429" ht="14.25" customHeight="1">
      <c r="L429" s="138"/>
    </row>
    <row r="430" ht="14.25" customHeight="1">
      <c r="L430" s="138"/>
    </row>
    <row r="431" ht="14.25" customHeight="1">
      <c r="L431" s="138"/>
    </row>
    <row r="432" ht="14.25" customHeight="1">
      <c r="L432" s="138"/>
    </row>
    <row r="433" ht="14.25" customHeight="1">
      <c r="L433" s="138"/>
    </row>
    <row r="434" ht="14.25" customHeight="1">
      <c r="L434" s="138"/>
    </row>
    <row r="435" ht="14.25" customHeight="1">
      <c r="L435" s="138"/>
    </row>
    <row r="436" ht="14.25" customHeight="1">
      <c r="L436" s="138"/>
    </row>
    <row r="437" ht="14.25" customHeight="1">
      <c r="L437" s="138"/>
    </row>
    <row r="438" ht="14.25" customHeight="1">
      <c r="L438" s="138"/>
    </row>
    <row r="439" ht="14.25" customHeight="1">
      <c r="L439" s="138"/>
    </row>
    <row r="440" ht="14.25" customHeight="1">
      <c r="L440" s="138"/>
    </row>
    <row r="441" ht="14.25" customHeight="1">
      <c r="L441" s="138"/>
    </row>
    <row r="442" ht="14.25" customHeight="1">
      <c r="L442" s="138"/>
    </row>
    <row r="443" ht="14.25" customHeight="1">
      <c r="L443" s="138"/>
    </row>
    <row r="444" ht="14.25" customHeight="1">
      <c r="L444" s="138"/>
    </row>
    <row r="445" ht="14.25" customHeight="1">
      <c r="L445" s="138"/>
    </row>
    <row r="446" ht="14.25" customHeight="1">
      <c r="L446" s="138"/>
    </row>
    <row r="447" ht="14.25" customHeight="1">
      <c r="L447" s="138"/>
    </row>
    <row r="448" ht="14.25" customHeight="1">
      <c r="L448" s="138"/>
    </row>
    <row r="449" ht="14.25" customHeight="1">
      <c r="L449" s="138"/>
    </row>
    <row r="450" ht="14.25" customHeight="1">
      <c r="L450" s="138"/>
    </row>
    <row r="451" ht="14.25" customHeight="1">
      <c r="L451" s="138"/>
    </row>
    <row r="452" ht="14.25" customHeight="1">
      <c r="L452" s="138"/>
    </row>
    <row r="453" ht="14.25" customHeight="1">
      <c r="L453" s="138"/>
    </row>
    <row r="454" ht="14.25" customHeight="1">
      <c r="L454" s="138"/>
    </row>
    <row r="455" ht="14.25" customHeight="1">
      <c r="L455" s="138"/>
    </row>
    <row r="456" ht="14.25" customHeight="1">
      <c r="L456" s="138"/>
    </row>
    <row r="457" ht="14.25" customHeight="1">
      <c r="L457" s="138"/>
    </row>
    <row r="458" ht="14.25" customHeight="1">
      <c r="L458" s="138"/>
    </row>
    <row r="459" ht="14.25" customHeight="1">
      <c r="L459" s="138"/>
    </row>
    <row r="460" ht="14.25" customHeight="1">
      <c r="L460" s="138"/>
    </row>
    <row r="461" ht="14.25" customHeight="1">
      <c r="L461" s="138"/>
    </row>
    <row r="462" ht="14.25" customHeight="1">
      <c r="L462" s="138"/>
    </row>
    <row r="463" ht="14.25" customHeight="1">
      <c r="L463" s="138"/>
    </row>
    <row r="464" ht="14.25" customHeight="1">
      <c r="L464" s="138"/>
    </row>
    <row r="465" ht="14.25" customHeight="1">
      <c r="L465" s="138"/>
    </row>
    <row r="466" ht="14.25" customHeight="1">
      <c r="L466" s="138"/>
    </row>
    <row r="467" ht="14.25" customHeight="1">
      <c r="L467" s="138"/>
    </row>
    <row r="468" ht="14.25" customHeight="1">
      <c r="L468" s="138"/>
    </row>
    <row r="469" ht="14.25" customHeight="1">
      <c r="L469" s="138"/>
    </row>
    <row r="470" ht="14.25" customHeight="1">
      <c r="L470" s="138"/>
    </row>
    <row r="471" ht="14.25" customHeight="1">
      <c r="L471" s="138"/>
    </row>
    <row r="472" ht="14.25" customHeight="1">
      <c r="L472" s="138"/>
    </row>
    <row r="473" ht="14.25" customHeight="1">
      <c r="L473" s="138"/>
    </row>
    <row r="474" ht="14.25" customHeight="1">
      <c r="L474" s="138"/>
    </row>
    <row r="475" ht="14.25" customHeight="1">
      <c r="L475" s="138"/>
    </row>
    <row r="476" ht="14.25" customHeight="1">
      <c r="L476" s="138"/>
    </row>
    <row r="477" ht="14.25" customHeight="1">
      <c r="L477" s="138"/>
    </row>
    <row r="478" ht="14.25" customHeight="1">
      <c r="L478" s="138"/>
    </row>
    <row r="479" ht="14.25" customHeight="1">
      <c r="L479" s="138"/>
    </row>
    <row r="480" ht="14.25" customHeight="1">
      <c r="L480" s="138"/>
    </row>
    <row r="481" ht="14.25" customHeight="1">
      <c r="L481" s="138"/>
    </row>
    <row r="482" ht="14.25" customHeight="1">
      <c r="L482" s="138"/>
    </row>
    <row r="483" ht="14.25" customHeight="1">
      <c r="L483" s="138"/>
    </row>
    <row r="484" ht="14.25" customHeight="1">
      <c r="L484" s="138"/>
    </row>
    <row r="485" ht="14.25" customHeight="1">
      <c r="L485" s="138"/>
    </row>
    <row r="486" ht="14.25" customHeight="1">
      <c r="L486" s="138"/>
    </row>
    <row r="487" ht="14.25" customHeight="1">
      <c r="L487" s="138"/>
    </row>
    <row r="488" ht="14.25" customHeight="1">
      <c r="L488" s="138"/>
    </row>
    <row r="489" ht="14.25" customHeight="1">
      <c r="L489" s="138"/>
    </row>
    <row r="490" ht="14.25" customHeight="1">
      <c r="L490" s="138"/>
    </row>
    <row r="491" ht="14.25" customHeight="1">
      <c r="L491" s="138"/>
    </row>
    <row r="492" ht="14.25" customHeight="1">
      <c r="L492" s="138"/>
    </row>
    <row r="493" ht="14.25" customHeight="1">
      <c r="L493" s="138"/>
    </row>
    <row r="494" ht="14.25" customHeight="1">
      <c r="L494" s="138"/>
    </row>
    <row r="495" ht="14.25" customHeight="1">
      <c r="L495" s="138"/>
    </row>
    <row r="496" ht="14.25" customHeight="1">
      <c r="L496" s="138"/>
    </row>
    <row r="497" ht="14.25" customHeight="1">
      <c r="L497" s="138"/>
    </row>
    <row r="498" ht="14.25" customHeight="1">
      <c r="L498" s="138"/>
    </row>
    <row r="499" ht="14.25" customHeight="1">
      <c r="L499" s="138"/>
    </row>
    <row r="500" ht="14.25" customHeight="1">
      <c r="L500" s="138"/>
    </row>
    <row r="501" ht="14.25" customHeight="1">
      <c r="L501" s="138"/>
    </row>
    <row r="502" ht="14.25" customHeight="1">
      <c r="L502" s="138"/>
    </row>
    <row r="503" ht="14.25" customHeight="1">
      <c r="L503" s="138"/>
    </row>
    <row r="504" ht="14.25" customHeight="1">
      <c r="L504" s="138"/>
    </row>
    <row r="505" ht="14.25" customHeight="1">
      <c r="L505" s="138"/>
    </row>
    <row r="506" ht="14.25" customHeight="1">
      <c r="L506" s="138"/>
    </row>
    <row r="507" ht="14.25" customHeight="1">
      <c r="L507" s="138"/>
    </row>
    <row r="508" ht="14.25" customHeight="1">
      <c r="L508" s="138"/>
    </row>
    <row r="509" ht="14.25" customHeight="1">
      <c r="L509" s="138"/>
    </row>
    <row r="510" ht="14.25" customHeight="1">
      <c r="L510" s="138"/>
    </row>
    <row r="511" ht="14.25" customHeight="1">
      <c r="L511" s="138"/>
    </row>
    <row r="512" ht="14.25" customHeight="1">
      <c r="L512" s="138"/>
    </row>
    <row r="513" ht="14.25" customHeight="1">
      <c r="L513" s="138"/>
    </row>
    <row r="514" ht="14.25" customHeight="1">
      <c r="L514" s="138"/>
    </row>
    <row r="515" ht="14.25" customHeight="1">
      <c r="L515" s="138"/>
    </row>
    <row r="516" ht="14.25" customHeight="1">
      <c r="L516" s="138"/>
    </row>
    <row r="517" ht="14.25" customHeight="1">
      <c r="L517" s="138"/>
    </row>
    <row r="518" ht="14.25" customHeight="1">
      <c r="L518" s="138"/>
    </row>
    <row r="519" ht="14.25" customHeight="1">
      <c r="L519" s="138"/>
    </row>
    <row r="520" ht="14.25" customHeight="1">
      <c r="L520" s="138"/>
    </row>
    <row r="521" ht="14.25" customHeight="1">
      <c r="L521" s="138"/>
    </row>
    <row r="522" ht="14.25" customHeight="1">
      <c r="L522" s="138"/>
    </row>
    <row r="523" ht="14.25" customHeight="1">
      <c r="L523" s="138"/>
    </row>
    <row r="524" ht="14.25" customHeight="1">
      <c r="L524" s="138"/>
    </row>
    <row r="525" ht="14.25" customHeight="1">
      <c r="L525" s="138"/>
    </row>
    <row r="526" ht="14.25" customHeight="1">
      <c r="L526" s="138"/>
    </row>
    <row r="527" ht="14.25" customHeight="1">
      <c r="L527" s="138"/>
    </row>
    <row r="528" ht="14.25" customHeight="1">
      <c r="L528" s="138"/>
    </row>
    <row r="529" ht="14.25" customHeight="1">
      <c r="L529" s="138"/>
    </row>
    <row r="530" ht="14.25" customHeight="1">
      <c r="L530" s="138"/>
    </row>
    <row r="531" ht="14.25" customHeight="1">
      <c r="L531" s="138"/>
    </row>
    <row r="532" ht="14.25" customHeight="1">
      <c r="L532" s="138"/>
    </row>
    <row r="533" ht="14.25" customHeight="1">
      <c r="L533" s="138"/>
    </row>
    <row r="534" ht="14.25" customHeight="1">
      <c r="L534" s="138"/>
    </row>
    <row r="535" ht="14.25" customHeight="1">
      <c r="L535" s="138"/>
    </row>
    <row r="536" ht="14.25" customHeight="1">
      <c r="L536" s="138"/>
    </row>
    <row r="537" ht="14.25" customHeight="1">
      <c r="L537" s="138"/>
    </row>
    <row r="538" ht="14.25" customHeight="1">
      <c r="L538" s="138"/>
    </row>
    <row r="539" ht="14.25" customHeight="1">
      <c r="L539" s="138"/>
    </row>
    <row r="540" ht="14.25" customHeight="1">
      <c r="L540" s="138"/>
    </row>
    <row r="541" ht="14.25" customHeight="1">
      <c r="L541" s="138"/>
    </row>
    <row r="542" ht="14.25" customHeight="1">
      <c r="L542" s="138"/>
    </row>
    <row r="543" ht="14.25" customHeight="1">
      <c r="L543" s="138"/>
    </row>
    <row r="544" ht="14.25" customHeight="1">
      <c r="L544" s="138"/>
    </row>
    <row r="545" ht="14.25" customHeight="1">
      <c r="L545" s="138"/>
    </row>
    <row r="546" ht="14.25" customHeight="1">
      <c r="L546" s="138"/>
    </row>
    <row r="547" ht="14.25" customHeight="1">
      <c r="L547" s="138"/>
    </row>
    <row r="548" ht="14.25" customHeight="1">
      <c r="L548" s="138"/>
    </row>
    <row r="549" ht="14.25" customHeight="1">
      <c r="L549" s="138"/>
    </row>
    <row r="550" ht="14.25" customHeight="1">
      <c r="L550" s="138"/>
    </row>
    <row r="551" ht="14.25" customHeight="1">
      <c r="L551" s="138"/>
    </row>
    <row r="552" ht="14.25" customHeight="1">
      <c r="L552" s="138"/>
    </row>
    <row r="553" ht="14.25" customHeight="1">
      <c r="L553" s="138"/>
    </row>
    <row r="554" ht="14.25" customHeight="1">
      <c r="L554" s="138"/>
    </row>
    <row r="555" ht="14.25" customHeight="1">
      <c r="L555" s="138"/>
    </row>
    <row r="556" ht="14.25" customHeight="1">
      <c r="L556" s="138"/>
    </row>
    <row r="557" ht="14.25" customHeight="1">
      <c r="L557" s="138"/>
    </row>
    <row r="558" ht="14.25" customHeight="1">
      <c r="L558" s="138"/>
    </row>
    <row r="559" ht="14.25" customHeight="1">
      <c r="L559" s="138"/>
    </row>
    <row r="560" ht="14.25" customHeight="1">
      <c r="L560" s="138"/>
    </row>
    <row r="561" ht="14.25" customHeight="1">
      <c r="L561" s="138"/>
    </row>
    <row r="562" ht="14.25" customHeight="1">
      <c r="L562" s="138"/>
    </row>
    <row r="563" ht="14.25" customHeight="1">
      <c r="L563" s="138"/>
    </row>
    <row r="564" ht="14.25" customHeight="1">
      <c r="L564" s="138"/>
    </row>
    <row r="565" ht="14.25" customHeight="1">
      <c r="L565" s="138"/>
    </row>
    <row r="566" ht="14.25" customHeight="1">
      <c r="L566" s="138"/>
    </row>
    <row r="567" ht="14.25" customHeight="1">
      <c r="L567" s="138"/>
    </row>
    <row r="568" ht="14.25" customHeight="1">
      <c r="L568" s="138"/>
    </row>
    <row r="569" ht="14.25" customHeight="1">
      <c r="L569" s="138"/>
    </row>
    <row r="570" ht="14.25" customHeight="1">
      <c r="L570" s="138"/>
    </row>
    <row r="571" ht="14.25" customHeight="1">
      <c r="L571" s="138"/>
    </row>
    <row r="572" ht="14.25" customHeight="1">
      <c r="L572" s="138"/>
    </row>
    <row r="573" ht="14.25" customHeight="1">
      <c r="L573" s="138"/>
    </row>
    <row r="574" ht="14.25" customHeight="1">
      <c r="L574" s="138"/>
    </row>
    <row r="575" ht="14.25" customHeight="1">
      <c r="L575" s="138"/>
    </row>
    <row r="576" ht="14.25" customHeight="1">
      <c r="L576" s="138"/>
    </row>
    <row r="577" ht="14.25" customHeight="1">
      <c r="L577" s="138"/>
    </row>
    <row r="578" ht="14.25" customHeight="1">
      <c r="L578" s="138"/>
    </row>
    <row r="579" ht="14.25" customHeight="1">
      <c r="L579" s="138"/>
    </row>
    <row r="580" ht="14.25" customHeight="1">
      <c r="L580" s="138"/>
    </row>
    <row r="581" ht="14.25" customHeight="1">
      <c r="L581" s="138"/>
    </row>
    <row r="582" ht="14.25" customHeight="1">
      <c r="L582" s="138"/>
    </row>
    <row r="583" ht="14.25" customHeight="1">
      <c r="L583" s="138"/>
    </row>
    <row r="584" ht="14.25" customHeight="1">
      <c r="L584" s="138"/>
    </row>
    <row r="585" ht="14.25" customHeight="1">
      <c r="L585" s="138"/>
    </row>
    <row r="586" ht="14.25" customHeight="1">
      <c r="L586" s="138"/>
    </row>
    <row r="587" ht="14.25" customHeight="1">
      <c r="L587" s="138"/>
    </row>
    <row r="588" ht="14.25" customHeight="1">
      <c r="L588" s="138"/>
    </row>
    <row r="589" ht="14.25" customHeight="1">
      <c r="L589" s="138"/>
    </row>
    <row r="590" ht="14.25" customHeight="1">
      <c r="L590" s="138"/>
    </row>
    <row r="591" ht="14.25" customHeight="1">
      <c r="L591" s="138"/>
    </row>
    <row r="592" ht="14.25" customHeight="1">
      <c r="L592" s="138"/>
    </row>
    <row r="593" ht="14.25" customHeight="1">
      <c r="L593" s="138"/>
    </row>
    <row r="594" ht="14.25" customHeight="1">
      <c r="L594" s="138"/>
    </row>
    <row r="595" ht="14.25" customHeight="1">
      <c r="L595" s="138"/>
    </row>
    <row r="596" ht="14.25" customHeight="1">
      <c r="L596" s="138"/>
    </row>
    <row r="597" ht="14.25" customHeight="1">
      <c r="L597" s="138"/>
    </row>
    <row r="598" ht="14.25" customHeight="1">
      <c r="L598" s="138"/>
    </row>
    <row r="599" ht="14.25" customHeight="1">
      <c r="L599" s="138"/>
    </row>
    <row r="600" ht="14.25" customHeight="1">
      <c r="L600" s="138"/>
    </row>
    <row r="601" ht="14.25" customHeight="1">
      <c r="L601" s="138"/>
    </row>
    <row r="602" ht="14.25" customHeight="1">
      <c r="L602" s="138"/>
    </row>
    <row r="603" ht="14.25" customHeight="1">
      <c r="L603" s="138"/>
    </row>
    <row r="604" ht="14.25" customHeight="1">
      <c r="L604" s="138"/>
    </row>
    <row r="605" ht="14.25" customHeight="1">
      <c r="L605" s="138"/>
    </row>
    <row r="606" ht="14.25" customHeight="1">
      <c r="L606" s="138"/>
    </row>
    <row r="607" ht="14.25" customHeight="1">
      <c r="L607" s="138"/>
    </row>
    <row r="608" ht="14.25" customHeight="1">
      <c r="L608" s="138"/>
    </row>
    <row r="609" ht="14.25" customHeight="1">
      <c r="L609" s="138"/>
    </row>
    <row r="610" ht="14.25" customHeight="1">
      <c r="L610" s="138"/>
    </row>
    <row r="611" ht="14.25" customHeight="1">
      <c r="L611" s="138"/>
    </row>
    <row r="612" ht="14.25" customHeight="1">
      <c r="L612" s="138"/>
    </row>
    <row r="613" ht="14.25" customHeight="1">
      <c r="L613" s="138"/>
    </row>
    <row r="614" ht="14.25" customHeight="1">
      <c r="L614" s="138"/>
    </row>
    <row r="615" ht="14.25" customHeight="1">
      <c r="L615" s="138"/>
    </row>
    <row r="616" ht="14.25" customHeight="1">
      <c r="L616" s="138"/>
    </row>
    <row r="617" ht="14.25" customHeight="1">
      <c r="L617" s="138"/>
    </row>
    <row r="618" ht="14.25" customHeight="1">
      <c r="L618" s="138"/>
    </row>
    <row r="619" ht="14.25" customHeight="1">
      <c r="L619" s="138"/>
    </row>
    <row r="620" ht="14.25" customHeight="1">
      <c r="L620" s="138"/>
    </row>
    <row r="621" ht="14.25" customHeight="1">
      <c r="L621" s="138"/>
    </row>
    <row r="622" ht="14.25" customHeight="1">
      <c r="L622" s="138"/>
    </row>
    <row r="623" ht="14.25" customHeight="1">
      <c r="L623" s="138"/>
    </row>
    <row r="624" ht="14.25" customHeight="1">
      <c r="L624" s="138"/>
    </row>
    <row r="625" ht="14.25" customHeight="1">
      <c r="L625" s="138"/>
    </row>
    <row r="626" ht="14.25" customHeight="1">
      <c r="L626" s="138"/>
    </row>
    <row r="627" ht="14.25" customHeight="1">
      <c r="L627" s="138"/>
    </row>
    <row r="628" ht="14.25" customHeight="1">
      <c r="L628" s="138"/>
    </row>
    <row r="629" ht="14.25" customHeight="1">
      <c r="L629" s="138"/>
    </row>
    <row r="630" ht="14.25" customHeight="1">
      <c r="L630" s="138"/>
    </row>
    <row r="631" ht="14.25" customHeight="1">
      <c r="L631" s="138"/>
    </row>
    <row r="632" ht="14.25" customHeight="1">
      <c r="L632" s="138"/>
    </row>
    <row r="633" ht="14.25" customHeight="1">
      <c r="L633" s="138"/>
    </row>
    <row r="634" ht="14.25" customHeight="1">
      <c r="L634" s="138"/>
    </row>
    <row r="635" ht="14.25" customHeight="1">
      <c r="L635" s="138"/>
    </row>
    <row r="636" ht="14.25" customHeight="1">
      <c r="L636" s="138"/>
    </row>
    <row r="637" ht="14.25" customHeight="1">
      <c r="L637" s="138"/>
    </row>
    <row r="638" ht="14.25" customHeight="1">
      <c r="L638" s="138"/>
    </row>
    <row r="639" ht="14.25" customHeight="1">
      <c r="L639" s="138"/>
    </row>
    <row r="640" ht="14.25" customHeight="1">
      <c r="L640" s="138"/>
    </row>
    <row r="641" ht="14.25" customHeight="1">
      <c r="L641" s="138"/>
    </row>
    <row r="642" ht="14.25" customHeight="1">
      <c r="L642" s="138"/>
    </row>
    <row r="643" ht="14.25" customHeight="1">
      <c r="L643" s="138"/>
    </row>
    <row r="644" ht="14.25" customHeight="1">
      <c r="L644" s="138"/>
    </row>
    <row r="645" ht="14.25" customHeight="1">
      <c r="L645" s="138"/>
    </row>
    <row r="646" ht="14.25" customHeight="1">
      <c r="L646" s="138"/>
    </row>
    <row r="647" ht="14.25" customHeight="1">
      <c r="L647" s="138"/>
    </row>
    <row r="648" ht="14.25" customHeight="1">
      <c r="L648" s="138"/>
    </row>
    <row r="649" ht="14.25" customHeight="1">
      <c r="L649" s="138"/>
    </row>
    <row r="650" ht="14.25" customHeight="1">
      <c r="L650" s="138"/>
    </row>
    <row r="651" ht="14.25" customHeight="1">
      <c r="L651" s="138"/>
    </row>
    <row r="652" ht="14.25" customHeight="1">
      <c r="L652" s="138"/>
    </row>
    <row r="653" ht="14.25" customHeight="1">
      <c r="L653" s="138"/>
    </row>
    <row r="654" ht="14.25" customHeight="1">
      <c r="L654" s="138"/>
    </row>
    <row r="655" ht="14.25" customHeight="1">
      <c r="L655" s="138"/>
    </row>
    <row r="656" ht="14.25" customHeight="1">
      <c r="L656" s="138"/>
    </row>
    <row r="657" ht="14.25" customHeight="1">
      <c r="L657" s="138"/>
    </row>
    <row r="658" ht="14.25" customHeight="1">
      <c r="L658" s="138"/>
    </row>
    <row r="659" ht="14.25" customHeight="1">
      <c r="L659" s="138"/>
    </row>
    <row r="660" ht="14.25" customHeight="1">
      <c r="L660" s="138"/>
    </row>
    <row r="661" ht="14.25" customHeight="1">
      <c r="L661" s="138"/>
    </row>
    <row r="662" ht="14.25" customHeight="1">
      <c r="L662" s="138"/>
    </row>
    <row r="663" ht="14.25" customHeight="1">
      <c r="L663" s="138"/>
    </row>
    <row r="664" ht="14.25" customHeight="1">
      <c r="L664" s="138"/>
    </row>
    <row r="665" ht="14.25" customHeight="1">
      <c r="L665" s="138"/>
    </row>
    <row r="666" ht="14.25" customHeight="1">
      <c r="L666" s="138"/>
    </row>
    <row r="667" ht="14.25" customHeight="1">
      <c r="L667" s="138"/>
    </row>
    <row r="668" ht="14.25" customHeight="1">
      <c r="L668" s="138"/>
    </row>
    <row r="669" ht="14.25" customHeight="1">
      <c r="L669" s="138"/>
    </row>
    <row r="670" ht="14.25" customHeight="1">
      <c r="L670" s="138"/>
    </row>
    <row r="671" ht="14.25" customHeight="1">
      <c r="L671" s="138"/>
    </row>
    <row r="672" ht="14.25" customHeight="1">
      <c r="L672" s="138"/>
    </row>
    <row r="673" ht="14.25" customHeight="1">
      <c r="L673" s="138"/>
    </row>
    <row r="674" ht="14.25" customHeight="1">
      <c r="L674" s="138"/>
    </row>
    <row r="675" ht="14.25" customHeight="1">
      <c r="L675" s="138"/>
    </row>
    <row r="676" ht="14.25" customHeight="1">
      <c r="L676" s="138"/>
    </row>
    <row r="677" ht="14.25" customHeight="1">
      <c r="L677" s="138"/>
    </row>
    <row r="678" ht="14.25" customHeight="1">
      <c r="L678" s="138"/>
    </row>
    <row r="679" ht="14.25" customHeight="1">
      <c r="L679" s="138"/>
    </row>
    <row r="680" ht="14.25" customHeight="1">
      <c r="L680" s="138"/>
    </row>
    <row r="681" ht="14.25" customHeight="1">
      <c r="L681" s="138"/>
    </row>
    <row r="682" ht="14.25" customHeight="1">
      <c r="L682" s="138"/>
    </row>
    <row r="683" ht="14.25" customHeight="1">
      <c r="L683" s="138"/>
    </row>
    <row r="684" ht="14.25" customHeight="1">
      <c r="L684" s="138"/>
    </row>
    <row r="685" ht="14.25" customHeight="1">
      <c r="L685" s="138"/>
    </row>
    <row r="686" ht="14.25" customHeight="1">
      <c r="L686" s="138"/>
    </row>
    <row r="687" ht="14.25" customHeight="1">
      <c r="L687" s="138"/>
    </row>
    <row r="688" ht="14.25" customHeight="1">
      <c r="L688" s="138"/>
    </row>
    <row r="689" ht="14.25" customHeight="1">
      <c r="L689" s="138"/>
    </row>
    <row r="690" ht="14.25" customHeight="1">
      <c r="L690" s="138"/>
    </row>
    <row r="691" ht="14.25" customHeight="1">
      <c r="L691" s="138"/>
    </row>
    <row r="692" ht="14.25" customHeight="1">
      <c r="L692" s="138"/>
    </row>
    <row r="693" ht="14.25" customHeight="1">
      <c r="L693" s="138"/>
    </row>
    <row r="694" ht="14.25" customHeight="1">
      <c r="L694" s="138"/>
    </row>
    <row r="695" ht="14.25" customHeight="1">
      <c r="L695" s="138"/>
    </row>
    <row r="696" ht="14.25" customHeight="1">
      <c r="L696" s="138"/>
    </row>
    <row r="697" ht="14.25" customHeight="1">
      <c r="L697" s="138"/>
    </row>
    <row r="698" ht="14.25" customHeight="1">
      <c r="L698" s="138"/>
    </row>
    <row r="699" ht="14.25" customHeight="1">
      <c r="L699" s="138"/>
    </row>
    <row r="700" ht="14.25" customHeight="1">
      <c r="L700" s="138"/>
    </row>
    <row r="701" ht="14.25" customHeight="1">
      <c r="L701" s="138"/>
    </row>
    <row r="702" ht="14.25" customHeight="1">
      <c r="L702" s="138"/>
    </row>
    <row r="703" ht="14.25" customHeight="1">
      <c r="L703" s="138"/>
    </row>
    <row r="704" ht="14.25" customHeight="1">
      <c r="L704" s="138"/>
    </row>
    <row r="705" ht="14.25" customHeight="1">
      <c r="L705" s="138"/>
    </row>
    <row r="706" ht="14.25" customHeight="1">
      <c r="L706" s="138"/>
    </row>
    <row r="707" ht="14.25" customHeight="1">
      <c r="L707" s="138"/>
    </row>
    <row r="708" ht="14.25" customHeight="1">
      <c r="L708" s="138"/>
    </row>
    <row r="709" ht="14.25" customHeight="1">
      <c r="L709" s="138"/>
    </row>
    <row r="710" ht="14.25" customHeight="1">
      <c r="L710" s="138"/>
    </row>
    <row r="711" ht="14.25" customHeight="1">
      <c r="L711" s="138"/>
    </row>
    <row r="712" ht="14.25" customHeight="1">
      <c r="L712" s="138"/>
    </row>
    <row r="713" ht="14.25" customHeight="1">
      <c r="L713" s="138"/>
    </row>
    <row r="714" ht="14.25" customHeight="1">
      <c r="L714" s="138"/>
    </row>
    <row r="715" ht="14.25" customHeight="1">
      <c r="L715" s="138"/>
    </row>
    <row r="716" ht="14.25" customHeight="1">
      <c r="L716" s="138"/>
    </row>
    <row r="717" ht="14.25" customHeight="1">
      <c r="L717" s="138"/>
    </row>
    <row r="718" ht="14.25" customHeight="1">
      <c r="L718" s="138"/>
    </row>
    <row r="719" ht="14.25" customHeight="1">
      <c r="L719" s="138"/>
    </row>
    <row r="720" ht="14.25" customHeight="1">
      <c r="L720" s="138"/>
    </row>
    <row r="721" ht="14.25" customHeight="1">
      <c r="L721" s="138"/>
    </row>
    <row r="722" ht="14.25" customHeight="1">
      <c r="L722" s="138"/>
    </row>
    <row r="723" ht="14.25" customHeight="1">
      <c r="L723" s="138"/>
    </row>
    <row r="724" ht="14.25" customHeight="1">
      <c r="L724" s="138"/>
    </row>
    <row r="725" ht="14.25" customHeight="1">
      <c r="L725" s="138"/>
    </row>
    <row r="726" ht="14.25" customHeight="1">
      <c r="L726" s="138"/>
    </row>
    <row r="727" ht="14.25" customHeight="1">
      <c r="L727" s="138"/>
    </row>
    <row r="728" ht="14.25" customHeight="1">
      <c r="L728" s="138"/>
    </row>
    <row r="729" ht="14.25" customHeight="1">
      <c r="L729" s="138"/>
    </row>
    <row r="730" ht="14.25" customHeight="1">
      <c r="L730" s="138"/>
    </row>
    <row r="731" ht="14.25" customHeight="1">
      <c r="L731" s="138"/>
    </row>
    <row r="732" ht="14.25" customHeight="1">
      <c r="L732" s="138"/>
    </row>
    <row r="733" ht="14.25" customHeight="1">
      <c r="L733" s="138"/>
    </row>
    <row r="734" ht="14.25" customHeight="1">
      <c r="L734" s="138"/>
    </row>
    <row r="735" ht="14.25" customHeight="1">
      <c r="L735" s="138"/>
    </row>
    <row r="736" ht="14.25" customHeight="1">
      <c r="L736" s="138"/>
    </row>
    <row r="737" ht="14.25" customHeight="1">
      <c r="L737" s="138"/>
    </row>
    <row r="738" ht="14.25" customHeight="1">
      <c r="L738" s="138"/>
    </row>
    <row r="739" ht="14.25" customHeight="1">
      <c r="L739" s="138"/>
    </row>
    <row r="740" ht="14.25" customHeight="1">
      <c r="L740" s="138"/>
    </row>
    <row r="741" ht="14.25" customHeight="1">
      <c r="L741" s="138"/>
    </row>
    <row r="742" ht="14.25" customHeight="1">
      <c r="L742" s="138"/>
    </row>
    <row r="743" ht="14.25" customHeight="1">
      <c r="L743" s="138"/>
    </row>
    <row r="744" ht="14.25" customHeight="1">
      <c r="L744" s="138"/>
    </row>
    <row r="745" ht="14.25" customHeight="1">
      <c r="L745" s="138"/>
    </row>
    <row r="746" ht="14.25" customHeight="1">
      <c r="L746" s="138"/>
    </row>
    <row r="747" ht="14.25" customHeight="1">
      <c r="L747" s="138"/>
    </row>
    <row r="748" ht="14.25" customHeight="1">
      <c r="L748" s="138"/>
    </row>
    <row r="749" ht="14.25" customHeight="1">
      <c r="L749" s="138"/>
    </row>
    <row r="750" ht="14.25" customHeight="1">
      <c r="L750" s="138"/>
    </row>
    <row r="751" ht="14.25" customHeight="1">
      <c r="L751" s="138"/>
    </row>
    <row r="752" ht="14.25" customHeight="1">
      <c r="L752" s="138"/>
    </row>
    <row r="753" ht="14.25" customHeight="1">
      <c r="L753" s="138"/>
    </row>
    <row r="754" ht="14.25" customHeight="1">
      <c r="L754" s="138"/>
    </row>
    <row r="755" ht="14.25" customHeight="1">
      <c r="L755" s="138"/>
    </row>
    <row r="756" ht="14.25" customHeight="1">
      <c r="L756" s="138"/>
    </row>
    <row r="757" ht="14.25" customHeight="1">
      <c r="L757" s="138"/>
    </row>
    <row r="758" ht="14.25" customHeight="1">
      <c r="L758" s="138"/>
    </row>
    <row r="759" ht="14.25" customHeight="1">
      <c r="L759" s="138"/>
    </row>
    <row r="760" ht="14.25" customHeight="1">
      <c r="L760" s="138"/>
    </row>
    <row r="761" ht="14.25" customHeight="1">
      <c r="L761" s="138"/>
    </row>
    <row r="762" ht="14.25" customHeight="1">
      <c r="L762" s="138"/>
    </row>
    <row r="763" ht="14.25" customHeight="1">
      <c r="L763" s="138"/>
    </row>
    <row r="764" ht="14.25" customHeight="1">
      <c r="L764" s="138"/>
    </row>
    <row r="765" ht="14.25" customHeight="1">
      <c r="L765" s="138"/>
    </row>
    <row r="766" ht="14.25" customHeight="1">
      <c r="L766" s="138"/>
    </row>
    <row r="767" ht="14.25" customHeight="1">
      <c r="L767" s="138"/>
    </row>
    <row r="768" ht="14.25" customHeight="1">
      <c r="L768" s="138"/>
    </row>
    <row r="769" ht="14.25" customHeight="1">
      <c r="L769" s="138"/>
    </row>
    <row r="770" ht="14.25" customHeight="1">
      <c r="L770" s="138"/>
    </row>
    <row r="771" ht="14.25" customHeight="1">
      <c r="L771" s="138"/>
    </row>
    <row r="772" ht="14.25" customHeight="1">
      <c r="L772" s="138"/>
    </row>
    <row r="773" ht="14.25" customHeight="1">
      <c r="L773" s="138"/>
    </row>
    <row r="774" ht="14.25" customHeight="1">
      <c r="L774" s="138"/>
    </row>
    <row r="775" ht="14.25" customHeight="1">
      <c r="L775" s="138"/>
    </row>
    <row r="776" ht="14.25" customHeight="1">
      <c r="L776" s="138"/>
    </row>
    <row r="777" ht="14.25" customHeight="1">
      <c r="L777" s="138"/>
    </row>
    <row r="778" ht="14.25" customHeight="1">
      <c r="L778" s="138"/>
    </row>
    <row r="779" ht="14.25" customHeight="1">
      <c r="L779" s="138"/>
    </row>
    <row r="780" ht="14.25" customHeight="1">
      <c r="L780" s="138"/>
    </row>
    <row r="781" ht="14.25" customHeight="1">
      <c r="L781" s="138"/>
    </row>
    <row r="782" ht="14.25" customHeight="1">
      <c r="L782" s="138"/>
    </row>
    <row r="783" ht="14.25" customHeight="1">
      <c r="L783" s="138"/>
    </row>
    <row r="784" ht="14.25" customHeight="1">
      <c r="L784" s="138"/>
    </row>
    <row r="785" ht="14.25" customHeight="1">
      <c r="L785" s="138"/>
    </row>
    <row r="786" ht="14.25" customHeight="1">
      <c r="L786" s="138"/>
    </row>
    <row r="787" ht="14.25" customHeight="1">
      <c r="L787" s="138"/>
    </row>
    <row r="788" ht="14.25" customHeight="1">
      <c r="L788" s="138"/>
    </row>
    <row r="789" ht="14.25" customHeight="1">
      <c r="L789" s="138"/>
    </row>
    <row r="790" ht="14.25" customHeight="1">
      <c r="L790" s="138"/>
    </row>
    <row r="791" ht="14.25" customHeight="1">
      <c r="L791" s="138"/>
    </row>
    <row r="792" ht="14.25" customHeight="1">
      <c r="L792" s="138"/>
    </row>
    <row r="793" ht="14.25" customHeight="1">
      <c r="L793" s="138"/>
    </row>
    <row r="794" ht="14.25" customHeight="1">
      <c r="L794" s="138"/>
    </row>
    <row r="795" ht="14.25" customHeight="1">
      <c r="L795" s="138"/>
    </row>
    <row r="796" ht="14.25" customHeight="1">
      <c r="L796" s="138"/>
    </row>
    <row r="797" ht="14.25" customHeight="1">
      <c r="L797" s="138"/>
    </row>
    <row r="798" ht="14.25" customHeight="1">
      <c r="L798" s="138"/>
    </row>
    <row r="799" ht="14.25" customHeight="1">
      <c r="L799" s="138"/>
    </row>
    <row r="800" ht="14.25" customHeight="1">
      <c r="L800" s="138"/>
    </row>
    <row r="801" ht="14.25" customHeight="1">
      <c r="L801" s="138"/>
    </row>
    <row r="802" ht="14.25" customHeight="1">
      <c r="L802" s="138"/>
    </row>
    <row r="803" ht="14.25" customHeight="1">
      <c r="L803" s="138"/>
    </row>
    <row r="804" ht="14.25" customHeight="1">
      <c r="L804" s="138"/>
    </row>
    <row r="805" ht="14.25" customHeight="1">
      <c r="L805" s="138"/>
    </row>
    <row r="806" ht="14.25" customHeight="1">
      <c r="L806" s="138"/>
    </row>
    <row r="807" ht="14.25" customHeight="1">
      <c r="L807" s="138"/>
    </row>
    <row r="808" ht="14.25" customHeight="1">
      <c r="L808" s="138"/>
    </row>
    <row r="809" ht="14.25" customHeight="1">
      <c r="L809" s="138"/>
    </row>
    <row r="810" ht="14.25" customHeight="1">
      <c r="L810" s="138"/>
    </row>
    <row r="811" ht="14.25" customHeight="1">
      <c r="L811" s="138"/>
    </row>
    <row r="812" ht="14.25" customHeight="1">
      <c r="L812" s="138"/>
    </row>
    <row r="813" ht="14.25" customHeight="1">
      <c r="L813" s="138"/>
    </row>
    <row r="814" ht="14.25" customHeight="1">
      <c r="L814" s="138"/>
    </row>
    <row r="815" ht="14.25" customHeight="1">
      <c r="L815" s="138"/>
    </row>
    <row r="816" ht="14.25" customHeight="1">
      <c r="L816" s="138"/>
    </row>
    <row r="817" ht="14.25" customHeight="1">
      <c r="L817" s="138"/>
    </row>
    <row r="818" ht="14.25" customHeight="1">
      <c r="L818" s="138"/>
    </row>
    <row r="819" ht="14.25" customHeight="1">
      <c r="L819" s="138"/>
    </row>
    <row r="820" ht="14.25" customHeight="1">
      <c r="L820" s="138"/>
    </row>
    <row r="821" ht="14.25" customHeight="1">
      <c r="L821" s="138"/>
    </row>
    <row r="822" ht="14.25" customHeight="1">
      <c r="L822" s="138"/>
    </row>
    <row r="823" ht="14.25" customHeight="1">
      <c r="L823" s="138"/>
    </row>
    <row r="824" ht="14.25" customHeight="1">
      <c r="L824" s="138"/>
    </row>
    <row r="825" ht="14.25" customHeight="1">
      <c r="L825" s="138"/>
    </row>
    <row r="826" ht="14.25" customHeight="1">
      <c r="L826" s="138"/>
    </row>
    <row r="827" ht="14.25" customHeight="1">
      <c r="L827" s="138"/>
    </row>
    <row r="828" ht="14.25" customHeight="1">
      <c r="L828" s="138"/>
    </row>
    <row r="829" ht="14.25" customHeight="1">
      <c r="L829" s="138"/>
    </row>
    <row r="830" ht="14.25" customHeight="1">
      <c r="L830" s="138"/>
    </row>
    <row r="831" ht="14.25" customHeight="1">
      <c r="L831" s="138"/>
    </row>
    <row r="832" ht="14.25" customHeight="1">
      <c r="L832" s="138"/>
    </row>
    <row r="833" ht="14.25" customHeight="1">
      <c r="L833" s="138"/>
    </row>
    <row r="834" ht="14.25" customHeight="1">
      <c r="L834" s="138"/>
    </row>
    <row r="835" ht="14.25" customHeight="1">
      <c r="L835" s="138"/>
    </row>
    <row r="836" ht="14.25" customHeight="1">
      <c r="L836" s="138"/>
    </row>
    <row r="837" ht="14.25" customHeight="1">
      <c r="L837" s="138"/>
    </row>
    <row r="838" ht="14.25" customHeight="1">
      <c r="L838" s="138"/>
    </row>
    <row r="839" ht="14.25" customHeight="1">
      <c r="L839" s="138"/>
    </row>
    <row r="840" ht="14.25" customHeight="1">
      <c r="L840" s="138"/>
    </row>
    <row r="841" ht="14.25" customHeight="1">
      <c r="L841" s="138"/>
    </row>
    <row r="842" ht="14.25" customHeight="1">
      <c r="L842" s="138"/>
    </row>
    <row r="843" ht="14.25" customHeight="1">
      <c r="L843" s="138"/>
    </row>
    <row r="844" ht="14.25" customHeight="1">
      <c r="L844" s="138"/>
    </row>
    <row r="845" ht="14.25" customHeight="1">
      <c r="L845" s="138"/>
    </row>
    <row r="846" ht="14.25" customHeight="1">
      <c r="L846" s="138"/>
    </row>
    <row r="847" ht="14.25" customHeight="1">
      <c r="L847" s="138"/>
    </row>
    <row r="848" ht="14.25" customHeight="1">
      <c r="L848" s="138"/>
    </row>
    <row r="849" ht="14.25" customHeight="1">
      <c r="L849" s="138"/>
    </row>
    <row r="850" ht="14.25" customHeight="1">
      <c r="L850" s="138"/>
    </row>
    <row r="851" ht="14.25" customHeight="1">
      <c r="L851" s="138"/>
    </row>
    <row r="852" ht="14.25" customHeight="1">
      <c r="L852" s="138"/>
    </row>
    <row r="853" ht="14.25" customHeight="1">
      <c r="L853" s="138"/>
    </row>
    <row r="854" ht="14.25" customHeight="1">
      <c r="L854" s="138"/>
    </row>
    <row r="855" ht="14.25" customHeight="1">
      <c r="L855" s="138"/>
    </row>
    <row r="856" ht="14.25" customHeight="1">
      <c r="L856" s="138"/>
    </row>
    <row r="857" ht="14.25" customHeight="1">
      <c r="L857" s="138"/>
    </row>
    <row r="858" ht="14.25" customHeight="1">
      <c r="L858" s="138"/>
    </row>
    <row r="859" ht="14.25" customHeight="1">
      <c r="L859" s="138"/>
    </row>
    <row r="860" ht="14.25" customHeight="1">
      <c r="L860" s="138"/>
    </row>
    <row r="861" ht="14.25" customHeight="1">
      <c r="L861" s="138"/>
    </row>
    <row r="862" ht="14.25" customHeight="1">
      <c r="L862" s="138"/>
    </row>
    <row r="863" ht="14.25" customHeight="1">
      <c r="L863" s="138"/>
    </row>
    <row r="864" ht="14.25" customHeight="1">
      <c r="L864" s="138"/>
    </row>
    <row r="865" ht="14.25" customHeight="1">
      <c r="L865" s="138"/>
    </row>
    <row r="866" ht="14.25" customHeight="1">
      <c r="L866" s="138"/>
    </row>
    <row r="867" ht="14.25" customHeight="1">
      <c r="L867" s="138"/>
    </row>
    <row r="868" ht="14.25" customHeight="1">
      <c r="L868" s="138"/>
    </row>
    <row r="869" ht="14.25" customHeight="1">
      <c r="L869" s="138"/>
    </row>
    <row r="870" ht="14.25" customHeight="1">
      <c r="L870" s="138"/>
    </row>
    <row r="871" ht="14.25" customHeight="1">
      <c r="L871" s="138"/>
    </row>
    <row r="872" ht="14.25" customHeight="1">
      <c r="L872" s="138"/>
    </row>
    <row r="873" ht="14.25" customHeight="1">
      <c r="L873" s="138"/>
    </row>
    <row r="874" ht="14.25" customHeight="1">
      <c r="L874" s="138"/>
    </row>
    <row r="875" ht="14.25" customHeight="1">
      <c r="L875" s="138"/>
    </row>
    <row r="876" ht="14.25" customHeight="1">
      <c r="L876" s="138"/>
    </row>
    <row r="877" ht="14.25" customHeight="1">
      <c r="L877" s="138"/>
    </row>
    <row r="878" ht="14.25" customHeight="1">
      <c r="L878" s="138"/>
    </row>
    <row r="879" ht="14.25" customHeight="1">
      <c r="L879" s="138"/>
    </row>
    <row r="880" ht="14.25" customHeight="1">
      <c r="L880" s="138"/>
    </row>
    <row r="881" ht="14.25" customHeight="1">
      <c r="L881" s="138"/>
    </row>
    <row r="882" ht="14.25" customHeight="1">
      <c r="L882" s="138"/>
    </row>
    <row r="883" ht="14.25" customHeight="1">
      <c r="L883" s="138"/>
    </row>
    <row r="884" ht="14.25" customHeight="1">
      <c r="L884" s="138"/>
    </row>
    <row r="885" ht="14.25" customHeight="1">
      <c r="L885" s="138"/>
    </row>
    <row r="886" ht="14.25" customHeight="1">
      <c r="L886" s="138"/>
    </row>
    <row r="887" ht="14.25" customHeight="1">
      <c r="L887" s="138"/>
    </row>
    <row r="888" ht="14.25" customHeight="1">
      <c r="L888" s="138"/>
    </row>
    <row r="889" ht="14.25" customHeight="1">
      <c r="L889" s="138"/>
    </row>
    <row r="890" ht="14.25" customHeight="1">
      <c r="L890" s="138"/>
    </row>
    <row r="891" ht="14.25" customHeight="1">
      <c r="L891" s="138"/>
    </row>
    <row r="892" ht="14.25" customHeight="1">
      <c r="L892" s="138"/>
    </row>
    <row r="893" ht="14.25" customHeight="1">
      <c r="L893" s="138"/>
    </row>
    <row r="894" ht="14.25" customHeight="1">
      <c r="L894" s="138"/>
    </row>
    <row r="895" ht="14.25" customHeight="1">
      <c r="L895" s="138"/>
    </row>
    <row r="896" ht="14.25" customHeight="1">
      <c r="L896" s="138"/>
    </row>
    <row r="897" ht="14.25" customHeight="1">
      <c r="L897" s="138"/>
    </row>
    <row r="898" ht="14.25" customHeight="1">
      <c r="L898" s="138"/>
    </row>
    <row r="899" ht="14.25" customHeight="1">
      <c r="L899" s="138"/>
    </row>
    <row r="900" ht="14.25" customHeight="1">
      <c r="L900" s="138"/>
    </row>
    <row r="901" ht="14.25" customHeight="1">
      <c r="L901" s="138"/>
    </row>
    <row r="902" ht="14.25" customHeight="1">
      <c r="L902" s="138"/>
    </row>
    <row r="903" ht="14.25" customHeight="1">
      <c r="L903" s="138"/>
    </row>
    <row r="904" ht="14.25" customHeight="1">
      <c r="L904" s="138"/>
    </row>
    <row r="905" ht="14.25" customHeight="1">
      <c r="L905" s="138"/>
    </row>
    <row r="906" ht="14.25" customHeight="1">
      <c r="L906" s="138"/>
    </row>
    <row r="907" ht="14.25" customHeight="1">
      <c r="L907" s="138"/>
    </row>
    <row r="908" ht="14.25" customHeight="1">
      <c r="L908" s="138"/>
    </row>
    <row r="909" ht="14.25" customHeight="1">
      <c r="L909" s="138"/>
    </row>
    <row r="910" ht="14.25" customHeight="1">
      <c r="L910" s="138"/>
    </row>
    <row r="911" ht="14.25" customHeight="1">
      <c r="L911" s="138"/>
    </row>
    <row r="912" ht="14.25" customHeight="1">
      <c r="L912" s="138"/>
    </row>
    <row r="913" ht="14.25" customHeight="1">
      <c r="L913" s="138"/>
    </row>
    <row r="914" ht="14.25" customHeight="1">
      <c r="L914" s="138"/>
    </row>
    <row r="915" ht="14.25" customHeight="1">
      <c r="L915" s="138"/>
    </row>
    <row r="916" ht="14.25" customHeight="1">
      <c r="L916" s="138"/>
    </row>
    <row r="917" ht="14.25" customHeight="1">
      <c r="L917" s="138"/>
    </row>
    <row r="918" ht="14.25" customHeight="1">
      <c r="L918" s="138"/>
    </row>
    <row r="919" ht="14.25" customHeight="1">
      <c r="L919" s="138"/>
    </row>
    <row r="920" ht="14.25" customHeight="1">
      <c r="L920" s="138"/>
    </row>
    <row r="921" ht="14.25" customHeight="1">
      <c r="L921" s="138"/>
    </row>
    <row r="922" ht="14.25" customHeight="1">
      <c r="L922" s="138"/>
    </row>
    <row r="923" ht="14.25" customHeight="1">
      <c r="L923" s="138"/>
    </row>
    <row r="924" ht="14.25" customHeight="1">
      <c r="L924" s="138"/>
    </row>
    <row r="925" ht="14.25" customHeight="1">
      <c r="L925" s="138"/>
    </row>
    <row r="926" ht="14.25" customHeight="1">
      <c r="L926" s="138"/>
    </row>
    <row r="927" ht="14.25" customHeight="1">
      <c r="L927" s="138"/>
    </row>
    <row r="928" ht="14.25" customHeight="1">
      <c r="L928" s="138"/>
    </row>
    <row r="929" ht="14.25" customHeight="1">
      <c r="L929" s="138"/>
    </row>
    <row r="930" ht="14.25" customHeight="1">
      <c r="L930" s="138"/>
    </row>
    <row r="931" ht="14.25" customHeight="1">
      <c r="L931" s="138"/>
    </row>
    <row r="932" ht="14.25" customHeight="1">
      <c r="L932" s="138"/>
    </row>
    <row r="933" ht="14.25" customHeight="1">
      <c r="L933" s="138"/>
    </row>
    <row r="934" ht="14.25" customHeight="1">
      <c r="L934" s="138"/>
    </row>
    <row r="935" ht="14.25" customHeight="1">
      <c r="L935" s="138"/>
    </row>
    <row r="936" ht="14.25" customHeight="1">
      <c r="L936" s="138"/>
    </row>
    <row r="937" ht="14.25" customHeight="1">
      <c r="L937" s="138"/>
    </row>
    <row r="938" ht="14.25" customHeight="1">
      <c r="L938" s="138"/>
    </row>
    <row r="939" ht="14.25" customHeight="1">
      <c r="L939" s="138"/>
    </row>
    <row r="940" ht="14.25" customHeight="1">
      <c r="L940" s="138"/>
    </row>
    <row r="941" ht="14.25" customHeight="1">
      <c r="L941" s="138"/>
    </row>
    <row r="942" ht="14.25" customHeight="1">
      <c r="L942" s="138"/>
    </row>
    <row r="943" ht="14.25" customHeight="1">
      <c r="L943" s="138"/>
    </row>
    <row r="944" ht="14.25" customHeight="1">
      <c r="L944" s="138"/>
    </row>
    <row r="945" ht="14.25" customHeight="1">
      <c r="L945" s="138"/>
    </row>
    <row r="946" ht="14.25" customHeight="1">
      <c r="L946" s="138"/>
    </row>
    <row r="947" ht="14.25" customHeight="1">
      <c r="L947" s="138"/>
    </row>
    <row r="948" ht="14.25" customHeight="1">
      <c r="L948" s="138"/>
    </row>
    <row r="949" ht="14.25" customHeight="1">
      <c r="L949" s="138"/>
    </row>
    <row r="950" ht="14.25" customHeight="1">
      <c r="L950" s="138"/>
    </row>
    <row r="951" ht="14.25" customHeight="1">
      <c r="L951" s="138"/>
    </row>
    <row r="952" ht="14.25" customHeight="1">
      <c r="L952" s="138"/>
    </row>
    <row r="953" ht="14.25" customHeight="1">
      <c r="L953" s="138"/>
    </row>
    <row r="954" ht="14.25" customHeight="1">
      <c r="L954" s="138"/>
    </row>
    <row r="955" ht="14.25" customHeight="1">
      <c r="L955" s="138"/>
    </row>
    <row r="956" ht="14.25" customHeight="1">
      <c r="L956" s="138"/>
    </row>
    <row r="957" ht="14.25" customHeight="1">
      <c r="L957" s="138"/>
    </row>
    <row r="958" ht="14.25" customHeight="1">
      <c r="L958" s="138"/>
    </row>
    <row r="959" ht="14.25" customHeight="1">
      <c r="L959" s="138"/>
    </row>
    <row r="960" ht="14.25" customHeight="1">
      <c r="L960" s="138"/>
    </row>
    <row r="961" ht="14.25" customHeight="1">
      <c r="L961" s="138"/>
    </row>
    <row r="962" ht="14.25" customHeight="1">
      <c r="L962" s="138"/>
    </row>
    <row r="963" ht="14.25" customHeight="1">
      <c r="L963" s="138"/>
    </row>
    <row r="964" ht="14.25" customHeight="1">
      <c r="L964" s="138"/>
    </row>
    <row r="965" ht="14.25" customHeight="1">
      <c r="L965" s="138"/>
    </row>
    <row r="966" ht="14.25" customHeight="1">
      <c r="L966" s="138"/>
    </row>
    <row r="967" ht="14.25" customHeight="1">
      <c r="L967" s="138"/>
    </row>
    <row r="968" ht="14.25" customHeight="1">
      <c r="L968" s="138"/>
    </row>
    <row r="969" ht="14.25" customHeight="1">
      <c r="L969" s="138"/>
    </row>
    <row r="970" ht="14.25" customHeight="1">
      <c r="L970" s="138"/>
    </row>
    <row r="971" ht="14.25" customHeight="1">
      <c r="L971" s="138"/>
    </row>
    <row r="972" ht="14.25" customHeight="1">
      <c r="L972" s="138"/>
    </row>
    <row r="973" ht="14.25" customHeight="1">
      <c r="L973" s="138"/>
    </row>
    <row r="974" ht="14.25" customHeight="1">
      <c r="L974" s="138"/>
    </row>
    <row r="975" ht="14.25" customHeight="1">
      <c r="L975" s="138"/>
    </row>
    <row r="976" ht="14.25" customHeight="1">
      <c r="L976" s="138"/>
    </row>
    <row r="977" ht="14.25" customHeight="1">
      <c r="L977" s="138"/>
    </row>
    <row r="978" ht="14.25" customHeight="1">
      <c r="L978" s="138"/>
    </row>
    <row r="979" ht="14.25" customHeight="1">
      <c r="L979" s="138"/>
    </row>
    <row r="980" ht="14.25" customHeight="1">
      <c r="L980" s="138"/>
    </row>
    <row r="981" ht="14.25" customHeight="1">
      <c r="L981" s="138"/>
    </row>
    <row r="982" ht="14.25" customHeight="1">
      <c r="L982" s="138"/>
    </row>
    <row r="983" ht="14.25" customHeight="1">
      <c r="L983" s="138"/>
    </row>
    <row r="984" ht="14.25" customHeight="1">
      <c r="L984" s="138"/>
    </row>
    <row r="985" ht="14.25" customHeight="1">
      <c r="L985" s="138"/>
    </row>
    <row r="986" ht="14.25" customHeight="1">
      <c r="L986" s="138"/>
    </row>
    <row r="987" ht="14.25" customHeight="1">
      <c r="L987" s="138"/>
    </row>
    <row r="988" ht="14.25" customHeight="1">
      <c r="L988" s="138"/>
    </row>
    <row r="989" ht="14.25" customHeight="1">
      <c r="L989" s="138"/>
    </row>
    <row r="990" ht="14.25" customHeight="1">
      <c r="L990" s="138"/>
    </row>
    <row r="991" ht="14.25" customHeight="1">
      <c r="L991" s="138"/>
    </row>
    <row r="992" ht="14.25" customHeight="1">
      <c r="L992" s="138"/>
    </row>
    <row r="993" ht="14.25" customHeight="1">
      <c r="L993" s="138"/>
    </row>
    <row r="994" ht="14.25" customHeight="1">
      <c r="L994" s="138"/>
    </row>
    <row r="995" ht="14.25" customHeight="1">
      <c r="L995" s="138"/>
    </row>
    <row r="996" ht="14.25" customHeight="1">
      <c r="L996" s="138"/>
    </row>
    <row r="997" ht="14.25" customHeight="1">
      <c r="L997" s="138"/>
    </row>
    <row r="998" ht="14.25" customHeight="1">
      <c r="L998" s="138"/>
    </row>
    <row r="999" ht="14.25" customHeight="1">
      <c r="L999" s="138"/>
    </row>
    <row r="1000" ht="14.25" customHeight="1">
      <c r="L1000" s="138"/>
    </row>
  </sheetData>
  <mergeCells count="2">
    <mergeCell ref="C1:H1"/>
    <mergeCell ref="B2:H4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orientation="landscape"/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30" width="12.86"/>
  </cols>
  <sheetData>
    <row r="1" ht="77.25" customHeight="1">
      <c r="A1" s="1"/>
      <c r="C1" s="2"/>
      <c r="D1" s="4" t="s">
        <v>1</v>
      </c>
      <c r="E1" s="5"/>
      <c r="F1" s="5"/>
      <c r="G1" s="5"/>
      <c r="H1" s="5"/>
      <c r="I1" s="6"/>
      <c r="J1" s="7"/>
      <c r="K1" s="7"/>
      <c r="L1" s="8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73.5" customHeight="1">
      <c r="A2" s="1"/>
      <c r="B2" s="12" t="s">
        <v>6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  <c r="AD2" s="16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7">
        <v>336.0</v>
      </c>
      <c r="N3" s="19">
        <f>M3/C7*1000</f>
        <v>3.754483591</v>
      </c>
      <c r="O3" s="17">
        <v>493.0</v>
      </c>
      <c r="P3" s="19">
        <f>O3/D7*1000</f>
        <v>5.339832115</v>
      </c>
      <c r="Q3" s="20">
        <v>425.0</v>
      </c>
      <c r="R3" s="19">
        <f>Q3/E7*1000</f>
        <v>4.46161437</v>
      </c>
      <c r="S3" s="17">
        <v>397.0</v>
      </c>
      <c r="T3" s="19">
        <f>S3/F7*1000</f>
        <v>4.032872482</v>
      </c>
      <c r="U3" s="17">
        <v>394.0</v>
      </c>
      <c r="V3" s="19">
        <f>U3/G7*1000</f>
        <v>3.878639917</v>
      </c>
      <c r="W3" s="17">
        <v>221.0</v>
      </c>
      <c r="X3" s="19">
        <f>W3/H7*1000</f>
        <v>2.112851106</v>
      </c>
      <c r="Y3" s="19">
        <f t="shared" ref="Y3:Z3" si="1">((M3+O3+Q3+S3)/4)</f>
        <v>412.75</v>
      </c>
      <c r="Z3" s="19">
        <f t="shared" si="1"/>
        <v>4.397200639</v>
      </c>
      <c r="AA3" s="19">
        <f t="shared" ref="AA3:AA70" si="3">((S3+U3)/2)</f>
        <v>395.5</v>
      </c>
      <c r="AB3" s="19">
        <f t="shared" ref="AB3:AB70" si="4">(V3+X3)/2</f>
        <v>2.995745511</v>
      </c>
      <c r="AC3" s="22" t="s">
        <v>28</v>
      </c>
      <c r="AD3" s="23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7">
        <v>891.0</v>
      </c>
      <c r="N4" s="19">
        <f>M4/C7*1000</f>
        <v>9.956085951</v>
      </c>
      <c r="O4" s="17">
        <v>890.0</v>
      </c>
      <c r="P4" s="19">
        <f>O4/D7*1000</f>
        <v>9.639859193</v>
      </c>
      <c r="Q4" s="20">
        <v>869.0</v>
      </c>
      <c r="R4" s="19">
        <f>Q4/E7*1000</f>
        <v>9.122689146</v>
      </c>
      <c r="S4" s="17">
        <v>842.0</v>
      </c>
      <c r="T4" s="19">
        <f>S4/F7*1000</f>
        <v>8.553346675</v>
      </c>
      <c r="U4" s="17">
        <v>859.0</v>
      </c>
      <c r="V4" s="19">
        <f>U4/G7*1000</f>
        <v>8.456222559</v>
      </c>
      <c r="W4" s="17">
        <v>372.0</v>
      </c>
      <c r="X4" s="19">
        <f>W4/H7*1000</f>
        <v>3.556473355</v>
      </c>
      <c r="Y4" s="19">
        <f t="shared" ref="Y4:Z4" si="2">((M4+O4+Q4+S4)/4)</f>
        <v>873</v>
      </c>
      <c r="Z4" s="19">
        <f t="shared" si="2"/>
        <v>9.317995241</v>
      </c>
      <c r="AA4" s="19">
        <f t="shared" si="3"/>
        <v>850.5</v>
      </c>
      <c r="AB4" s="19">
        <f t="shared" si="4"/>
        <v>6.006347957</v>
      </c>
      <c r="AC4" s="22" t="s">
        <v>30</v>
      </c>
      <c r="AD4" s="23"/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7">
        <v>0.0</v>
      </c>
      <c r="N5" s="19">
        <f>M5/C12*100000</f>
        <v>0</v>
      </c>
      <c r="O5" s="17">
        <v>1.0</v>
      </c>
      <c r="P5" s="19">
        <f>O5/D12*100000</f>
        <v>112.3595506</v>
      </c>
      <c r="Q5" s="20">
        <v>0.0</v>
      </c>
      <c r="R5" s="19">
        <f>Q5/E12*100000</f>
        <v>0</v>
      </c>
      <c r="S5" s="17">
        <v>0.0</v>
      </c>
      <c r="T5" s="19">
        <f>S5/F12*100000</f>
        <v>0</v>
      </c>
      <c r="U5" s="17">
        <v>0.0</v>
      </c>
      <c r="V5" s="19">
        <f>U5/G12*100000</f>
        <v>0</v>
      </c>
      <c r="W5" s="17">
        <v>0.0</v>
      </c>
      <c r="X5" s="19">
        <f>W5/H12*100000</f>
        <v>0</v>
      </c>
      <c r="Y5" s="19">
        <f t="shared" ref="Y5:Z5" si="5">((M5+O5+Q5+S5)/4)</f>
        <v>0.25</v>
      </c>
      <c r="Z5" s="19">
        <f t="shared" si="5"/>
        <v>28.08988764</v>
      </c>
      <c r="AA5" s="19">
        <f t="shared" si="3"/>
        <v>0</v>
      </c>
      <c r="AB5" s="19">
        <f t="shared" si="4"/>
        <v>0</v>
      </c>
      <c r="AC5" s="22" t="s">
        <v>39</v>
      </c>
      <c r="AD5" s="23"/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7">
        <v>48.0</v>
      </c>
      <c r="N6" s="19">
        <f>M6/M4*1000</f>
        <v>53.87205387</v>
      </c>
      <c r="O6" s="17">
        <v>42.0</v>
      </c>
      <c r="P6" s="19">
        <f>O6/O4*1000</f>
        <v>47.19101124</v>
      </c>
      <c r="Q6" s="20">
        <v>32.0</v>
      </c>
      <c r="R6" s="19">
        <f>Q6/Q4*1000</f>
        <v>36.82393556</v>
      </c>
      <c r="S6" s="17">
        <v>31.0</v>
      </c>
      <c r="T6" s="19">
        <f>S6/S4*1000</f>
        <v>36.81710214</v>
      </c>
      <c r="U6" s="17">
        <v>30.0</v>
      </c>
      <c r="V6" s="19">
        <f>U6/U4*1000</f>
        <v>34.92433062</v>
      </c>
      <c r="W6" s="17">
        <v>15.0</v>
      </c>
      <c r="X6" s="19">
        <f>W6/W4*1000</f>
        <v>40.32258065</v>
      </c>
      <c r="Y6" s="19">
        <f t="shared" ref="Y6:Z6" si="6">((M6+O6+Q6+S6)/4)</f>
        <v>38.25</v>
      </c>
      <c r="Z6" s="19">
        <f t="shared" si="6"/>
        <v>43.6760257</v>
      </c>
      <c r="AA6" s="19">
        <f t="shared" si="3"/>
        <v>30.5</v>
      </c>
      <c r="AB6" s="19">
        <f t="shared" si="4"/>
        <v>37.62345563</v>
      </c>
      <c r="AC6" s="22" t="s">
        <v>28</v>
      </c>
      <c r="AD6" s="23"/>
    </row>
    <row r="7" ht="14.25" customHeight="1">
      <c r="A7" s="1"/>
      <c r="B7" s="32" t="s">
        <v>41</v>
      </c>
      <c r="C7" s="33">
        <v>89493.0</v>
      </c>
      <c r="D7" s="33">
        <v>92325.0</v>
      </c>
      <c r="E7" s="33">
        <v>95257.0</v>
      </c>
      <c r="F7" s="34">
        <v>98441.0</v>
      </c>
      <c r="G7" s="34">
        <v>101582.0</v>
      </c>
      <c r="H7" s="35">
        <v>104598.0</v>
      </c>
      <c r="I7" s="1"/>
      <c r="J7" s="1"/>
      <c r="K7" s="1"/>
      <c r="L7" s="15" t="s">
        <v>42</v>
      </c>
      <c r="M7" s="17">
        <v>11.0</v>
      </c>
      <c r="N7" s="36">
        <f>M7/902*1000</f>
        <v>12.19512195</v>
      </c>
      <c r="O7" s="17">
        <v>6.0</v>
      </c>
      <c r="P7" s="36">
        <f>O7/896*1000</f>
        <v>6.696428571</v>
      </c>
      <c r="Q7" s="20">
        <v>5.0</v>
      </c>
      <c r="R7" s="36">
        <f>Q7/874*1000</f>
        <v>5.720823799</v>
      </c>
      <c r="S7" s="17">
        <v>12.0</v>
      </c>
      <c r="T7" s="36">
        <f>S7/854*1000</f>
        <v>14.05152225</v>
      </c>
      <c r="U7" s="17">
        <v>7.0</v>
      </c>
      <c r="V7" s="36">
        <f>4/859*1000</f>
        <v>4.656577416</v>
      </c>
      <c r="W7" s="17">
        <v>4.0</v>
      </c>
      <c r="X7" s="36">
        <f>4/376*1000</f>
        <v>10.63829787</v>
      </c>
      <c r="Y7" s="19">
        <f t="shared" ref="Y7:Z7" si="7">((M7+O7+Q7+S7)/4)</f>
        <v>8.5</v>
      </c>
      <c r="Z7" s="19">
        <f t="shared" si="7"/>
        <v>9.665974142</v>
      </c>
      <c r="AA7" s="19">
        <f t="shared" si="3"/>
        <v>9.5</v>
      </c>
      <c r="AB7" s="19">
        <f t="shared" si="4"/>
        <v>7.647437644</v>
      </c>
      <c r="AC7" s="22" t="s">
        <v>43</v>
      </c>
      <c r="AD7" s="23"/>
    </row>
    <row r="8" ht="14.25" customHeight="1">
      <c r="A8" s="1"/>
      <c r="B8" s="32" t="s">
        <v>44</v>
      </c>
      <c r="C8" s="34">
        <v>64093.0</v>
      </c>
      <c r="D8" s="30">
        <v>67711.0</v>
      </c>
      <c r="E8" s="34">
        <v>70689.0</v>
      </c>
      <c r="F8" s="34"/>
      <c r="G8" s="34"/>
      <c r="H8" s="35"/>
      <c r="I8" s="1"/>
      <c r="J8" s="1"/>
      <c r="K8" s="1"/>
      <c r="L8" s="15" t="s">
        <v>45</v>
      </c>
      <c r="M8" s="17"/>
      <c r="N8" s="19">
        <f>M8/C15*1000</f>
        <v>0</v>
      </c>
      <c r="O8" s="17">
        <v>0.0</v>
      </c>
      <c r="P8" s="19">
        <f>O8/D15*1000</f>
        <v>0</v>
      </c>
      <c r="Q8" s="20">
        <v>0.0</v>
      </c>
      <c r="R8" s="19">
        <f>Q8/E15*1000</f>
        <v>0</v>
      </c>
      <c r="S8" s="17">
        <v>0.0</v>
      </c>
      <c r="T8" s="19">
        <f>S8/F15*1000</f>
        <v>0</v>
      </c>
      <c r="U8" s="17">
        <v>0.0</v>
      </c>
      <c r="V8" s="19">
        <f>U8/G15*1000</f>
        <v>0</v>
      </c>
      <c r="W8" s="17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  <c r="AD8" s="23"/>
    </row>
    <row r="9" ht="14.25" customHeight="1">
      <c r="A9" s="1"/>
      <c r="B9" s="32" t="s">
        <v>47</v>
      </c>
      <c r="C9" s="34">
        <v>28874.0</v>
      </c>
      <c r="D9" s="30">
        <v>28967.0</v>
      </c>
      <c r="E9" s="34">
        <v>29031.0</v>
      </c>
      <c r="F9" s="34"/>
      <c r="G9" s="34"/>
      <c r="H9" s="35"/>
      <c r="I9" s="1"/>
      <c r="J9" s="1"/>
      <c r="K9" s="1"/>
      <c r="L9" s="15" t="s">
        <v>48</v>
      </c>
      <c r="M9" s="17">
        <v>6.0</v>
      </c>
      <c r="N9" s="19">
        <f>M9/C7*100000</f>
        <v>6.704434984</v>
      </c>
      <c r="O9" s="17">
        <v>23.0</v>
      </c>
      <c r="P9" s="19">
        <f>O9/D7*100000</f>
        <v>24.91199567</v>
      </c>
      <c r="Q9" s="20">
        <v>19.0</v>
      </c>
      <c r="R9" s="19">
        <f>Q9/E7*100000</f>
        <v>19.94604071</v>
      </c>
      <c r="S9" s="17">
        <v>21.0</v>
      </c>
      <c r="T9" s="19">
        <f>S9/F7*100000</f>
        <v>21.33257484</v>
      </c>
      <c r="U9" s="17">
        <v>22.0</v>
      </c>
      <c r="V9" s="19">
        <f>U9/G7*100000</f>
        <v>21.65738024</v>
      </c>
      <c r="W9" s="17">
        <v>15.0</v>
      </c>
      <c r="X9" s="19">
        <f>W9/H7*100000</f>
        <v>14.34061837</v>
      </c>
      <c r="Y9" s="19">
        <f t="shared" ref="Y9:Z9" si="9">((M9+O9+Q9+S9)/4)</f>
        <v>17.25</v>
      </c>
      <c r="Z9" s="19">
        <f t="shared" si="9"/>
        <v>18.22376155</v>
      </c>
      <c r="AA9" s="19">
        <f t="shared" si="3"/>
        <v>21.5</v>
      </c>
      <c r="AB9" s="19">
        <f t="shared" si="4"/>
        <v>17.99899931</v>
      </c>
      <c r="AC9" s="22" t="s">
        <v>28</v>
      </c>
      <c r="AD9" s="23"/>
    </row>
    <row r="10" ht="14.25" customHeight="1">
      <c r="A10" s="1"/>
      <c r="B10" s="32" t="s">
        <v>50</v>
      </c>
      <c r="C10" s="34">
        <v>44606.0</v>
      </c>
      <c r="D10" s="34">
        <v>46370.0</v>
      </c>
      <c r="E10" s="34">
        <v>47812.0</v>
      </c>
      <c r="F10" s="44">
        <v>49160.0</v>
      </c>
      <c r="G10" s="30">
        <v>48606.0</v>
      </c>
      <c r="H10" s="35">
        <v>50045.0</v>
      </c>
      <c r="I10" s="1"/>
      <c r="J10" s="1"/>
      <c r="K10" s="1"/>
      <c r="L10" s="15" t="s">
        <v>51</v>
      </c>
      <c r="M10" s="17">
        <v>0.0</v>
      </c>
      <c r="N10" s="19">
        <f>M10/C15*100000</f>
        <v>0</v>
      </c>
      <c r="O10" s="17">
        <v>0.0</v>
      </c>
      <c r="P10" s="19">
        <f t="shared" ref="P10:P11" si="11">O10/D15*100000</f>
        <v>0</v>
      </c>
      <c r="Q10" s="20">
        <v>1.0</v>
      </c>
      <c r="R10" s="19">
        <f>Q10/E15*100000</f>
        <v>13.41921632</v>
      </c>
      <c r="S10" s="17">
        <v>0.0</v>
      </c>
      <c r="T10" s="19">
        <f>S10/F15*100000</f>
        <v>0</v>
      </c>
      <c r="U10" s="17">
        <v>0.0</v>
      </c>
      <c r="V10" s="19">
        <f>U10/G15*100000</f>
        <v>0</v>
      </c>
      <c r="W10" s="17">
        <v>1.0</v>
      </c>
      <c r="X10" s="19">
        <f>W10/H15*100000</f>
        <v>14.63914507</v>
      </c>
      <c r="Y10" s="19">
        <f t="shared" ref="Y10:Z10" si="10">((M10+O10+Q10+S10)/4)</f>
        <v>0.25</v>
      </c>
      <c r="Z10" s="19">
        <f t="shared" si="10"/>
        <v>3.354804079</v>
      </c>
      <c r="AA10" s="19">
        <f t="shared" si="3"/>
        <v>0</v>
      </c>
      <c r="AB10" s="19">
        <f t="shared" si="4"/>
        <v>7.319572537</v>
      </c>
      <c r="AC10" s="22" t="s">
        <v>28</v>
      </c>
      <c r="AD10" s="23"/>
    </row>
    <row r="11" ht="14.25" customHeight="1">
      <c r="A11" s="1"/>
      <c r="B11" s="32" t="s">
        <v>52</v>
      </c>
      <c r="C11" s="34">
        <v>48361.0</v>
      </c>
      <c r="D11" s="34">
        <v>50308.0</v>
      </c>
      <c r="E11" s="34">
        <v>51908.0</v>
      </c>
      <c r="F11" s="44">
        <v>53394.0</v>
      </c>
      <c r="G11" s="30">
        <v>52976.0</v>
      </c>
      <c r="H11" s="35">
        <v>54553.0</v>
      </c>
      <c r="I11" s="1"/>
      <c r="J11" s="1"/>
      <c r="K11" s="1"/>
      <c r="L11" s="15" t="s">
        <v>53</v>
      </c>
      <c r="M11" s="17">
        <v>0.0</v>
      </c>
      <c r="N11" s="19">
        <f>M11/C15*100000</f>
        <v>0</v>
      </c>
      <c r="O11" s="17">
        <v>0.0</v>
      </c>
      <c r="P11" s="19">
        <f t="shared" si="11"/>
        <v>0</v>
      </c>
      <c r="Q11" s="20">
        <v>0.0</v>
      </c>
      <c r="R11" s="19">
        <f>Q11/F16*100000</f>
        <v>0</v>
      </c>
      <c r="S11" s="17">
        <v>0.0</v>
      </c>
      <c r="T11" s="19">
        <f>S11/F15*100000</f>
        <v>0</v>
      </c>
      <c r="U11" s="17">
        <v>0.0</v>
      </c>
      <c r="V11" s="19">
        <f>U11/G15*100000</f>
        <v>0</v>
      </c>
      <c r="W11" s="17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  <c r="AD11" s="23"/>
    </row>
    <row r="12" ht="14.25" customHeight="1">
      <c r="A12" s="1"/>
      <c r="B12" s="32" t="s">
        <v>54</v>
      </c>
      <c r="C12" s="30">
        <v>891.0</v>
      </c>
      <c r="D12" s="34">
        <v>890.0</v>
      </c>
      <c r="E12" s="30">
        <v>870.0</v>
      </c>
      <c r="F12" s="30">
        <v>842.0</v>
      </c>
      <c r="G12" s="34">
        <v>864.0</v>
      </c>
      <c r="H12" s="35">
        <v>372.0</v>
      </c>
      <c r="I12" s="1"/>
      <c r="J12" s="1"/>
      <c r="K12" s="1"/>
      <c r="L12" s="15" t="s">
        <v>55</v>
      </c>
      <c r="M12" s="17">
        <v>217.0</v>
      </c>
      <c r="N12" s="19">
        <f>M12/C7*100000</f>
        <v>242.4770652</v>
      </c>
      <c r="O12" s="17">
        <v>275.0</v>
      </c>
      <c r="P12" s="19">
        <f>O12/D7*100000</f>
        <v>297.8608178</v>
      </c>
      <c r="Q12" s="20">
        <v>363.0</v>
      </c>
      <c r="R12" s="19">
        <f>Q12/E7*100000</f>
        <v>381.0743567</v>
      </c>
      <c r="S12" s="17">
        <v>514.0</v>
      </c>
      <c r="T12" s="19">
        <f>S12/F7*100000</f>
        <v>522.1401652</v>
      </c>
      <c r="U12" s="17">
        <v>734.0</v>
      </c>
      <c r="V12" s="19">
        <f>U12/G7*100000</f>
        <v>722.5689591</v>
      </c>
      <c r="W12" s="17">
        <v>379.0</v>
      </c>
      <c r="X12" s="19">
        <f>W12/H7*100000</f>
        <v>362.3396241</v>
      </c>
      <c r="Y12" s="19">
        <f t="shared" ref="Y12:Z12" si="13">((M12+O12+Q12+S12)/4)</f>
        <v>342.25</v>
      </c>
      <c r="Z12" s="19">
        <f t="shared" si="13"/>
        <v>360.8881012</v>
      </c>
      <c r="AA12" s="19">
        <f t="shared" si="3"/>
        <v>624</v>
      </c>
      <c r="AB12" s="19">
        <f t="shared" si="4"/>
        <v>542.4542916</v>
      </c>
      <c r="AC12" s="22" t="s">
        <v>57</v>
      </c>
      <c r="AD12" s="23"/>
    </row>
    <row r="13" ht="14.25" customHeight="1">
      <c r="A13" s="1"/>
      <c r="B13" s="32" t="s">
        <v>58</v>
      </c>
      <c r="C13" s="30">
        <v>336.0</v>
      </c>
      <c r="D13" s="34">
        <v>485.0</v>
      </c>
      <c r="E13" s="30">
        <v>438.0</v>
      </c>
      <c r="F13" s="30">
        <v>428.0</v>
      </c>
      <c r="G13" s="34">
        <v>395.0</v>
      </c>
      <c r="H13" s="35">
        <v>221.0</v>
      </c>
      <c r="I13" s="1"/>
      <c r="J13" s="1"/>
      <c r="K13" s="1"/>
      <c r="L13" s="15" t="s">
        <v>59</v>
      </c>
      <c r="M13" s="17">
        <v>154.0</v>
      </c>
      <c r="N13" s="19">
        <f>M13/C11*100000</f>
        <v>318.4384111</v>
      </c>
      <c r="O13" s="17">
        <v>230.0</v>
      </c>
      <c r="P13" s="19">
        <f>O13/D11*100000</f>
        <v>457.1837481</v>
      </c>
      <c r="Q13" s="20">
        <v>310.0</v>
      </c>
      <c r="R13" s="19">
        <f>Q13/E11*100000</f>
        <v>597.2104493</v>
      </c>
      <c r="S13" s="17">
        <v>365.0</v>
      </c>
      <c r="T13" s="19">
        <f>S13/F11*100000</f>
        <v>683.5974079</v>
      </c>
      <c r="U13" s="17">
        <v>597.0</v>
      </c>
      <c r="V13" s="19">
        <f>U13/G11*100000</f>
        <v>1126.9254</v>
      </c>
      <c r="W13" s="17">
        <v>290.0</v>
      </c>
      <c r="X13" s="19">
        <f>W13/H11*100000</f>
        <v>531.5931296</v>
      </c>
      <c r="Y13" s="19">
        <f t="shared" ref="Y13:Z13" si="14">((M13+O13+Q13+S13)/4)</f>
        <v>264.75</v>
      </c>
      <c r="Z13" s="19">
        <f t="shared" si="14"/>
        <v>514.1075041</v>
      </c>
      <c r="AA13" s="19">
        <f t="shared" si="3"/>
        <v>481</v>
      </c>
      <c r="AB13" s="19">
        <f t="shared" si="4"/>
        <v>829.2592649</v>
      </c>
      <c r="AC13" s="22" t="s">
        <v>57</v>
      </c>
      <c r="AD13" s="23"/>
    </row>
    <row r="14" ht="14.25" customHeight="1">
      <c r="A14" s="1"/>
      <c r="B14" s="32" t="s">
        <v>60</v>
      </c>
      <c r="C14" s="30">
        <v>891.0</v>
      </c>
      <c r="D14" s="30">
        <v>890.0</v>
      </c>
      <c r="E14" s="30">
        <v>1446.0</v>
      </c>
      <c r="F14" s="30">
        <v>1310.0</v>
      </c>
      <c r="G14" s="30">
        <v>1310.0</v>
      </c>
      <c r="H14" s="35">
        <v>1323.0</v>
      </c>
      <c r="I14" s="1"/>
      <c r="J14" s="1"/>
      <c r="K14" s="1"/>
      <c r="L14" s="15" t="s">
        <v>61</v>
      </c>
      <c r="M14" s="17">
        <v>3.0</v>
      </c>
      <c r="N14" s="19">
        <f>M14/M4*1000</f>
        <v>3.367003367</v>
      </c>
      <c r="O14" s="17">
        <v>5.0</v>
      </c>
      <c r="P14" s="19">
        <f>O14/O4*1000</f>
        <v>5.617977528</v>
      </c>
      <c r="Q14" s="20">
        <v>3.0</v>
      </c>
      <c r="R14" s="19">
        <f>Q14/Q4*1000</f>
        <v>3.452243959</v>
      </c>
      <c r="S14" s="17">
        <v>7.0</v>
      </c>
      <c r="T14" s="19">
        <f>S14/S4*1000</f>
        <v>8.313539192</v>
      </c>
      <c r="U14" s="17">
        <v>4.0</v>
      </c>
      <c r="V14" s="19">
        <f>U14/U4*1000</f>
        <v>4.656577416</v>
      </c>
      <c r="W14" s="17">
        <v>6.0</v>
      </c>
      <c r="X14" s="19">
        <f>W14/W4*1000</f>
        <v>16.12903226</v>
      </c>
      <c r="Y14" s="19">
        <f t="shared" ref="Y14:Z14" si="15">((M14+O14+Q14+S14)/4)</f>
        <v>4.5</v>
      </c>
      <c r="Z14" s="19">
        <f t="shared" si="15"/>
        <v>5.187691012</v>
      </c>
      <c r="AA14" s="19">
        <f t="shared" si="3"/>
        <v>5.5</v>
      </c>
      <c r="AB14" s="19">
        <f t="shared" si="4"/>
        <v>10.39280484</v>
      </c>
      <c r="AC14" s="22" t="s">
        <v>28</v>
      </c>
      <c r="AD14" s="23"/>
    </row>
    <row r="15" ht="14.25" customHeight="1">
      <c r="A15" s="1"/>
      <c r="B15" s="32" t="s">
        <v>62</v>
      </c>
      <c r="C15" s="30">
        <v>7103.0</v>
      </c>
      <c r="D15" s="30">
        <v>7319.0</v>
      </c>
      <c r="E15" s="30">
        <v>7452.0</v>
      </c>
      <c r="F15" s="30">
        <v>6801.0</v>
      </c>
      <c r="G15" s="30">
        <v>6824.0</v>
      </c>
      <c r="H15" s="35">
        <v>6831.0</v>
      </c>
      <c r="I15" s="1"/>
      <c r="J15" s="1"/>
      <c r="K15" s="1"/>
      <c r="L15" s="15" t="s">
        <v>63</v>
      </c>
      <c r="M15" s="17">
        <v>3.0</v>
      </c>
      <c r="N15" s="19">
        <f>M15/C15*100000</f>
        <v>42.23567507</v>
      </c>
      <c r="O15" s="17">
        <v>5.0</v>
      </c>
      <c r="P15" s="19">
        <f>O15/D15*100000</f>
        <v>68.31534363</v>
      </c>
      <c r="Q15" s="20">
        <v>4.0</v>
      </c>
      <c r="R15" s="19">
        <f>Q15/E15*100000</f>
        <v>53.67686527</v>
      </c>
      <c r="S15" s="17">
        <v>7.0</v>
      </c>
      <c r="T15" s="19">
        <f>S15/F15*100000</f>
        <v>102.9260403</v>
      </c>
      <c r="U15" s="17">
        <v>4.0</v>
      </c>
      <c r="V15" s="19">
        <f>U15/G15*100000</f>
        <v>58.61664713</v>
      </c>
      <c r="W15" s="17">
        <v>6.0</v>
      </c>
      <c r="X15" s="19">
        <f>W15/H15*100000</f>
        <v>87.83487044</v>
      </c>
      <c r="Y15" s="19">
        <f t="shared" ref="Y15:Z15" si="16">((M15+O15+Q15+S15)/4)</f>
        <v>4.75</v>
      </c>
      <c r="Z15" s="19">
        <f t="shared" si="16"/>
        <v>66.78848106</v>
      </c>
      <c r="AA15" s="19">
        <f t="shared" si="3"/>
        <v>5.5</v>
      </c>
      <c r="AB15" s="19">
        <f t="shared" si="4"/>
        <v>73.22575879</v>
      </c>
      <c r="AC15" s="22" t="s">
        <v>28</v>
      </c>
      <c r="AD15" s="23"/>
    </row>
    <row r="16" ht="14.25" customHeight="1">
      <c r="A16" s="1"/>
      <c r="B16" s="32" t="s">
        <v>64</v>
      </c>
      <c r="C16" s="30">
        <v>72134.0</v>
      </c>
      <c r="D16" s="30">
        <v>75163.0</v>
      </c>
      <c r="E16" s="30">
        <v>77671.0</v>
      </c>
      <c r="F16" s="30">
        <v>80029.0</v>
      </c>
      <c r="G16" s="30">
        <v>79184.0</v>
      </c>
      <c r="H16" s="35">
        <v>81838.0</v>
      </c>
      <c r="I16" s="1"/>
      <c r="J16" s="1"/>
      <c r="K16" s="1"/>
      <c r="L16" s="15" t="s">
        <v>65</v>
      </c>
      <c r="M16" s="17">
        <v>90.0</v>
      </c>
      <c r="N16" s="19">
        <f>M16/M4*100</f>
        <v>10.1010101</v>
      </c>
      <c r="O16" s="17">
        <v>118.0</v>
      </c>
      <c r="P16" s="19">
        <f>O16/O4*100</f>
        <v>13.25842697</v>
      </c>
      <c r="Q16" s="20">
        <v>114.0</v>
      </c>
      <c r="R16" s="19">
        <f>Q16/Q4*100</f>
        <v>13.11852704</v>
      </c>
      <c r="S16" s="17">
        <v>106.0</v>
      </c>
      <c r="T16" s="19">
        <f>S16/S4*100</f>
        <v>12.58907363</v>
      </c>
      <c r="U16" s="17">
        <v>139.0</v>
      </c>
      <c r="V16" s="19">
        <f>U16/U4*100</f>
        <v>16.18160652</v>
      </c>
      <c r="W16" s="17">
        <v>43.0</v>
      </c>
      <c r="X16" s="19">
        <f>W16/W4*100</f>
        <v>11.55913978</v>
      </c>
      <c r="Y16" s="19">
        <f t="shared" ref="Y16:Z16" si="17">((M16+O16+Q16+S16)/4)</f>
        <v>107</v>
      </c>
      <c r="Z16" s="19">
        <f t="shared" si="17"/>
        <v>12.26675944</v>
      </c>
      <c r="AA16" s="19">
        <f t="shared" si="3"/>
        <v>122.5</v>
      </c>
      <c r="AB16" s="19">
        <f t="shared" si="4"/>
        <v>13.87037315</v>
      </c>
      <c r="AC16" s="22" t="s">
        <v>30</v>
      </c>
      <c r="AD16" s="23"/>
    </row>
    <row r="17" ht="14.25" customHeight="1">
      <c r="A17" s="1"/>
      <c r="B17" s="32" t="s">
        <v>66</v>
      </c>
      <c r="C17" s="30">
        <v>28081.0</v>
      </c>
      <c r="D17" s="30">
        <v>28848.0</v>
      </c>
      <c r="E17" s="30">
        <v>29422.0</v>
      </c>
      <c r="F17" s="30">
        <v>29943.0</v>
      </c>
      <c r="G17" s="30">
        <v>28097.0</v>
      </c>
      <c r="H17" s="35">
        <v>28515.0</v>
      </c>
      <c r="I17" s="1"/>
      <c r="J17" s="1"/>
      <c r="K17" s="1"/>
      <c r="L17" s="15" t="s">
        <v>67</v>
      </c>
      <c r="M17" s="17">
        <v>42.0</v>
      </c>
      <c r="N17" s="19">
        <f>M17/M4*100</f>
        <v>4.713804714</v>
      </c>
      <c r="O17" s="17">
        <v>55.0</v>
      </c>
      <c r="P17" s="19">
        <f>O17/O4*100</f>
        <v>6.179775281</v>
      </c>
      <c r="Q17" s="20">
        <v>47.0</v>
      </c>
      <c r="R17" s="19">
        <f>Q17/Q4*100</f>
        <v>5.408515535</v>
      </c>
      <c r="S17" s="17">
        <v>54.0</v>
      </c>
      <c r="T17" s="19">
        <f>S17/S4*100</f>
        <v>6.413301663</v>
      </c>
      <c r="U17" s="17">
        <v>67.0</v>
      </c>
      <c r="V17" s="19">
        <f>U17/U4*100</f>
        <v>7.799767171</v>
      </c>
      <c r="W17" s="17">
        <v>23.0</v>
      </c>
      <c r="X17" s="19">
        <f>W17/W4*100</f>
        <v>6.182795699</v>
      </c>
      <c r="Y17" s="19">
        <f t="shared" ref="Y17:Z17" si="18">((M17+O17+Q17+S17)/4)</f>
        <v>49.5</v>
      </c>
      <c r="Z17" s="19">
        <f t="shared" si="18"/>
        <v>5.678849298</v>
      </c>
      <c r="AA17" s="19">
        <f t="shared" si="3"/>
        <v>60.5</v>
      </c>
      <c r="AB17" s="19">
        <f t="shared" si="4"/>
        <v>6.991281435</v>
      </c>
      <c r="AC17" s="22" t="s">
        <v>30</v>
      </c>
      <c r="AD17" s="23"/>
    </row>
    <row r="18" ht="14.25" customHeight="1">
      <c r="A18" s="1"/>
      <c r="B18" s="32" t="s">
        <v>68</v>
      </c>
      <c r="C18" s="30">
        <v>86046.0</v>
      </c>
      <c r="D18" s="30">
        <v>89312.0</v>
      </c>
      <c r="E18" s="30">
        <v>91913.0</v>
      </c>
      <c r="F18" s="30">
        <v>94292.0</v>
      </c>
      <c r="G18" s="30">
        <v>93064.0</v>
      </c>
      <c r="H18" s="35">
        <v>95563.0</v>
      </c>
      <c r="I18" s="1"/>
      <c r="J18" s="1"/>
      <c r="K18" s="1"/>
      <c r="L18" s="15" t="s">
        <v>69</v>
      </c>
      <c r="M18" s="56">
        <v>10.0</v>
      </c>
      <c r="N18" s="57">
        <f>M18/C15*1000</f>
        <v>1.407855836</v>
      </c>
      <c r="O18" s="17">
        <v>11.0</v>
      </c>
      <c r="P18" s="57">
        <f>O18/D15*1000</f>
        <v>1.50293756</v>
      </c>
      <c r="Q18" s="20">
        <v>31.0</v>
      </c>
      <c r="R18" s="57">
        <f>Q18/E15*1000</f>
        <v>4.159957059</v>
      </c>
      <c r="S18" s="56">
        <v>37.0</v>
      </c>
      <c r="T18" s="57">
        <f>S18/F15*1000</f>
        <v>5.440376415</v>
      </c>
      <c r="U18" s="56">
        <v>39.0</v>
      </c>
      <c r="V18" s="57">
        <f>U18/G15*1000</f>
        <v>5.715123095</v>
      </c>
      <c r="W18" s="56">
        <v>14.0</v>
      </c>
      <c r="X18" s="57">
        <f>W18/H15*1000</f>
        <v>2.04948031</v>
      </c>
      <c r="Y18" s="19">
        <f t="shared" ref="Y18:Z18" si="19">((M18+O18+Q18+S18)/4)</f>
        <v>22.25</v>
      </c>
      <c r="Z18" s="19">
        <f t="shared" si="19"/>
        <v>3.127781717</v>
      </c>
      <c r="AA18" s="19">
        <f t="shared" si="3"/>
        <v>38</v>
      </c>
      <c r="AB18" s="19">
        <f t="shared" si="4"/>
        <v>3.882301703</v>
      </c>
      <c r="AC18" s="22" t="s">
        <v>57</v>
      </c>
      <c r="AD18" s="23"/>
    </row>
    <row r="19" ht="14.25" customHeight="1">
      <c r="A19" s="1"/>
      <c r="B19" s="32" t="s">
        <v>70</v>
      </c>
      <c r="C19" s="30">
        <v>57965.0</v>
      </c>
      <c r="D19" s="30">
        <v>60464.0</v>
      </c>
      <c r="E19" s="30">
        <v>62491.0</v>
      </c>
      <c r="F19" s="30">
        <v>63176.0</v>
      </c>
      <c r="G19" s="30">
        <v>64967.0</v>
      </c>
      <c r="H19" s="35">
        <v>67048.0</v>
      </c>
      <c r="I19" s="1"/>
      <c r="J19" s="1"/>
      <c r="K19" s="1"/>
      <c r="L19" s="15" t="s">
        <v>71</v>
      </c>
      <c r="M19" s="17">
        <v>90.0</v>
      </c>
      <c r="N19" s="19">
        <f>M19/M4*100</f>
        <v>10.1010101</v>
      </c>
      <c r="O19" s="17">
        <v>66.0</v>
      </c>
      <c r="P19" s="19">
        <f>O19/O4*100</f>
        <v>7.415730337</v>
      </c>
      <c r="Q19" s="20">
        <v>80.0</v>
      </c>
      <c r="R19" s="19">
        <f>Q19/Q4*100</f>
        <v>9.20598389</v>
      </c>
      <c r="S19" s="17">
        <v>58.0</v>
      </c>
      <c r="T19" s="19">
        <f>S19/S4*100</f>
        <v>6.888361045</v>
      </c>
      <c r="U19" s="17">
        <v>60.0</v>
      </c>
      <c r="V19" s="19">
        <f>U19/U4*100</f>
        <v>6.984866123</v>
      </c>
      <c r="W19" s="17">
        <v>23.0</v>
      </c>
      <c r="X19" s="19">
        <f>W19/W4*100</f>
        <v>6.182795699</v>
      </c>
      <c r="Y19" s="19">
        <f t="shared" ref="Y19:Z19" si="20">((M19+O19+Q19+S19)/4)</f>
        <v>73.5</v>
      </c>
      <c r="Z19" s="19">
        <f t="shared" si="20"/>
        <v>8.402771343</v>
      </c>
      <c r="AA19" s="19">
        <f t="shared" si="3"/>
        <v>59</v>
      </c>
      <c r="AB19" s="19">
        <f t="shared" si="4"/>
        <v>6.583830911</v>
      </c>
      <c r="AC19" s="22" t="s">
        <v>72</v>
      </c>
      <c r="AD19" s="23"/>
    </row>
    <row r="20" ht="14.25" customHeight="1">
      <c r="A20" s="1"/>
      <c r="B20" s="32" t="s">
        <v>73</v>
      </c>
      <c r="C20" s="30">
        <v>3278.0</v>
      </c>
      <c r="D20" s="34">
        <v>3372.0</v>
      </c>
      <c r="E20" s="30">
        <v>3453.0</v>
      </c>
      <c r="F20" s="30">
        <v>3534.0</v>
      </c>
      <c r="G20" s="30">
        <v>3357.0</v>
      </c>
      <c r="H20" s="35">
        <v>3492.0</v>
      </c>
      <c r="I20" s="1"/>
      <c r="J20" s="1"/>
      <c r="K20" s="1"/>
      <c r="L20" s="15" t="s">
        <v>74</v>
      </c>
      <c r="M20" s="17">
        <v>1.0</v>
      </c>
      <c r="N20" s="19">
        <f t="shared" ref="N20:N21" si="22">M20/C20*1000</f>
        <v>0.3050640635</v>
      </c>
      <c r="O20" s="17">
        <v>0.0</v>
      </c>
      <c r="P20" s="19">
        <f t="shared" ref="P20:P21" si="23">O20/D20*1000</f>
        <v>0</v>
      </c>
      <c r="Q20" s="20">
        <v>1.0</v>
      </c>
      <c r="R20" s="19">
        <f t="shared" ref="R20:R21" si="24">Q20/E20*1000</f>
        <v>0.2896032436</v>
      </c>
      <c r="S20" s="17">
        <v>0.0</v>
      </c>
      <c r="T20" s="19">
        <f t="shared" ref="T20:T21" si="25">S20/F20*1000</f>
        <v>0</v>
      </c>
      <c r="U20" s="17">
        <v>1.0</v>
      </c>
      <c r="V20" s="19">
        <f t="shared" ref="V20:V21" si="26">U20/G20*1000</f>
        <v>0.2978850164</v>
      </c>
      <c r="W20" s="17">
        <v>3.0</v>
      </c>
      <c r="X20" s="19">
        <f t="shared" ref="X20:X21" si="27">W20/H20*1000</f>
        <v>0.8591065292</v>
      </c>
      <c r="Y20" s="19">
        <f t="shared" ref="Y20:Z20" si="21">((M20+O20+Q20+S20)/4)</f>
        <v>0.5</v>
      </c>
      <c r="Z20" s="19">
        <f t="shared" si="21"/>
        <v>0.1486668268</v>
      </c>
      <c r="AA20" s="19">
        <f t="shared" si="3"/>
        <v>0.5</v>
      </c>
      <c r="AB20" s="19">
        <f t="shared" si="4"/>
        <v>0.5784957728</v>
      </c>
      <c r="AC20" s="22" t="s">
        <v>72</v>
      </c>
      <c r="AD20" s="23"/>
    </row>
    <row r="21" ht="14.25" customHeight="1">
      <c r="A21" s="1"/>
      <c r="B21" s="32" t="s">
        <v>75</v>
      </c>
      <c r="C21" s="30">
        <v>3560.0</v>
      </c>
      <c r="D21" s="34">
        <v>3606.0</v>
      </c>
      <c r="E21" s="30">
        <v>3628.0</v>
      </c>
      <c r="F21" s="30">
        <v>3652.0</v>
      </c>
      <c r="G21" s="30">
        <v>3578.0</v>
      </c>
      <c r="H21" s="35">
        <v>3532.0</v>
      </c>
      <c r="I21" s="1"/>
      <c r="J21" s="1"/>
      <c r="K21" s="1"/>
      <c r="L21" s="15" t="s">
        <v>76</v>
      </c>
      <c r="M21" s="17">
        <v>89.0</v>
      </c>
      <c r="N21" s="19">
        <f t="shared" si="22"/>
        <v>25</v>
      </c>
      <c r="O21" s="17">
        <v>66.0</v>
      </c>
      <c r="P21" s="19">
        <f t="shared" si="23"/>
        <v>18.30282862</v>
      </c>
      <c r="Q21" s="20">
        <v>79.0</v>
      </c>
      <c r="R21" s="19">
        <f t="shared" si="24"/>
        <v>21.77508269</v>
      </c>
      <c r="S21" s="17">
        <v>58.0</v>
      </c>
      <c r="T21" s="19">
        <f t="shared" si="25"/>
        <v>15.88170865</v>
      </c>
      <c r="U21" s="17">
        <v>58.0</v>
      </c>
      <c r="V21" s="19">
        <f t="shared" si="26"/>
        <v>16.21017328</v>
      </c>
      <c r="W21" s="17">
        <v>20.0</v>
      </c>
      <c r="X21" s="19">
        <f t="shared" si="27"/>
        <v>5.662514156</v>
      </c>
      <c r="Y21" s="19">
        <f t="shared" ref="Y21:Z21" si="28">((M21+O21+Q21+S21)/4)</f>
        <v>73</v>
      </c>
      <c r="Z21" s="19">
        <f t="shared" si="28"/>
        <v>20.23990499</v>
      </c>
      <c r="AA21" s="19">
        <f t="shared" si="3"/>
        <v>58</v>
      </c>
      <c r="AB21" s="19">
        <f t="shared" si="4"/>
        <v>10.93634372</v>
      </c>
      <c r="AC21" s="22" t="s">
        <v>72</v>
      </c>
      <c r="AD21" s="23"/>
    </row>
    <row r="22" ht="14.25" customHeight="1">
      <c r="A22" s="1"/>
      <c r="B22" s="32" t="s">
        <v>77</v>
      </c>
      <c r="C22" s="30">
        <v>32893.0</v>
      </c>
      <c r="D22" s="30">
        <v>34086.0</v>
      </c>
      <c r="E22" s="30">
        <v>35025.0</v>
      </c>
      <c r="F22" s="30">
        <v>35887.0</v>
      </c>
      <c r="G22" s="30">
        <v>35741.0</v>
      </c>
      <c r="H22" s="35">
        <v>36734.0</v>
      </c>
      <c r="I22" s="1"/>
      <c r="J22" s="1"/>
      <c r="K22" s="1"/>
      <c r="L22" s="15" t="s">
        <v>78</v>
      </c>
      <c r="M22" s="56">
        <v>0.0</v>
      </c>
      <c r="N22" s="57">
        <f>M22/C7*100000</f>
        <v>0</v>
      </c>
      <c r="O22" s="17">
        <v>8.0</v>
      </c>
      <c r="P22" s="57">
        <f>O22/D7*100000</f>
        <v>8.665041971</v>
      </c>
      <c r="Q22" s="20">
        <v>10.0</v>
      </c>
      <c r="R22" s="57">
        <f>Q22/E7*100000</f>
        <v>10.49791616</v>
      </c>
      <c r="S22" s="56">
        <v>6.0</v>
      </c>
      <c r="T22" s="57">
        <f>S22/F7*100000</f>
        <v>6.095021383</v>
      </c>
      <c r="U22" s="56">
        <v>7.0</v>
      </c>
      <c r="V22" s="57">
        <f>U22/G7*100000</f>
        <v>6.890984623</v>
      </c>
      <c r="W22" s="56">
        <v>9.0</v>
      </c>
      <c r="X22" s="57">
        <f>W22/H7*100000</f>
        <v>8.60437102</v>
      </c>
      <c r="Y22" s="19">
        <f t="shared" ref="Y22:Z22" si="29">((M22+O22+Q22+S22)/4)</f>
        <v>6</v>
      </c>
      <c r="Z22" s="19">
        <f t="shared" si="29"/>
        <v>6.31449488</v>
      </c>
      <c r="AA22" s="19">
        <f t="shared" si="3"/>
        <v>6.5</v>
      </c>
      <c r="AB22" s="19">
        <f t="shared" si="4"/>
        <v>7.747677822</v>
      </c>
      <c r="AC22" s="22" t="s">
        <v>28</v>
      </c>
      <c r="AD22" s="23"/>
    </row>
    <row r="23" ht="14.25" customHeight="1">
      <c r="A23" s="1"/>
      <c r="B23" s="32" t="s">
        <v>79</v>
      </c>
      <c r="C23" s="30"/>
      <c r="D23" s="30">
        <v>8782.0</v>
      </c>
      <c r="E23" s="30">
        <v>8967.0</v>
      </c>
      <c r="F23" s="30">
        <v>8232.0</v>
      </c>
      <c r="G23" s="30">
        <v>8276.0</v>
      </c>
      <c r="H23" s="35">
        <v>8299.0</v>
      </c>
      <c r="I23" s="1"/>
      <c r="J23" s="1"/>
      <c r="K23" s="1"/>
      <c r="L23" s="15" t="s">
        <v>80</v>
      </c>
      <c r="M23" s="56">
        <v>2.0</v>
      </c>
      <c r="N23" s="57">
        <f>M23/C7*100000</f>
        <v>2.234811661</v>
      </c>
      <c r="O23" s="17">
        <v>3.0</v>
      </c>
      <c r="P23" s="57">
        <f>O23/D7*100000</f>
        <v>3.249390739</v>
      </c>
      <c r="Q23" s="20">
        <v>0.0</v>
      </c>
      <c r="R23" s="57">
        <f>Q23/E7*100000</f>
        <v>0</v>
      </c>
      <c r="S23" s="56">
        <v>1.0</v>
      </c>
      <c r="T23" s="57">
        <f>S23/F7*100000</f>
        <v>1.015836897</v>
      </c>
      <c r="U23" s="56">
        <v>5.0</v>
      </c>
      <c r="V23" s="57">
        <f>U23/G7*100000</f>
        <v>4.922131874</v>
      </c>
      <c r="W23" s="56">
        <v>1.0</v>
      </c>
      <c r="X23" s="57">
        <f>W23/H7*100000</f>
        <v>0.9560412245</v>
      </c>
      <c r="Y23" s="19">
        <f t="shared" ref="Y23:Z23" si="30">((M23+O23+Q23+S23)/4)</f>
        <v>1.5</v>
      </c>
      <c r="Z23" s="19">
        <f t="shared" si="30"/>
        <v>1.625009824</v>
      </c>
      <c r="AA23" s="19">
        <f t="shared" si="3"/>
        <v>3</v>
      </c>
      <c r="AB23" s="19">
        <f t="shared" si="4"/>
        <v>2.939086549</v>
      </c>
      <c r="AC23" s="22" t="s">
        <v>28</v>
      </c>
      <c r="AD23" s="23"/>
    </row>
    <row r="24" ht="14.25" customHeight="1">
      <c r="A24" s="1"/>
      <c r="B24" s="32" t="s">
        <v>81</v>
      </c>
      <c r="C24" s="30"/>
      <c r="D24" s="30">
        <v>8515.0</v>
      </c>
      <c r="E24" s="30">
        <v>8779.0</v>
      </c>
      <c r="F24" s="30">
        <v>9037.0</v>
      </c>
      <c r="G24" s="30">
        <v>8559.0</v>
      </c>
      <c r="H24" s="35">
        <v>8778.0</v>
      </c>
      <c r="I24" s="1"/>
      <c r="J24" s="1"/>
      <c r="K24" s="1"/>
      <c r="L24" s="15" t="s">
        <v>82</v>
      </c>
      <c r="M24" s="56">
        <v>1.0</v>
      </c>
      <c r="N24" s="57">
        <f>M24/C7*100000</f>
        <v>1.117405831</v>
      </c>
      <c r="O24" s="17">
        <v>3.0</v>
      </c>
      <c r="P24" s="57">
        <f>O24/D7*100000</f>
        <v>3.249390739</v>
      </c>
      <c r="Q24" s="20">
        <v>3.0</v>
      </c>
      <c r="R24" s="57">
        <f>Q24/E7*100000</f>
        <v>3.149374849</v>
      </c>
      <c r="S24" s="56">
        <v>6.0</v>
      </c>
      <c r="T24" s="57">
        <f>S24/F7*100000</f>
        <v>6.095021383</v>
      </c>
      <c r="U24" s="56">
        <v>3.0</v>
      </c>
      <c r="V24" s="57">
        <f>U24/G7*100000</f>
        <v>2.953279124</v>
      </c>
      <c r="W24" s="56">
        <v>1.0</v>
      </c>
      <c r="X24" s="57">
        <f>W24/H7*100000</f>
        <v>0.9560412245</v>
      </c>
      <c r="Y24" s="19">
        <f t="shared" ref="Y24:Z24" si="31">((M24+O24+Q24+S24)/4)</f>
        <v>3.25</v>
      </c>
      <c r="Z24" s="19">
        <f t="shared" si="31"/>
        <v>3.402798201</v>
      </c>
      <c r="AA24" s="19">
        <f t="shared" si="3"/>
        <v>4.5</v>
      </c>
      <c r="AB24" s="19">
        <f t="shared" si="4"/>
        <v>1.954660174</v>
      </c>
      <c r="AC24" s="22" t="s">
        <v>28</v>
      </c>
      <c r="AD24" s="23"/>
    </row>
    <row r="25" ht="14.25" customHeight="1">
      <c r="A25" s="1"/>
      <c r="B25" s="32" t="s">
        <v>83</v>
      </c>
      <c r="C25" s="30"/>
      <c r="D25" s="30">
        <v>8571.0</v>
      </c>
      <c r="E25" s="30">
        <v>8691.0</v>
      </c>
      <c r="F25" s="30">
        <v>8822.0</v>
      </c>
      <c r="G25" s="30">
        <v>8393.0</v>
      </c>
      <c r="H25" s="35">
        <v>8550.0</v>
      </c>
      <c r="I25" s="1"/>
      <c r="J25" s="1"/>
      <c r="K25" s="1"/>
      <c r="L25" s="15" t="s">
        <v>84</v>
      </c>
      <c r="M25" s="56">
        <v>40.0</v>
      </c>
      <c r="N25" s="57">
        <f>M25/C7*100000</f>
        <v>44.69623322</v>
      </c>
      <c r="O25" s="17">
        <v>38.0</v>
      </c>
      <c r="P25" s="57">
        <f>O25/D7*100000</f>
        <v>41.15894936</v>
      </c>
      <c r="Q25" s="20">
        <v>86.0</v>
      </c>
      <c r="R25" s="57">
        <f>Q25/E7*100000</f>
        <v>90.28207901</v>
      </c>
      <c r="S25" s="56">
        <v>88.0</v>
      </c>
      <c r="T25" s="57">
        <f>S25/F7*100000</f>
        <v>89.39364696</v>
      </c>
      <c r="U25" s="56">
        <v>106.0</v>
      </c>
      <c r="V25" s="57">
        <f>U25/G7*100000</f>
        <v>104.3491957</v>
      </c>
      <c r="W25" s="56">
        <v>46.0</v>
      </c>
      <c r="X25" s="57">
        <f>W25/H7*100000</f>
        <v>43.97789633</v>
      </c>
      <c r="Y25" s="19">
        <f t="shared" ref="Y25:Z25" si="32">((M25+O25+Q25+S25)/4)</f>
        <v>63</v>
      </c>
      <c r="Z25" s="19">
        <f t="shared" si="32"/>
        <v>66.38272714</v>
      </c>
      <c r="AA25" s="19">
        <f t="shared" si="3"/>
        <v>97</v>
      </c>
      <c r="AB25" s="19">
        <f t="shared" si="4"/>
        <v>74.16354603</v>
      </c>
      <c r="AC25" s="22" t="s">
        <v>57</v>
      </c>
      <c r="AD25" s="23"/>
    </row>
    <row r="26" ht="14.25" customHeight="1">
      <c r="A26" s="1"/>
      <c r="B26" s="32" t="s">
        <v>85</v>
      </c>
      <c r="C26" s="61"/>
      <c r="D26" s="61">
        <v>17210.0</v>
      </c>
      <c r="E26" s="61">
        <v>17430.0</v>
      </c>
      <c r="F26" s="61">
        <v>17557.0</v>
      </c>
      <c r="G26" s="61">
        <v>17323.0</v>
      </c>
      <c r="H26" s="35">
        <v>17442.0</v>
      </c>
      <c r="I26" s="1"/>
      <c r="J26" s="1"/>
      <c r="K26" s="1"/>
      <c r="L26" s="15" t="s">
        <v>86</v>
      </c>
      <c r="M26" s="17">
        <v>58.0</v>
      </c>
      <c r="N26" s="19">
        <f>M26/C7*100000</f>
        <v>64.80953818</v>
      </c>
      <c r="O26" s="17">
        <v>144.0</v>
      </c>
      <c r="P26" s="19">
        <f>O26/D7*100000</f>
        <v>155.9707555</v>
      </c>
      <c r="Q26" s="20">
        <v>133.0</v>
      </c>
      <c r="R26" s="19">
        <f>Q26/E7*100000</f>
        <v>139.622285</v>
      </c>
      <c r="S26" s="17">
        <v>50.0</v>
      </c>
      <c r="T26" s="19">
        <f>S26/F7*100000</f>
        <v>50.79184486</v>
      </c>
      <c r="U26" s="17">
        <v>54.0</v>
      </c>
      <c r="V26" s="19">
        <f>U26/G7*100000</f>
        <v>53.15902424</v>
      </c>
      <c r="W26" s="17">
        <v>20.0</v>
      </c>
      <c r="X26" s="19">
        <f>W26/H7*100000</f>
        <v>19.12082449</v>
      </c>
      <c r="Y26" s="19">
        <f t="shared" ref="Y26:Z26" si="33">((M26+O26+Q26+S26)/4)</f>
        <v>96.25</v>
      </c>
      <c r="Z26" s="19">
        <f t="shared" si="33"/>
        <v>102.7986059</v>
      </c>
      <c r="AA26" s="19">
        <f t="shared" si="3"/>
        <v>52</v>
      </c>
      <c r="AB26" s="19">
        <f t="shared" si="4"/>
        <v>36.13992436</v>
      </c>
      <c r="AC26" s="22" t="s">
        <v>28</v>
      </c>
      <c r="AD26" s="23"/>
    </row>
    <row r="27" ht="14.25" customHeight="1">
      <c r="A27" s="1"/>
      <c r="B27" s="62" t="s">
        <v>87</v>
      </c>
      <c r="C27" s="63"/>
      <c r="D27" s="63"/>
      <c r="E27" s="64">
        <f t="shared" ref="E27:F27" si="34">E7-E18</f>
        <v>3344</v>
      </c>
      <c r="F27" s="64">
        <f t="shared" si="34"/>
        <v>4149</v>
      </c>
      <c r="G27" s="64">
        <v>8518.0</v>
      </c>
      <c r="H27" s="65">
        <v>9035.0</v>
      </c>
      <c r="I27" s="1"/>
      <c r="J27" s="1"/>
      <c r="K27" s="1"/>
      <c r="L27" s="15" t="s">
        <v>88</v>
      </c>
      <c r="M27" s="17">
        <v>1.0</v>
      </c>
      <c r="N27" s="19">
        <f>M27/C11*100000</f>
        <v>2.06778189</v>
      </c>
      <c r="O27" s="17">
        <v>1.0</v>
      </c>
      <c r="P27" s="19">
        <f>O27/D11*100000</f>
        <v>1.987755427</v>
      </c>
      <c r="Q27" s="20">
        <v>5.0</v>
      </c>
      <c r="R27" s="19">
        <f>Q27/E11*100000</f>
        <v>9.632426601</v>
      </c>
      <c r="S27" s="17">
        <v>0.0</v>
      </c>
      <c r="T27" s="19">
        <f>S27/F11*100000</f>
        <v>0</v>
      </c>
      <c r="U27" s="17">
        <v>1.0</v>
      </c>
      <c r="V27" s="19">
        <f>U27/G11*100000</f>
        <v>1.887647236</v>
      </c>
      <c r="W27" s="17">
        <v>0.0</v>
      </c>
      <c r="X27" s="19">
        <f>W27/H11*100000</f>
        <v>0</v>
      </c>
      <c r="Y27" s="19">
        <f t="shared" ref="Y27:Z27" si="35">((M27+O27+Q27+S27)/4)</f>
        <v>1.75</v>
      </c>
      <c r="Z27" s="19">
        <f t="shared" si="35"/>
        <v>3.421990979</v>
      </c>
      <c r="AA27" s="19">
        <f t="shared" si="3"/>
        <v>0.5</v>
      </c>
      <c r="AB27" s="19">
        <f t="shared" si="4"/>
        <v>0.9438236182</v>
      </c>
      <c r="AC27" s="22" t="s">
        <v>28</v>
      </c>
      <c r="AD27" s="23"/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7">
        <v>5.0</v>
      </c>
      <c r="N28" s="19">
        <f>M28/C11*100000</f>
        <v>10.33890945</v>
      </c>
      <c r="O28" s="17">
        <v>4.0</v>
      </c>
      <c r="P28" s="19">
        <f>O28/D11*100000</f>
        <v>7.951021706</v>
      </c>
      <c r="Q28" s="20">
        <v>5.0</v>
      </c>
      <c r="R28" s="19">
        <f>Q28/E11*100000</f>
        <v>9.632426601</v>
      </c>
      <c r="S28" s="17">
        <v>8.0</v>
      </c>
      <c r="T28" s="19">
        <f>S28/F11*100000</f>
        <v>14.98295689</v>
      </c>
      <c r="U28" s="17">
        <v>4.0</v>
      </c>
      <c r="V28" s="19">
        <f>U28/G11*100000</f>
        <v>7.550588946</v>
      </c>
      <c r="W28" s="17">
        <v>2.0</v>
      </c>
      <c r="X28" s="19">
        <f>W28/H11*100000</f>
        <v>3.666159515</v>
      </c>
      <c r="Y28" s="19">
        <f t="shared" ref="Y28:Z28" si="36">((M28+O28+Q28+S28)/4)</f>
        <v>5.5</v>
      </c>
      <c r="Z28" s="19">
        <f t="shared" si="36"/>
        <v>10.72632866</v>
      </c>
      <c r="AA28" s="19">
        <f t="shared" si="3"/>
        <v>6</v>
      </c>
      <c r="AB28" s="19">
        <f t="shared" si="4"/>
        <v>5.60837423</v>
      </c>
      <c r="AC28" s="22" t="s">
        <v>28</v>
      </c>
      <c r="AD28" s="23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7">
        <v>1.0</v>
      </c>
      <c r="N29" s="19">
        <f>M29/C10*100000</f>
        <v>2.241850872</v>
      </c>
      <c r="O29" s="17">
        <v>8.0</v>
      </c>
      <c r="P29" s="19">
        <f>O29/D10*100000</f>
        <v>17.25253397</v>
      </c>
      <c r="Q29" s="20">
        <v>2.0</v>
      </c>
      <c r="R29" s="19">
        <f>Q29/E10*100000</f>
        <v>4.18305028</v>
      </c>
      <c r="S29" s="17">
        <v>7.0</v>
      </c>
      <c r="T29" s="19">
        <f>S29/F10*100000</f>
        <v>14.23921888</v>
      </c>
      <c r="U29" s="17">
        <v>6.0</v>
      </c>
      <c r="V29" s="19">
        <f>U29/G10*100000</f>
        <v>12.34415504</v>
      </c>
      <c r="W29" s="17">
        <v>3.0</v>
      </c>
      <c r="X29" s="19">
        <f>W29/H10*100000</f>
        <v>5.994604856</v>
      </c>
      <c r="Y29" s="19">
        <f t="shared" ref="Y29:Z29" si="37">((M29+O29+Q29+S29)/4)</f>
        <v>4.5</v>
      </c>
      <c r="Z29" s="19">
        <f t="shared" si="37"/>
        <v>9.479163499</v>
      </c>
      <c r="AA29" s="19">
        <f t="shared" si="3"/>
        <v>6.5</v>
      </c>
      <c r="AB29" s="19">
        <f t="shared" si="4"/>
        <v>9.169379949</v>
      </c>
      <c r="AC29" s="22" t="s">
        <v>28</v>
      </c>
      <c r="AD29" s="23"/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7">
        <v>56.0</v>
      </c>
      <c r="N30" s="19">
        <f>M30/C7*100000</f>
        <v>62.57472651</v>
      </c>
      <c r="O30" s="17">
        <v>172.0</v>
      </c>
      <c r="P30" s="19">
        <f>O30/D7*100000</f>
        <v>186.2984024</v>
      </c>
      <c r="Q30" s="20">
        <v>34.0</v>
      </c>
      <c r="R30" s="19">
        <f>Q30/E7*100000</f>
        <v>35.69291496</v>
      </c>
      <c r="S30" s="17">
        <v>22.0</v>
      </c>
      <c r="T30" s="19">
        <f>S30/F7*100000</f>
        <v>22.34841174</v>
      </c>
      <c r="U30" s="17">
        <v>12.0</v>
      </c>
      <c r="V30" s="19">
        <f>U30/G7*100000</f>
        <v>11.8131165</v>
      </c>
      <c r="W30" s="17">
        <v>15.0</v>
      </c>
      <c r="X30" s="19">
        <f>W30/H7*100000</f>
        <v>14.34061837</v>
      </c>
      <c r="Y30" s="19">
        <f t="shared" ref="Y30:Z30" si="38">((M30+O30+Q30+S30)/4)</f>
        <v>71</v>
      </c>
      <c r="Z30" s="19">
        <f t="shared" si="38"/>
        <v>76.7286139</v>
      </c>
      <c r="AA30" s="19">
        <f t="shared" si="3"/>
        <v>17</v>
      </c>
      <c r="AB30" s="19">
        <f t="shared" si="4"/>
        <v>13.07686743</v>
      </c>
      <c r="AC30" s="22" t="s">
        <v>28</v>
      </c>
      <c r="AD30" s="23"/>
    </row>
    <row r="31" ht="14.25" customHeight="1">
      <c r="A31" s="1"/>
      <c r="B31" s="71" t="s">
        <v>93</v>
      </c>
      <c r="C31" s="30"/>
      <c r="D31" s="30">
        <v>8782.0</v>
      </c>
      <c r="E31" s="30">
        <v>8967.0</v>
      </c>
      <c r="F31" s="30">
        <v>8232.0</v>
      </c>
      <c r="G31" s="30">
        <v>8276.0</v>
      </c>
      <c r="H31" s="35">
        <v>8299.0</v>
      </c>
      <c r="I31" s="1"/>
      <c r="J31" s="1"/>
      <c r="K31" s="1"/>
      <c r="L31" s="15" t="s">
        <v>94</v>
      </c>
      <c r="M31" s="17">
        <v>1.0</v>
      </c>
      <c r="N31" s="19">
        <f>M31/C7*100000</f>
        <v>1.117405831</v>
      </c>
      <c r="O31" s="17">
        <v>0.0</v>
      </c>
      <c r="P31" s="19">
        <f>O31/D7*100000</f>
        <v>0</v>
      </c>
      <c r="Q31" s="20">
        <v>1.0</v>
      </c>
      <c r="R31" s="19">
        <f>Q31/E7*100000</f>
        <v>1.049791616</v>
      </c>
      <c r="S31" s="17">
        <v>2.0</v>
      </c>
      <c r="T31" s="19">
        <f>S31/F7*100000</f>
        <v>2.031673794</v>
      </c>
      <c r="U31" s="17">
        <v>2.0</v>
      </c>
      <c r="V31" s="19">
        <f>U31/G7*100000</f>
        <v>1.96885275</v>
      </c>
      <c r="W31" s="17">
        <v>0.0</v>
      </c>
      <c r="X31" s="19">
        <f>W31/H7*100000</f>
        <v>0</v>
      </c>
      <c r="Y31" s="19">
        <f t="shared" ref="Y31:Z31" si="39">((M31+O31+Q31+S31)/4)</f>
        <v>1</v>
      </c>
      <c r="Z31" s="19">
        <f t="shared" si="39"/>
        <v>1.04971781</v>
      </c>
      <c r="AA31" s="19">
        <f t="shared" si="3"/>
        <v>2</v>
      </c>
      <c r="AB31" s="19">
        <f t="shared" si="4"/>
        <v>0.9844263748</v>
      </c>
      <c r="AC31" s="22" t="s">
        <v>28</v>
      </c>
      <c r="AD31" s="23"/>
    </row>
    <row r="32" ht="14.25" customHeight="1">
      <c r="A32" s="1"/>
      <c r="B32" s="71" t="s">
        <v>95</v>
      </c>
      <c r="C32" s="70"/>
      <c r="D32" s="30">
        <v>8515.0</v>
      </c>
      <c r="E32" s="30">
        <v>8779.0</v>
      </c>
      <c r="F32" s="30">
        <v>9037.0</v>
      </c>
      <c r="G32" s="30">
        <v>8559.0</v>
      </c>
      <c r="H32" s="35">
        <v>8778.0</v>
      </c>
      <c r="I32" s="1"/>
      <c r="J32" s="1"/>
      <c r="K32" s="1"/>
      <c r="L32" s="15" t="s">
        <v>96</v>
      </c>
      <c r="M32" s="56">
        <v>31.0</v>
      </c>
      <c r="N32" s="72">
        <f>M32/C7*100</f>
        <v>0.03463958075</v>
      </c>
      <c r="O32" s="17">
        <v>21.0</v>
      </c>
      <c r="P32" s="72">
        <f>O32/D7*100</f>
        <v>0.02274573517</v>
      </c>
      <c r="Q32" s="20">
        <v>39.0</v>
      </c>
      <c r="R32" s="72">
        <f>Q32/E7*100</f>
        <v>0.04094187304</v>
      </c>
      <c r="S32" s="56">
        <v>44.0</v>
      </c>
      <c r="T32" s="72">
        <f>S32/F7*100</f>
        <v>0.04469682348</v>
      </c>
      <c r="U32" s="56">
        <v>49.0</v>
      </c>
      <c r="V32" s="72">
        <f>U32/G7*100</f>
        <v>0.04823689236</v>
      </c>
      <c r="W32" s="56">
        <v>30.0</v>
      </c>
      <c r="X32" s="72">
        <f>W32/H7*100</f>
        <v>0.02868123673</v>
      </c>
      <c r="Y32" s="19">
        <f t="shared" ref="Y32:Z32" si="40">((M32+O32+Q32+S32)/4)</f>
        <v>33.75</v>
      </c>
      <c r="Z32" s="74">
        <f t="shared" si="40"/>
        <v>0.03575600311</v>
      </c>
      <c r="AA32" s="19">
        <f t="shared" si="3"/>
        <v>46.5</v>
      </c>
      <c r="AB32" s="19">
        <f t="shared" si="4"/>
        <v>0.03845906455</v>
      </c>
      <c r="AC32" s="22" t="s">
        <v>57</v>
      </c>
      <c r="AD32" s="23"/>
    </row>
    <row r="33" ht="14.25" customHeight="1">
      <c r="A33" s="1"/>
      <c r="B33" s="71" t="s">
        <v>99</v>
      </c>
      <c r="C33" s="70"/>
      <c r="D33" s="30">
        <v>8571.0</v>
      </c>
      <c r="E33" s="30">
        <v>8691.0</v>
      </c>
      <c r="F33" s="30">
        <v>8822.0</v>
      </c>
      <c r="G33" s="30">
        <v>8393.0</v>
      </c>
      <c r="H33" s="35">
        <v>8550.0</v>
      </c>
      <c r="I33" s="1"/>
      <c r="J33" s="1"/>
      <c r="K33" s="1"/>
      <c r="L33" s="15" t="s">
        <v>100</v>
      </c>
      <c r="M33" s="17">
        <v>10376.0</v>
      </c>
      <c r="N33" s="19">
        <f>M33/C7*10000</f>
        <v>1159.42029</v>
      </c>
      <c r="O33" s="17">
        <v>23028.0</v>
      </c>
      <c r="P33" s="19">
        <f>O33/D7*10000</f>
        <v>2494.232331</v>
      </c>
      <c r="Q33" s="20">
        <v>21551.0</v>
      </c>
      <c r="R33" s="19">
        <f>Q33/E7*10000</f>
        <v>2262.405912</v>
      </c>
      <c r="S33" s="17">
        <v>15273.0</v>
      </c>
      <c r="T33" s="19">
        <f>S33/F7*10000</f>
        <v>1551.487693</v>
      </c>
      <c r="U33" s="17">
        <v>24720.0</v>
      </c>
      <c r="V33" s="19">
        <f>U33/G7*10000</f>
        <v>2433.501998</v>
      </c>
      <c r="W33" s="17">
        <v>10804.0</v>
      </c>
      <c r="X33" s="19">
        <f>W33/H7*10000</f>
        <v>1032.906939</v>
      </c>
      <c r="Y33" s="19">
        <f t="shared" ref="Y33:Z33" si="41">((M33+O33+Q33+S33)/4)</f>
        <v>17557</v>
      </c>
      <c r="Z33" s="19">
        <f t="shared" si="41"/>
        <v>1866.886557</v>
      </c>
      <c r="AA33" s="19">
        <f t="shared" si="3"/>
        <v>19996.5</v>
      </c>
      <c r="AB33" s="19">
        <f t="shared" si="4"/>
        <v>1733.204469</v>
      </c>
      <c r="AC33" s="22" t="s">
        <v>57</v>
      </c>
      <c r="AD33" s="23"/>
    </row>
    <row r="34" ht="14.25" customHeight="1">
      <c r="A34" s="1"/>
      <c r="B34" s="71" t="s">
        <v>101</v>
      </c>
      <c r="C34" s="70"/>
      <c r="D34" s="61">
        <v>17210.0</v>
      </c>
      <c r="E34" s="61">
        <v>17430.0</v>
      </c>
      <c r="F34" s="61">
        <v>17557.0</v>
      </c>
      <c r="G34" s="61">
        <v>17323.0</v>
      </c>
      <c r="H34" s="35">
        <v>17442.0</v>
      </c>
      <c r="I34" s="1"/>
      <c r="J34" s="1"/>
      <c r="K34" s="1"/>
      <c r="L34" s="15" t="s">
        <v>102</v>
      </c>
      <c r="M34" s="17">
        <v>2478.0</v>
      </c>
      <c r="N34" s="19">
        <f>M34/C7*10000</f>
        <v>276.8931648</v>
      </c>
      <c r="O34" s="17">
        <v>2794.0</v>
      </c>
      <c r="P34" s="19">
        <f>O34/D7*10000</f>
        <v>302.6265908</v>
      </c>
      <c r="Q34" s="20">
        <v>6662.0</v>
      </c>
      <c r="R34" s="19">
        <f>Q34/E7*10000</f>
        <v>699.3711748</v>
      </c>
      <c r="S34" s="17">
        <v>3256.0</v>
      </c>
      <c r="T34" s="19">
        <f>S34/F7*10000</f>
        <v>330.7564937</v>
      </c>
      <c r="U34" s="17">
        <v>7966.0</v>
      </c>
      <c r="V34" s="19">
        <f>U34/G7*10000</f>
        <v>784.1940501</v>
      </c>
      <c r="W34" s="17">
        <v>3732.0</v>
      </c>
      <c r="X34" s="19">
        <f>W34/H7*10000</f>
        <v>356.794585</v>
      </c>
      <c r="Y34" s="19">
        <f t="shared" ref="Y34:Z34" si="42">((M34+O34+Q34+S34)/4)</f>
        <v>3797.5</v>
      </c>
      <c r="Z34" s="19">
        <f t="shared" si="42"/>
        <v>402.4118561</v>
      </c>
      <c r="AA34" s="19">
        <f t="shared" si="3"/>
        <v>5611</v>
      </c>
      <c r="AB34" s="19">
        <f t="shared" si="4"/>
        <v>570.4943176</v>
      </c>
      <c r="AC34" s="22" t="s">
        <v>57</v>
      </c>
      <c r="AD34" s="23"/>
    </row>
    <row r="35" ht="14.25" customHeight="1">
      <c r="A35" s="1"/>
      <c r="B35" s="71" t="s">
        <v>103</v>
      </c>
      <c r="C35" s="70"/>
      <c r="D35" s="61"/>
      <c r="E35" s="61"/>
      <c r="F35" s="61"/>
      <c r="G35" s="61"/>
      <c r="H35" s="35"/>
      <c r="I35" s="1"/>
      <c r="J35" s="1"/>
      <c r="K35" s="1"/>
      <c r="L35" s="15" t="s">
        <v>104</v>
      </c>
      <c r="M35" s="17">
        <v>44.0</v>
      </c>
      <c r="N35" s="19">
        <f>M35/M4*1000</f>
        <v>49.38271605</v>
      </c>
      <c r="O35" s="17">
        <v>43.0</v>
      </c>
      <c r="P35" s="19">
        <f>O35/O4*1000</f>
        <v>48.31460674</v>
      </c>
      <c r="Q35" s="20">
        <v>53.0</v>
      </c>
      <c r="R35" s="19">
        <f>Q35/Q4*1000</f>
        <v>60.98964327</v>
      </c>
      <c r="S35" s="17">
        <v>55.0</v>
      </c>
      <c r="T35" s="19">
        <f>S35/S4*1000</f>
        <v>65.32066508</v>
      </c>
      <c r="U35" s="17">
        <v>78.0</v>
      </c>
      <c r="V35" s="19">
        <f>U35/U4*1000</f>
        <v>90.8032596</v>
      </c>
      <c r="W35" s="17">
        <v>33.0</v>
      </c>
      <c r="X35" s="19">
        <f>W35/W4*1000</f>
        <v>88.70967742</v>
      </c>
      <c r="Y35" s="19">
        <f t="shared" ref="Y35:Z35" si="43">((M35+O35+Q35+S35)/4)</f>
        <v>48.75</v>
      </c>
      <c r="Z35" s="19">
        <f t="shared" si="43"/>
        <v>56.00190779</v>
      </c>
      <c r="AA35" s="19">
        <f t="shared" si="3"/>
        <v>66.5</v>
      </c>
      <c r="AB35" s="19">
        <f t="shared" si="4"/>
        <v>89.75646851</v>
      </c>
      <c r="AC35" s="22" t="s">
        <v>57</v>
      </c>
      <c r="AD35" s="23"/>
    </row>
    <row r="36" ht="14.25" customHeight="1">
      <c r="A36" s="1"/>
      <c r="B36" s="71" t="s">
        <v>105</v>
      </c>
      <c r="C36" s="70"/>
      <c r="D36" s="70"/>
      <c r="E36" s="64">
        <f t="shared" ref="E36:F36" si="44">E16-E27</f>
        <v>74327</v>
      </c>
      <c r="F36" s="64">
        <f t="shared" si="44"/>
        <v>75880</v>
      </c>
      <c r="G36" s="64">
        <v>8518.0</v>
      </c>
      <c r="H36" s="65">
        <v>9035.0</v>
      </c>
      <c r="I36" s="1"/>
      <c r="J36" s="1"/>
      <c r="K36" s="1"/>
      <c r="L36" s="15" t="s">
        <v>106</v>
      </c>
      <c r="M36" s="17">
        <v>6.0</v>
      </c>
      <c r="N36" s="19">
        <f>M36/M4*1000</f>
        <v>6.734006734</v>
      </c>
      <c r="O36" s="17">
        <v>3.0</v>
      </c>
      <c r="P36" s="19">
        <f>O36/O4*1000</f>
        <v>3.370786517</v>
      </c>
      <c r="Q36" s="20">
        <v>7.0</v>
      </c>
      <c r="R36" s="19">
        <f>Q36/Q4*1000</f>
        <v>8.055235903</v>
      </c>
      <c r="S36" s="17">
        <v>7.0</v>
      </c>
      <c r="T36" s="19">
        <f>S36/S4*1000</f>
        <v>8.313539192</v>
      </c>
      <c r="U36" s="17">
        <v>5.0</v>
      </c>
      <c r="V36" s="19">
        <f>U36/U4*1000</f>
        <v>5.820721769</v>
      </c>
      <c r="W36" s="17">
        <v>4.0</v>
      </c>
      <c r="X36" s="19">
        <f>W36/W4*1000</f>
        <v>10.75268817</v>
      </c>
      <c r="Y36" s="19">
        <f t="shared" ref="Y36:Z36" si="45">((M36+O36+Q36+S36)/4)</f>
        <v>5.75</v>
      </c>
      <c r="Z36" s="19">
        <f t="shared" si="45"/>
        <v>6.618392087</v>
      </c>
      <c r="AA36" s="19">
        <f t="shared" si="3"/>
        <v>6</v>
      </c>
      <c r="AB36" s="19">
        <f t="shared" si="4"/>
        <v>8.286704971</v>
      </c>
      <c r="AC36" s="22" t="s">
        <v>57</v>
      </c>
      <c r="AD36" s="23"/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7">
        <v>0.0</v>
      </c>
      <c r="N37" s="36">
        <f>M37/947*1000</f>
        <v>0</v>
      </c>
      <c r="O37" s="17">
        <v>2.0</v>
      </c>
      <c r="P37" s="36">
        <f>O37/932*1000</f>
        <v>2.145922747</v>
      </c>
      <c r="Q37" s="20">
        <v>0.0</v>
      </c>
      <c r="R37" s="36">
        <f>Q37/901*1000</f>
        <v>0</v>
      </c>
      <c r="S37" s="17">
        <v>1.0</v>
      </c>
      <c r="T37" s="36">
        <f>S37/873*1000</f>
        <v>1.145475372</v>
      </c>
      <c r="U37" s="17">
        <v>1.0</v>
      </c>
      <c r="V37" s="36">
        <f>U37/889*1000</f>
        <v>1.124859393</v>
      </c>
      <c r="W37" s="17">
        <v>0.0</v>
      </c>
      <c r="X37" s="36">
        <f>W37/387*1000</f>
        <v>0</v>
      </c>
      <c r="Y37" s="19">
        <f t="shared" ref="Y37:Z37" si="46">((M37+O37+Q37+S37)/4)</f>
        <v>0.75</v>
      </c>
      <c r="Z37" s="19">
        <f t="shared" si="46"/>
        <v>0.8228495298</v>
      </c>
      <c r="AA37" s="19">
        <f t="shared" si="3"/>
        <v>1</v>
      </c>
      <c r="AB37" s="19">
        <f t="shared" si="4"/>
        <v>0.5624296963</v>
      </c>
      <c r="AC37" s="22" t="s">
        <v>57</v>
      </c>
      <c r="AD37" s="23"/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7">
        <v>1.0</v>
      </c>
      <c r="N38" s="19">
        <f>M38/C7*10000</f>
        <v>0.1117405831</v>
      </c>
      <c r="O38" s="17">
        <v>5.0</v>
      </c>
      <c r="P38" s="19">
        <f>O38/E7*10000</f>
        <v>0.5248958082</v>
      </c>
      <c r="Q38" s="20">
        <v>7.0</v>
      </c>
      <c r="R38" s="19">
        <f>Q38/E7*10000</f>
        <v>0.7348541315</v>
      </c>
      <c r="S38" s="17">
        <v>15.0</v>
      </c>
      <c r="T38" s="19">
        <f>S38/F7*10000</f>
        <v>1.523755346</v>
      </c>
      <c r="U38" s="17">
        <v>15.0</v>
      </c>
      <c r="V38" s="19">
        <f>U38/G7*10000</f>
        <v>1.476639562</v>
      </c>
      <c r="W38" s="17">
        <v>5.0</v>
      </c>
      <c r="X38" s="19">
        <f>W38/H7*10000</f>
        <v>0.4780206122</v>
      </c>
      <c r="Y38" s="19">
        <f t="shared" ref="Y38:Z38" si="47">((M38+O38+Q38+S38)/4)</f>
        <v>7</v>
      </c>
      <c r="Z38" s="19">
        <f t="shared" si="47"/>
        <v>0.7238114671</v>
      </c>
      <c r="AA38" s="19">
        <f t="shared" si="3"/>
        <v>15</v>
      </c>
      <c r="AB38" s="19">
        <f t="shared" si="4"/>
        <v>0.9773300872</v>
      </c>
      <c r="AC38" s="22" t="s">
        <v>57</v>
      </c>
      <c r="AD38" s="23"/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7">
        <v>69.0</v>
      </c>
      <c r="N39" s="19">
        <f>M39/C17*10000</f>
        <v>24.57177451</v>
      </c>
      <c r="O39" s="17">
        <v>65.0</v>
      </c>
      <c r="P39" s="19">
        <f>O39/D17*10000</f>
        <v>22.53189129</v>
      </c>
      <c r="Q39" s="20">
        <v>105.0</v>
      </c>
      <c r="R39" s="19">
        <f>Q39/E17*100000</f>
        <v>356.8758072</v>
      </c>
      <c r="S39" s="17">
        <v>125.0</v>
      </c>
      <c r="T39" s="19">
        <f>S39/F17*100000</f>
        <v>417.4598404</v>
      </c>
      <c r="U39" s="17">
        <v>241.0</v>
      </c>
      <c r="V39" s="19">
        <f>U39/G17*100000</f>
        <v>857.7428195</v>
      </c>
      <c r="W39" s="17">
        <v>139.0</v>
      </c>
      <c r="X39" s="19">
        <f>W39/H17*100000</f>
        <v>487.4627389</v>
      </c>
      <c r="Y39" s="19">
        <f t="shared" ref="Y39:Z39" si="48">((M39+O39+Q39+S39)/4)</f>
        <v>91</v>
      </c>
      <c r="Z39" s="19">
        <f t="shared" si="48"/>
        <v>205.3598283</v>
      </c>
      <c r="AA39" s="19">
        <f t="shared" si="3"/>
        <v>183</v>
      </c>
      <c r="AB39" s="19">
        <f t="shared" si="4"/>
        <v>672.6027792</v>
      </c>
      <c r="AC39" s="22" t="s">
        <v>57</v>
      </c>
      <c r="AD39" s="23"/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7">
        <v>33.0</v>
      </c>
      <c r="N40" s="19">
        <f>M40/C7*100000</f>
        <v>36.87439241</v>
      </c>
      <c r="O40" s="17">
        <v>19.0</v>
      </c>
      <c r="P40" s="19">
        <f>O40/D7*100000</f>
        <v>20.57947468</v>
      </c>
      <c r="Q40" s="20">
        <v>60.0</v>
      </c>
      <c r="R40" s="19">
        <f>Q40/E7*100000</f>
        <v>62.98749698</v>
      </c>
      <c r="S40" s="17">
        <v>74.0</v>
      </c>
      <c r="T40" s="19">
        <f>S40/F7*100000</f>
        <v>75.17193039</v>
      </c>
      <c r="U40" s="17">
        <v>120.0</v>
      </c>
      <c r="V40" s="19">
        <f>U40/G7*100000</f>
        <v>118.131165</v>
      </c>
      <c r="W40" s="17">
        <v>63.0</v>
      </c>
      <c r="X40" s="19">
        <f>W40/H7*100000</f>
        <v>60.23059714</v>
      </c>
      <c r="Y40" s="19">
        <f t="shared" ref="Y40:Z40" si="49">((M40+O40+Q40+S40)/4)</f>
        <v>46.5</v>
      </c>
      <c r="Z40" s="19">
        <f t="shared" si="49"/>
        <v>48.90332362</v>
      </c>
      <c r="AA40" s="19">
        <f t="shared" si="3"/>
        <v>97</v>
      </c>
      <c r="AB40" s="19">
        <f t="shared" si="4"/>
        <v>89.18088106</v>
      </c>
      <c r="AC40" s="22" t="s">
        <v>57</v>
      </c>
      <c r="AD40" s="23"/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56">
        <v>333.0</v>
      </c>
      <c r="N41" s="57">
        <f>M41/C7*10000</f>
        <v>37.20961416</v>
      </c>
      <c r="O41" s="17">
        <v>365.0</v>
      </c>
      <c r="P41" s="57">
        <f>O41/D7*10000</f>
        <v>39.53425399</v>
      </c>
      <c r="Q41" s="20">
        <v>467.0</v>
      </c>
      <c r="R41" s="57">
        <f>Q41/E7*10000</f>
        <v>49.02526848</v>
      </c>
      <c r="S41" s="56">
        <v>447.0</v>
      </c>
      <c r="T41" s="57">
        <f>S41/F7*10000</f>
        <v>45.40790931</v>
      </c>
      <c r="U41" s="56">
        <v>546.0</v>
      </c>
      <c r="V41" s="57">
        <f>U41/G7*10000</f>
        <v>53.74968006</v>
      </c>
      <c r="W41" s="56">
        <v>277.0</v>
      </c>
      <c r="X41" s="57">
        <f>W41/H7*10000</f>
        <v>26.48234192</v>
      </c>
      <c r="Y41" s="19">
        <f t="shared" ref="Y41:Z41" si="50">((M41+O41+Q41+S41)/4)</f>
        <v>403</v>
      </c>
      <c r="Z41" s="19">
        <f t="shared" si="50"/>
        <v>42.79426149</v>
      </c>
      <c r="AA41" s="19">
        <f t="shared" si="3"/>
        <v>496.5</v>
      </c>
      <c r="AB41" s="19">
        <f t="shared" si="4"/>
        <v>40.11601099</v>
      </c>
      <c r="AC41" s="22" t="s">
        <v>57</v>
      </c>
      <c r="AD41" s="23"/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56">
        <v>27.0</v>
      </c>
      <c r="N42" s="57">
        <f>M42/C7*10000</f>
        <v>3.016995743</v>
      </c>
      <c r="O42" s="17">
        <v>17.0</v>
      </c>
      <c r="P42" s="57">
        <f>O42/D7*10000</f>
        <v>1.841321419</v>
      </c>
      <c r="Q42" s="20">
        <v>65.0</v>
      </c>
      <c r="R42" s="57">
        <f>Q42/E7*10000</f>
        <v>6.823645506</v>
      </c>
      <c r="S42" s="56">
        <v>81.0</v>
      </c>
      <c r="T42" s="57">
        <f>S42/F7*10000</f>
        <v>8.228278868</v>
      </c>
      <c r="U42" s="56">
        <v>78.0</v>
      </c>
      <c r="V42" s="57">
        <f>U42/G7*10000</f>
        <v>7.678525723</v>
      </c>
      <c r="W42" s="56">
        <v>43.0</v>
      </c>
      <c r="X42" s="57">
        <f>W42/H7*10000</f>
        <v>4.110977265</v>
      </c>
      <c r="Y42" s="19">
        <f t="shared" ref="Y42:Z42" si="51">((M42+O42+Q42+S42)/4)</f>
        <v>47.5</v>
      </c>
      <c r="Z42" s="19">
        <f t="shared" si="51"/>
        <v>4.977560384</v>
      </c>
      <c r="AA42" s="19">
        <f t="shared" si="3"/>
        <v>79.5</v>
      </c>
      <c r="AB42" s="19">
        <f t="shared" si="4"/>
        <v>5.894751494</v>
      </c>
      <c r="AC42" s="22" t="s">
        <v>57</v>
      </c>
      <c r="AD42" s="23"/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56">
        <v>91.0</v>
      </c>
      <c r="N43" s="57">
        <f>M43/C16*10000</f>
        <v>12.61541021</v>
      </c>
      <c r="O43" s="17">
        <v>169.0</v>
      </c>
      <c r="P43" s="57">
        <f>O43/D16*10000</f>
        <v>22.48446709</v>
      </c>
      <c r="Q43" s="20">
        <v>204.0</v>
      </c>
      <c r="R43" s="57">
        <f>Q43/E16*100000</f>
        <v>262.6462901</v>
      </c>
      <c r="S43" s="56">
        <v>267.0</v>
      </c>
      <c r="T43" s="57">
        <f>S43/F16*100000</f>
        <v>333.6290595</v>
      </c>
      <c r="U43" s="56">
        <v>411.0</v>
      </c>
      <c r="V43" s="57">
        <f>U43/G16*100000</f>
        <v>519.0442514</v>
      </c>
      <c r="W43" s="56">
        <v>193.0</v>
      </c>
      <c r="X43" s="57">
        <f>W43/H16*100000</f>
        <v>235.8317652</v>
      </c>
      <c r="Y43" s="19">
        <f t="shared" ref="Y43:Z43" si="52">((M43+O43+Q43+S43)/4)</f>
        <v>182.75</v>
      </c>
      <c r="Z43" s="19">
        <f t="shared" si="52"/>
        <v>157.8438067</v>
      </c>
      <c r="AA43" s="19">
        <f t="shared" si="3"/>
        <v>339</v>
      </c>
      <c r="AB43" s="19">
        <f t="shared" si="4"/>
        <v>377.4380083</v>
      </c>
      <c r="AC43" s="22" t="s">
        <v>57</v>
      </c>
      <c r="AD43" s="23"/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86">
        <v>83.0</v>
      </c>
      <c r="N44" s="57">
        <f>M44/C7*100000</f>
        <v>92.74468394</v>
      </c>
      <c r="O44" s="17">
        <v>113.0</v>
      </c>
      <c r="P44" s="57">
        <f>O44/D7*100000</f>
        <v>122.3937178</v>
      </c>
      <c r="Q44" s="17">
        <v>129.0</v>
      </c>
      <c r="R44" s="19">
        <f>Q44/E7*100000</f>
        <v>135.4231185</v>
      </c>
      <c r="S44" s="17">
        <v>88.0</v>
      </c>
      <c r="T44" s="19">
        <f>S44/F7*100000</f>
        <v>89.39364696</v>
      </c>
      <c r="U44" s="17">
        <v>106.0</v>
      </c>
      <c r="V44" s="19">
        <f>U44/G7*100000</f>
        <v>104.3491957</v>
      </c>
      <c r="W44" s="17">
        <v>49.0</v>
      </c>
      <c r="X44" s="19">
        <f>W44/H7*100000</f>
        <v>46.84602</v>
      </c>
      <c r="Y44" s="19">
        <f t="shared" ref="Y44:Z44" si="53">((M44+O44+Q44+S44)/4)</f>
        <v>103.25</v>
      </c>
      <c r="Z44" s="19">
        <f t="shared" si="53"/>
        <v>109.9887918</v>
      </c>
      <c r="AA44" s="19">
        <f t="shared" si="3"/>
        <v>97</v>
      </c>
      <c r="AB44" s="19">
        <f t="shared" si="4"/>
        <v>75.59760786</v>
      </c>
      <c r="AC44" s="22" t="s">
        <v>57</v>
      </c>
      <c r="AD44" s="23"/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86">
        <v>889.0</v>
      </c>
      <c r="N45" s="57">
        <f>M45/M4*100</f>
        <v>99.77553311</v>
      </c>
      <c r="O45" s="17">
        <v>889.0</v>
      </c>
      <c r="P45" s="57">
        <f>O45/O4*100</f>
        <v>99.88764045</v>
      </c>
      <c r="Q45" s="17">
        <v>866.0</v>
      </c>
      <c r="R45" s="19">
        <f>Q45/Q4*100</f>
        <v>99.6547756</v>
      </c>
      <c r="S45" s="17">
        <v>843.0</v>
      </c>
      <c r="T45" s="19">
        <f>S45/S4*100</f>
        <v>100.1187648</v>
      </c>
      <c r="U45" s="17">
        <v>863.0</v>
      </c>
      <c r="V45" s="19">
        <f>U45/U4*100</f>
        <v>100.4656577</v>
      </c>
      <c r="W45" s="17">
        <v>372.0</v>
      </c>
      <c r="X45" s="19">
        <f>W45/W4*100</f>
        <v>100</v>
      </c>
      <c r="Y45" s="19">
        <f t="shared" ref="Y45:Z45" si="54">((M45+O45+Q45+S45)/4)</f>
        <v>871.75</v>
      </c>
      <c r="Z45" s="19">
        <f t="shared" si="54"/>
        <v>99.8591785</v>
      </c>
      <c r="AA45" s="19">
        <f t="shared" si="3"/>
        <v>853</v>
      </c>
      <c r="AB45" s="19">
        <f t="shared" si="4"/>
        <v>100.2328289</v>
      </c>
      <c r="AC45" s="22" t="s">
        <v>116</v>
      </c>
      <c r="AD45" s="23"/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86">
        <v>770.0</v>
      </c>
      <c r="N46" s="57">
        <f>M46/M4*100</f>
        <v>86.41975309</v>
      </c>
      <c r="O46" s="17">
        <v>805.0</v>
      </c>
      <c r="P46" s="57">
        <f>O46/O4*100</f>
        <v>90.4494382</v>
      </c>
      <c r="Q46" s="17">
        <v>808.0</v>
      </c>
      <c r="R46" s="19">
        <f>Q46/Q4*100</f>
        <v>92.98043728</v>
      </c>
      <c r="S46" s="17">
        <v>784.0</v>
      </c>
      <c r="T46" s="19">
        <f>S46/S4*100</f>
        <v>93.11163895</v>
      </c>
      <c r="U46" s="17">
        <v>819.0</v>
      </c>
      <c r="V46" s="19">
        <f>U46/U4*100</f>
        <v>95.34342258</v>
      </c>
      <c r="W46" s="17">
        <v>350.0</v>
      </c>
      <c r="X46" s="19">
        <f>W46/W4*100</f>
        <v>94.08602151</v>
      </c>
      <c r="Y46" s="19">
        <f t="shared" ref="Y46:Z46" si="55">((M46+O46+Q46+S46)/4)</f>
        <v>791.75</v>
      </c>
      <c r="Z46" s="19">
        <f t="shared" si="55"/>
        <v>90.74031688</v>
      </c>
      <c r="AA46" s="19">
        <f t="shared" si="3"/>
        <v>801.5</v>
      </c>
      <c r="AB46" s="19">
        <f t="shared" si="4"/>
        <v>94.71472204</v>
      </c>
      <c r="AC46" s="22" t="s">
        <v>116</v>
      </c>
      <c r="AD46" s="23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20">
        <v>29.0</v>
      </c>
      <c r="N47" s="19">
        <f>M47/C7*100000</f>
        <v>32.40476909</v>
      </c>
      <c r="O47" s="20">
        <v>22.0</v>
      </c>
      <c r="P47" s="19">
        <f>O47/D7*100000</f>
        <v>23.82886542</v>
      </c>
      <c r="Q47" s="20">
        <v>28.0</v>
      </c>
      <c r="R47" s="19">
        <f>Q47/E7*100000</f>
        <v>29.39416526</v>
      </c>
      <c r="S47" s="17">
        <v>26.0</v>
      </c>
      <c r="T47" s="19">
        <f>S47/F7*100000</f>
        <v>26.41175933</v>
      </c>
      <c r="U47" s="17">
        <v>25.0</v>
      </c>
      <c r="V47" s="19">
        <f>U47/G7*100000</f>
        <v>24.61065937</v>
      </c>
      <c r="W47" s="17">
        <v>12.0</v>
      </c>
      <c r="X47" s="19">
        <f>W47/H7*100000</f>
        <v>11.47249469</v>
      </c>
      <c r="Y47" s="19">
        <f t="shared" ref="Y47:Z47" si="56">((M47+O47+Q47+S47)/4)</f>
        <v>26.25</v>
      </c>
      <c r="Z47" s="19">
        <f t="shared" si="56"/>
        <v>28.00988977</v>
      </c>
      <c r="AA47" s="19">
        <f t="shared" si="3"/>
        <v>25.5</v>
      </c>
      <c r="AB47" s="19">
        <f t="shared" si="4"/>
        <v>18.04157703</v>
      </c>
      <c r="AC47" s="22" t="s">
        <v>57</v>
      </c>
      <c r="AD47" s="23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20">
        <v>11.0</v>
      </c>
      <c r="N48" s="19">
        <f>M48/C7*100000</f>
        <v>12.29146414</v>
      </c>
      <c r="O48" s="17">
        <v>17.0</v>
      </c>
      <c r="P48" s="19">
        <f>O48/D7*100000</f>
        <v>18.41321419</v>
      </c>
      <c r="Q48" s="20">
        <v>20.0</v>
      </c>
      <c r="R48" s="19">
        <f>Q48/E7*100000</f>
        <v>20.99583233</v>
      </c>
      <c r="S48" s="17">
        <v>14.0</v>
      </c>
      <c r="T48" s="19">
        <f>S48/F7*100000</f>
        <v>14.22171656</v>
      </c>
      <c r="U48" s="17">
        <v>13.0</v>
      </c>
      <c r="V48" s="19">
        <f>U48/G7*100000</f>
        <v>12.79754287</v>
      </c>
      <c r="W48" s="17">
        <v>20.0</v>
      </c>
      <c r="X48" s="19">
        <f>W48/H7*100000</f>
        <v>19.12082449</v>
      </c>
      <c r="Y48" s="19">
        <f t="shared" ref="Y48:Z48" si="57">((M48+O48+Q48+S48)/4)</f>
        <v>15.5</v>
      </c>
      <c r="Z48" s="19">
        <f t="shared" si="57"/>
        <v>16.4805568</v>
      </c>
      <c r="AA48" s="19">
        <f t="shared" si="3"/>
        <v>13.5</v>
      </c>
      <c r="AB48" s="19">
        <f t="shared" si="4"/>
        <v>15.95918368</v>
      </c>
      <c r="AC48" s="92" t="s">
        <v>28</v>
      </c>
      <c r="AD48" s="101"/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20">
        <v>12.0</v>
      </c>
      <c r="N49" s="19">
        <f>M49/C7*100000</f>
        <v>13.40886997</v>
      </c>
      <c r="O49" s="17">
        <v>8.0</v>
      </c>
      <c r="P49" s="19">
        <f>O49/D7*100000</f>
        <v>8.665041971</v>
      </c>
      <c r="Q49" s="20">
        <v>13.0</v>
      </c>
      <c r="R49" s="19">
        <f>Q49/E7*100000</f>
        <v>13.64729101</v>
      </c>
      <c r="S49" s="17">
        <v>9.0</v>
      </c>
      <c r="T49" s="19">
        <f>S49/F7*100000</f>
        <v>9.142532075</v>
      </c>
      <c r="U49" s="17">
        <v>16.0</v>
      </c>
      <c r="V49" s="19">
        <f>U49/G7*100000</f>
        <v>15.750822</v>
      </c>
      <c r="W49" s="17">
        <v>6.0</v>
      </c>
      <c r="X49" s="19">
        <f>W49/H7*100000</f>
        <v>5.736247347</v>
      </c>
      <c r="Y49" s="19">
        <f t="shared" ref="Y49:Z49" si="58">((M49+O49+Q49+S49)/4)</f>
        <v>10.5</v>
      </c>
      <c r="Z49" s="19">
        <f t="shared" si="58"/>
        <v>11.21593376</v>
      </c>
      <c r="AA49" s="19">
        <f t="shared" si="3"/>
        <v>12.5</v>
      </c>
      <c r="AB49" s="19">
        <f t="shared" si="4"/>
        <v>10.74353467</v>
      </c>
      <c r="AC49" s="92" t="s">
        <v>28</v>
      </c>
      <c r="AD49" s="101"/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20">
        <v>3.0</v>
      </c>
      <c r="N50" s="19">
        <f>M50/C7*100000</f>
        <v>3.352217492</v>
      </c>
      <c r="O50" s="20">
        <v>3.0</v>
      </c>
      <c r="P50" s="19">
        <f>O50/D7*100000</f>
        <v>3.249390739</v>
      </c>
      <c r="Q50" s="20">
        <v>5.0</v>
      </c>
      <c r="R50" s="19">
        <f>Q50/E7*100000</f>
        <v>5.248958082</v>
      </c>
      <c r="S50" s="17">
        <v>14.0</v>
      </c>
      <c r="T50" s="19">
        <f>S50/F7*100000</f>
        <v>14.22171656</v>
      </c>
      <c r="U50" s="17">
        <v>8.0</v>
      </c>
      <c r="V50" s="19">
        <f>U50/G7*100000</f>
        <v>7.875410998</v>
      </c>
      <c r="W50" s="17">
        <v>2.0</v>
      </c>
      <c r="X50" s="19">
        <f>W50/H7*100000</f>
        <v>1.912082449</v>
      </c>
      <c r="Y50" s="19">
        <f t="shared" ref="Y50:Z50" si="59">((M50+O50+Q50+S50)/4)</f>
        <v>6.25</v>
      </c>
      <c r="Z50" s="19">
        <f t="shared" si="59"/>
        <v>6.518070719</v>
      </c>
      <c r="AA50" s="19">
        <f t="shared" si="3"/>
        <v>11</v>
      </c>
      <c r="AB50" s="19">
        <f t="shared" si="4"/>
        <v>4.893746724</v>
      </c>
      <c r="AC50" s="22" t="s">
        <v>57</v>
      </c>
      <c r="AD50" s="23"/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20">
        <v>0.0</v>
      </c>
      <c r="N51" s="19">
        <f>M51/C7*100000</f>
        <v>0</v>
      </c>
      <c r="O51" s="20">
        <v>1.0</v>
      </c>
      <c r="P51" s="19">
        <f>O51/D7*100000</f>
        <v>1.083130246</v>
      </c>
      <c r="Q51" s="20">
        <v>2.0</v>
      </c>
      <c r="R51" s="19">
        <f>Q51/E7*100000</f>
        <v>2.099583233</v>
      </c>
      <c r="S51" s="17">
        <v>9.0</v>
      </c>
      <c r="T51" s="19">
        <f>S51/F7*100000</f>
        <v>9.142532075</v>
      </c>
      <c r="U51" s="17">
        <v>1.0</v>
      </c>
      <c r="V51" s="19">
        <f>U51/G7*100000</f>
        <v>0.9844263748</v>
      </c>
      <c r="W51" s="17">
        <v>1.0</v>
      </c>
      <c r="X51" s="19">
        <f>W51/H7*100000</f>
        <v>0.9560412245</v>
      </c>
      <c r="Y51" s="19">
        <f t="shared" ref="Y51:Z51" si="60">((M51+O51+Q51+S51)/4)</f>
        <v>3</v>
      </c>
      <c r="Z51" s="19">
        <f t="shared" si="60"/>
        <v>3.081311389</v>
      </c>
      <c r="AA51" s="19">
        <f t="shared" si="3"/>
        <v>5</v>
      </c>
      <c r="AB51" s="19">
        <f t="shared" si="4"/>
        <v>0.9702337996</v>
      </c>
      <c r="AC51" s="22" t="s">
        <v>57</v>
      </c>
      <c r="AD51" s="23"/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20">
        <v>6.0</v>
      </c>
      <c r="N52" s="19">
        <f>M52/C7*100000</f>
        <v>6.704434984</v>
      </c>
      <c r="O52" s="20">
        <v>4.0</v>
      </c>
      <c r="P52" s="19">
        <f>O52/D7*100000</f>
        <v>4.332520986</v>
      </c>
      <c r="Q52" s="20">
        <v>15.0</v>
      </c>
      <c r="R52" s="19">
        <f>Q52/E7*100000</f>
        <v>15.74687425</v>
      </c>
      <c r="S52" s="17">
        <v>26.0</v>
      </c>
      <c r="T52" s="19">
        <f>S52/F7*100000</f>
        <v>26.41175933</v>
      </c>
      <c r="U52" s="17">
        <v>15.0</v>
      </c>
      <c r="V52" s="19">
        <f>U52/G7*100000</f>
        <v>14.76639562</v>
      </c>
      <c r="W52" s="17">
        <v>4.0</v>
      </c>
      <c r="X52" s="19">
        <f>W52/H7*100000</f>
        <v>3.824164898</v>
      </c>
      <c r="Y52" s="19">
        <f t="shared" ref="Y52:Z52" si="61">((M52+O52+Q52+S52)/4)</f>
        <v>12.75</v>
      </c>
      <c r="Z52" s="19">
        <f t="shared" si="61"/>
        <v>13.29889739</v>
      </c>
      <c r="AA52" s="19">
        <f t="shared" si="3"/>
        <v>20.5</v>
      </c>
      <c r="AB52" s="19">
        <f t="shared" si="4"/>
        <v>9.29528026</v>
      </c>
      <c r="AC52" s="22" t="s">
        <v>57</v>
      </c>
      <c r="AD52" s="23"/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20">
        <v>1.0</v>
      </c>
      <c r="N53" s="19">
        <f>M53/C17*100000</f>
        <v>3.561126741</v>
      </c>
      <c r="O53" s="20">
        <v>0.0</v>
      </c>
      <c r="P53" s="19">
        <f>O53/D17*100000</f>
        <v>0</v>
      </c>
      <c r="Q53" s="20">
        <v>2.0</v>
      </c>
      <c r="R53" s="19">
        <f>Q53/E17*100000</f>
        <v>6.797634423</v>
      </c>
      <c r="S53" s="17">
        <v>2.0</v>
      </c>
      <c r="T53" s="19">
        <f>S53/F17*100000</f>
        <v>6.679357446</v>
      </c>
      <c r="U53" s="17">
        <v>0.0</v>
      </c>
      <c r="V53" s="19">
        <f>U53/G17*100000</f>
        <v>0</v>
      </c>
      <c r="W53" s="17">
        <v>1.0</v>
      </c>
      <c r="X53" s="19">
        <f>W53/H17*100000</f>
        <v>3.506926179</v>
      </c>
      <c r="Y53" s="19">
        <f t="shared" ref="Y53:Z53" si="62">((M53+O53+Q53+S53)/4)</f>
        <v>1.25</v>
      </c>
      <c r="Z53" s="19">
        <f t="shared" si="62"/>
        <v>4.259529652</v>
      </c>
      <c r="AA53" s="19">
        <f t="shared" si="3"/>
        <v>1</v>
      </c>
      <c r="AB53" s="19">
        <f t="shared" si="4"/>
        <v>1.75346309</v>
      </c>
      <c r="AC53" s="92" t="s">
        <v>28</v>
      </c>
      <c r="AD53" s="101"/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20">
        <v>2.0</v>
      </c>
      <c r="N54" s="19">
        <f>M54/C19*100000</f>
        <v>3.450357975</v>
      </c>
      <c r="O54" s="20">
        <v>0.0</v>
      </c>
      <c r="P54" s="19">
        <f>O54/D19*100000</f>
        <v>0</v>
      </c>
      <c r="Q54" s="20">
        <v>2.0</v>
      </c>
      <c r="R54" s="19">
        <f>Q54/E19*100000</f>
        <v>3.200460866</v>
      </c>
      <c r="S54" s="17">
        <v>0.0</v>
      </c>
      <c r="T54" s="19">
        <f>S54/F19*100000</f>
        <v>0</v>
      </c>
      <c r="U54" s="17">
        <v>0.0</v>
      </c>
      <c r="V54" s="19">
        <f>U54/G19*100000</f>
        <v>0</v>
      </c>
      <c r="W54" s="17">
        <v>1.0</v>
      </c>
      <c r="X54" s="19">
        <f>W54/H19*100000</f>
        <v>1.491468798</v>
      </c>
      <c r="Y54" s="19">
        <f t="shared" ref="Y54:Z54" si="63">((M54+O54+Q54+S54)/4)</f>
        <v>1</v>
      </c>
      <c r="Z54" s="19">
        <f t="shared" si="63"/>
        <v>1.66270471</v>
      </c>
      <c r="AA54" s="19">
        <f t="shared" si="3"/>
        <v>0</v>
      </c>
      <c r="AB54" s="19">
        <f t="shared" si="4"/>
        <v>0.7457343992</v>
      </c>
      <c r="AC54" s="92" t="s">
        <v>28</v>
      </c>
      <c r="AD54" s="101"/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20">
        <v>33.0</v>
      </c>
      <c r="N55" s="19">
        <f>M55/C19*100000</f>
        <v>56.93090658</v>
      </c>
      <c r="O55" s="20">
        <v>35.0</v>
      </c>
      <c r="P55" s="19">
        <f>O55/D19*100000</f>
        <v>57.88568404</v>
      </c>
      <c r="Q55" s="20">
        <v>33.0</v>
      </c>
      <c r="R55" s="19">
        <f>Q55/E19*100000</f>
        <v>52.8076043</v>
      </c>
      <c r="S55" s="17">
        <v>38.0</v>
      </c>
      <c r="T55" s="19">
        <f>S55/F19*100000</f>
        <v>60.14942383</v>
      </c>
      <c r="U55" s="17">
        <v>36.0</v>
      </c>
      <c r="V55" s="19">
        <f>U55/G19*100000</f>
        <v>55.41274801</v>
      </c>
      <c r="W55" s="17">
        <v>20.0</v>
      </c>
      <c r="X55" s="19">
        <f>W55/H19*100000</f>
        <v>29.82937597</v>
      </c>
      <c r="Y55" s="19">
        <f t="shared" ref="Y55:Z55" si="64">((M55+O55+Q55+S55)/4)</f>
        <v>34.75</v>
      </c>
      <c r="Z55" s="19">
        <f t="shared" si="64"/>
        <v>56.94340469</v>
      </c>
      <c r="AA55" s="19">
        <f t="shared" si="3"/>
        <v>37</v>
      </c>
      <c r="AB55" s="19">
        <f t="shared" si="4"/>
        <v>42.62106199</v>
      </c>
      <c r="AC55" s="92" t="s">
        <v>28</v>
      </c>
      <c r="AD55" s="101"/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20">
        <v>0.0</v>
      </c>
      <c r="N56" s="19">
        <f>M56/C7*100000</f>
        <v>0</v>
      </c>
      <c r="O56" s="20">
        <v>0.0</v>
      </c>
      <c r="P56" s="19">
        <f>O56/D7*100000</f>
        <v>0</v>
      </c>
      <c r="Q56" s="20">
        <v>0.0</v>
      </c>
      <c r="R56" s="19">
        <f>Q56/E7*100000</f>
        <v>0</v>
      </c>
      <c r="S56" s="17">
        <v>0.0</v>
      </c>
      <c r="T56" s="19">
        <f>S56/F7*100000</f>
        <v>0</v>
      </c>
      <c r="U56" s="17">
        <v>0.0</v>
      </c>
      <c r="V56" s="19">
        <f>U56/G7*100000</f>
        <v>0</v>
      </c>
      <c r="W56" s="17">
        <v>0.0</v>
      </c>
      <c r="X56" s="19">
        <f>W56/H7*100000</f>
        <v>0</v>
      </c>
      <c r="Y56" s="19">
        <f t="shared" ref="Y56:Z56" si="65">((M56+O56+Q56+S56)/4)</f>
        <v>0</v>
      </c>
      <c r="Z56" s="19">
        <f t="shared" si="65"/>
        <v>0</v>
      </c>
      <c r="AA56" s="19">
        <f t="shared" si="3"/>
        <v>0</v>
      </c>
      <c r="AB56" s="19">
        <f t="shared" si="4"/>
        <v>0</v>
      </c>
      <c r="AC56" s="92" t="s">
        <v>28</v>
      </c>
      <c r="AD56" s="101"/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20">
        <v>0.0</v>
      </c>
      <c r="N57" s="19">
        <f>M57/M4*100000</f>
        <v>0</v>
      </c>
      <c r="O57" s="20">
        <v>0.0</v>
      </c>
      <c r="P57" s="19">
        <f>O57/O4*100000</f>
        <v>0</v>
      </c>
      <c r="Q57" s="20">
        <v>0.0</v>
      </c>
      <c r="R57" s="19">
        <f>Q57/Q4*100000</f>
        <v>0</v>
      </c>
      <c r="S57" s="17">
        <v>0.0</v>
      </c>
      <c r="T57" s="19">
        <f>S57/S4*100000</f>
        <v>0</v>
      </c>
      <c r="U57" s="17">
        <v>0.0</v>
      </c>
      <c r="V57" s="19">
        <f>U57/U4*100000</f>
        <v>0</v>
      </c>
      <c r="W57" s="17">
        <v>0.0</v>
      </c>
      <c r="X57" s="19">
        <f>W57/W4*100000</f>
        <v>0</v>
      </c>
      <c r="Y57" s="19">
        <f t="shared" ref="Y57:Z57" si="66">((M57+O57+Q57+S57)/4)</f>
        <v>0</v>
      </c>
      <c r="Z57" s="19">
        <f t="shared" si="66"/>
        <v>0</v>
      </c>
      <c r="AA57" s="19">
        <f t="shared" si="3"/>
        <v>0</v>
      </c>
      <c r="AB57" s="19">
        <f t="shared" si="4"/>
        <v>0</v>
      </c>
      <c r="AC57" s="22" t="s">
        <v>57</v>
      </c>
      <c r="AD57" s="23"/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86">
        <v>83.0</v>
      </c>
      <c r="N58" s="57">
        <f>M58/C7*100000</f>
        <v>92.74468394</v>
      </c>
      <c r="O58" s="86">
        <v>91.0</v>
      </c>
      <c r="P58" s="57">
        <f>O58/D7*100000</f>
        <v>98.56485242</v>
      </c>
      <c r="Q58" s="86">
        <v>118.0</v>
      </c>
      <c r="R58" s="57">
        <f>Q58/E7*100000</f>
        <v>123.8754107</v>
      </c>
      <c r="S58" s="56">
        <v>105.0</v>
      </c>
      <c r="T58" s="57">
        <f>S58/F7*100000</f>
        <v>106.6628742</v>
      </c>
      <c r="U58" s="56">
        <v>100.0</v>
      </c>
      <c r="V58" s="57">
        <f>U58/G7*100000</f>
        <v>98.44263748</v>
      </c>
      <c r="W58" s="56">
        <v>48.0</v>
      </c>
      <c r="X58" s="57">
        <f>W58/H7*100000</f>
        <v>45.88997878</v>
      </c>
      <c r="Y58" s="19">
        <f t="shared" ref="Y58:Z58" si="67">((M58+O58+Q58+S58)/4)</f>
        <v>99.25</v>
      </c>
      <c r="Z58" s="19">
        <f t="shared" si="67"/>
        <v>105.4619553</v>
      </c>
      <c r="AA58" s="19">
        <f t="shared" si="3"/>
        <v>102.5</v>
      </c>
      <c r="AB58" s="19">
        <f t="shared" si="4"/>
        <v>72.16630813</v>
      </c>
      <c r="AC58" s="92" t="s">
        <v>28</v>
      </c>
      <c r="AD58" s="101"/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86">
        <v>0.0</v>
      </c>
      <c r="N59" s="57">
        <f>M59/C7*100000</f>
        <v>0</v>
      </c>
      <c r="O59" s="86">
        <v>1.0</v>
      </c>
      <c r="P59" s="57">
        <f>O59/D7*100000</f>
        <v>1.083130246</v>
      </c>
      <c r="Q59" s="86">
        <v>0.0</v>
      </c>
      <c r="R59" s="57">
        <f>Q59/E7*100000</f>
        <v>0</v>
      </c>
      <c r="S59" s="97">
        <v>1.0</v>
      </c>
      <c r="T59" s="98">
        <f>S59/F7*100000</f>
        <v>1.015836897</v>
      </c>
      <c r="U59" s="97">
        <v>0.0</v>
      </c>
      <c r="V59" s="98">
        <f>U59/G7*100000</f>
        <v>0</v>
      </c>
      <c r="W59" s="97">
        <v>0.0</v>
      </c>
      <c r="X59" s="98">
        <f>W59/H7*100000</f>
        <v>0</v>
      </c>
      <c r="Y59" s="99">
        <f t="shared" ref="Y59:Z59" si="68">((M59+O59+Q59+S59)/4)</f>
        <v>0.5</v>
      </c>
      <c r="Z59" s="99">
        <f t="shared" si="68"/>
        <v>0.5247417859</v>
      </c>
      <c r="AA59" s="19">
        <f t="shared" si="3"/>
        <v>0.5</v>
      </c>
      <c r="AB59" s="19">
        <f t="shared" si="4"/>
        <v>0</v>
      </c>
      <c r="AC59" s="100" t="s">
        <v>28</v>
      </c>
      <c r="AD59" s="101"/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86">
        <v>0.0</v>
      </c>
      <c r="N60" s="57">
        <f>M60/C17*100000</f>
        <v>0</v>
      </c>
      <c r="O60" s="86">
        <v>8.0</v>
      </c>
      <c r="P60" s="57">
        <f>O60/D17*100000</f>
        <v>27.73155851</v>
      </c>
      <c r="Q60" s="86">
        <v>5.0</v>
      </c>
      <c r="R60" s="57">
        <f>Q60/E17*100000</f>
        <v>16.99408606</v>
      </c>
      <c r="S60" s="56">
        <v>6.0</v>
      </c>
      <c r="T60" s="57">
        <f>S60/F17*100000</f>
        <v>20.03807234</v>
      </c>
      <c r="U60" s="56">
        <v>5.0</v>
      </c>
      <c r="V60" s="57">
        <f>U60/G17*100000</f>
        <v>17.79549418</v>
      </c>
      <c r="W60" s="56">
        <v>6.0</v>
      </c>
      <c r="X60" s="57">
        <f>W60/H17*100000</f>
        <v>21.04155708</v>
      </c>
      <c r="Y60" s="99">
        <f>((M60+O60+Q60+S60)/4)</f>
        <v>4.75</v>
      </c>
      <c r="Z60" s="99">
        <f>((N60+P60+R60+T60)/1)</f>
        <v>64.76371691</v>
      </c>
      <c r="AA60" s="19">
        <f t="shared" si="3"/>
        <v>5.5</v>
      </c>
      <c r="AB60" s="19">
        <f t="shared" si="4"/>
        <v>19.41852563</v>
      </c>
      <c r="AC60" s="92" t="s">
        <v>57</v>
      </c>
      <c r="AD60" s="101"/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86">
        <v>782.0</v>
      </c>
      <c r="N61" s="57">
        <f>M61/C15*1000</f>
        <v>110.0943263</v>
      </c>
      <c r="O61" s="86">
        <v>529.0</v>
      </c>
      <c r="P61" s="57">
        <f>O61/D15*1000</f>
        <v>72.27763356</v>
      </c>
      <c r="Q61" s="86">
        <v>1117.0</v>
      </c>
      <c r="R61" s="57">
        <f>Q61/E15*1000</f>
        <v>149.8926463</v>
      </c>
      <c r="S61" s="56">
        <v>695.0</v>
      </c>
      <c r="T61" s="57">
        <f>S61/F15*1000</f>
        <v>102.1908543</v>
      </c>
      <c r="U61" s="56">
        <v>1064.0</v>
      </c>
      <c r="V61" s="57">
        <f>U61/G15*1000</f>
        <v>155.9202814</v>
      </c>
      <c r="W61" s="56">
        <v>554.0</v>
      </c>
      <c r="X61" s="57">
        <f>W61/H23*1000</f>
        <v>66.75503073</v>
      </c>
      <c r="Y61" s="99">
        <f t="shared" ref="Y61:Z61" si="69">((M61+O61+Q61+S61)/1)</f>
        <v>3123</v>
      </c>
      <c r="Z61" s="99">
        <f t="shared" si="69"/>
        <v>434.4554605</v>
      </c>
      <c r="AA61" s="19">
        <f t="shared" si="3"/>
        <v>879.5</v>
      </c>
      <c r="AB61" s="19">
        <f t="shared" si="4"/>
        <v>111.337656</v>
      </c>
      <c r="AC61" s="92" t="s">
        <v>57</v>
      </c>
      <c r="AD61" s="101"/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86">
        <v>1139.0</v>
      </c>
      <c r="N62" s="57">
        <f>M62/C15*1000</f>
        <v>160.3547797</v>
      </c>
      <c r="O62" s="86">
        <v>1812.0</v>
      </c>
      <c r="P62" s="57">
        <f>O62/D15*1000</f>
        <v>247.5748053</v>
      </c>
      <c r="Q62" s="86">
        <v>4659.0</v>
      </c>
      <c r="R62" s="57">
        <f>Q62/E15*1000</f>
        <v>625.2012882</v>
      </c>
      <c r="S62" s="56">
        <v>4530.0</v>
      </c>
      <c r="T62" s="57">
        <f>S62/F15*1000</f>
        <v>666.0785179</v>
      </c>
      <c r="U62" s="56">
        <v>4923.0</v>
      </c>
      <c r="V62" s="57">
        <f>U62/G15*1000</f>
        <v>721.4243845</v>
      </c>
      <c r="W62" s="56">
        <v>2175.0</v>
      </c>
      <c r="X62" s="57">
        <f>W62/H15*1000</f>
        <v>318.4014054</v>
      </c>
      <c r="Y62" s="99">
        <f t="shared" ref="Y62:Z62" si="70">((M62+O62+Q62+S62)/1)</f>
        <v>12140</v>
      </c>
      <c r="Z62" s="99">
        <f t="shared" si="70"/>
        <v>1699.209391</v>
      </c>
      <c r="AA62" s="19">
        <f t="shared" si="3"/>
        <v>4726.5</v>
      </c>
      <c r="AB62" s="19">
        <f t="shared" si="4"/>
        <v>519.9128949</v>
      </c>
      <c r="AC62" s="92" t="s">
        <v>57</v>
      </c>
      <c r="AD62" s="101"/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86">
        <v>5.0</v>
      </c>
      <c r="N63" s="57">
        <f>M63/C17*100000</f>
        <v>17.8056337</v>
      </c>
      <c r="O63" s="86">
        <v>10.0</v>
      </c>
      <c r="P63" s="57">
        <f>O63/D17*100000</f>
        <v>34.66444814</v>
      </c>
      <c r="Q63" s="86">
        <v>9.0</v>
      </c>
      <c r="R63" s="57">
        <f>Q63/E17*100000</f>
        <v>30.5893549</v>
      </c>
      <c r="S63" s="56">
        <v>15.0</v>
      </c>
      <c r="T63" s="57">
        <f>S63/F17*100000</f>
        <v>50.09518084</v>
      </c>
      <c r="U63" s="56">
        <v>34.0</v>
      </c>
      <c r="V63" s="57">
        <f>U63/G17*100000</f>
        <v>121.0093604</v>
      </c>
      <c r="W63" s="56">
        <v>17.0</v>
      </c>
      <c r="X63" s="57">
        <f>W63/H17*100000</f>
        <v>59.61774505</v>
      </c>
      <c r="Y63" s="99">
        <f t="shared" ref="Y63:Z63" si="71">((M63+O63+Q63+S63)/1)</f>
        <v>39</v>
      </c>
      <c r="Z63" s="99">
        <f t="shared" si="71"/>
        <v>133.1546176</v>
      </c>
      <c r="AA63" s="19">
        <f t="shared" si="3"/>
        <v>24.5</v>
      </c>
      <c r="AB63" s="19">
        <f t="shared" si="4"/>
        <v>90.31355274</v>
      </c>
      <c r="AC63" s="92" t="s">
        <v>57</v>
      </c>
      <c r="AD63" s="101"/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86">
        <v>1.0</v>
      </c>
      <c r="N64" s="57">
        <f>M64/C17*100000</f>
        <v>3.561126741</v>
      </c>
      <c r="O64" s="86">
        <v>1.0</v>
      </c>
      <c r="P64" s="57">
        <f>O64/D17*100000</f>
        <v>3.466444814</v>
      </c>
      <c r="Q64" s="86">
        <v>0.0</v>
      </c>
      <c r="R64" s="57">
        <f>Q64/E17*100000</f>
        <v>0</v>
      </c>
      <c r="S64" s="56">
        <v>2.0</v>
      </c>
      <c r="T64" s="57">
        <f>S64/F17*100000</f>
        <v>6.679357446</v>
      </c>
      <c r="U64" s="57">
        <v>0.0</v>
      </c>
      <c r="V64" s="57">
        <f>U64/G17*100000</f>
        <v>0</v>
      </c>
      <c r="W64" s="56">
        <v>1.0</v>
      </c>
      <c r="X64" s="57">
        <f>W64/H17*100000</f>
        <v>3.506926179</v>
      </c>
      <c r="Y64" s="99">
        <f t="shared" ref="Y64:Z64" si="72">((M64+O64+Q64+S64)/1)</f>
        <v>4</v>
      </c>
      <c r="Z64" s="99">
        <f t="shared" si="72"/>
        <v>13.706929</v>
      </c>
      <c r="AA64" s="19">
        <f t="shared" si="3"/>
        <v>1</v>
      </c>
      <c r="AB64" s="19">
        <f t="shared" si="4"/>
        <v>1.75346309</v>
      </c>
      <c r="AC64" s="92" t="s">
        <v>136</v>
      </c>
      <c r="AD64" s="101"/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86">
        <v>8.0</v>
      </c>
      <c r="N65" s="57">
        <f>M65/C17*100000</f>
        <v>28.48901392</v>
      </c>
      <c r="O65" s="86">
        <v>6.0</v>
      </c>
      <c r="P65" s="57">
        <f>O65/D17*100000</f>
        <v>20.79866889</v>
      </c>
      <c r="Q65" s="86">
        <v>20.0</v>
      </c>
      <c r="R65" s="57">
        <f>Q65/E17*100000</f>
        <v>67.97634423</v>
      </c>
      <c r="S65" s="86">
        <v>37.0</v>
      </c>
      <c r="T65" s="57">
        <f>S65/F17*100000</f>
        <v>123.5681127</v>
      </c>
      <c r="U65" s="86">
        <v>50.0</v>
      </c>
      <c r="V65" s="57">
        <f>U65/G17*100000</f>
        <v>177.9549418</v>
      </c>
      <c r="W65" s="56">
        <v>27.0</v>
      </c>
      <c r="X65" s="57">
        <f>W65/H17*100000</f>
        <v>94.68700684</v>
      </c>
      <c r="Y65" s="99">
        <f t="shared" ref="Y65:Z65" si="73">((M65+O65+Q65+S65)/1)</f>
        <v>71</v>
      </c>
      <c r="Z65" s="99">
        <f t="shared" si="73"/>
        <v>240.8321398</v>
      </c>
      <c r="AA65" s="19">
        <f t="shared" si="3"/>
        <v>43.5</v>
      </c>
      <c r="AB65" s="19">
        <f t="shared" si="4"/>
        <v>136.3209743</v>
      </c>
      <c r="AC65" s="92" t="s">
        <v>57</v>
      </c>
      <c r="AD65" s="101"/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86">
        <v>11.0</v>
      </c>
      <c r="N66" s="57">
        <f>M66/C17*100000</f>
        <v>39.17239415</v>
      </c>
      <c r="O66" s="86">
        <v>9.0</v>
      </c>
      <c r="P66" s="57">
        <f>O66/D17*100000</f>
        <v>31.19800333</v>
      </c>
      <c r="Q66" s="86">
        <v>18.0</v>
      </c>
      <c r="R66" s="57">
        <f>Q66/E17*100000</f>
        <v>61.17870981</v>
      </c>
      <c r="S66" s="86">
        <v>68.0</v>
      </c>
      <c r="T66" s="57">
        <f>S66/F17*100000</f>
        <v>227.0981532</v>
      </c>
      <c r="U66" s="86">
        <v>98.0</v>
      </c>
      <c r="V66" s="57">
        <f>U66/G17*100000</f>
        <v>348.7916859</v>
      </c>
      <c r="W66" s="56">
        <v>53.0</v>
      </c>
      <c r="X66" s="57">
        <f>W66/H17*100000</f>
        <v>185.8670875</v>
      </c>
      <c r="Y66" s="99">
        <f t="shared" ref="Y66:Z66" si="74">((M66+O66+Q66+S66)/1)</f>
        <v>106</v>
      </c>
      <c r="Z66" s="99">
        <f t="shared" si="74"/>
        <v>358.6472604</v>
      </c>
      <c r="AA66" s="19">
        <f t="shared" si="3"/>
        <v>83</v>
      </c>
      <c r="AB66" s="19">
        <f t="shared" si="4"/>
        <v>267.3293867</v>
      </c>
      <c r="AC66" s="92" t="s">
        <v>57</v>
      </c>
      <c r="AD66" s="101"/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86">
        <v>11.0</v>
      </c>
      <c r="N67" s="57">
        <f>M67/C17*100000</f>
        <v>39.17239415</v>
      </c>
      <c r="O67" s="86">
        <v>10.0</v>
      </c>
      <c r="P67" s="57">
        <f>O67/D17*100000</f>
        <v>34.66444814</v>
      </c>
      <c r="Q67" s="86">
        <v>13.0</v>
      </c>
      <c r="R67" s="57">
        <f>Q67/E17*100000</f>
        <v>44.18462375</v>
      </c>
      <c r="S67" s="86">
        <v>10.0</v>
      </c>
      <c r="T67" s="57">
        <f>S67/F17*100000</f>
        <v>33.39678723</v>
      </c>
      <c r="U67" s="86">
        <v>12.0</v>
      </c>
      <c r="V67" s="57">
        <f>U67/G17*100000</f>
        <v>42.70918603</v>
      </c>
      <c r="W67" s="56">
        <v>5.0</v>
      </c>
      <c r="X67" s="57">
        <f>W67/H17*100000</f>
        <v>17.5346309</v>
      </c>
      <c r="Y67" s="99">
        <f t="shared" ref="Y67:Z67" si="75">((M67+O67+Q67+S67)/1)</f>
        <v>44</v>
      </c>
      <c r="Z67" s="99">
        <f t="shared" si="75"/>
        <v>151.4182533</v>
      </c>
      <c r="AA67" s="19">
        <f t="shared" si="3"/>
        <v>11</v>
      </c>
      <c r="AB67" s="19">
        <f t="shared" si="4"/>
        <v>30.12190847</v>
      </c>
      <c r="AC67" s="92" t="s">
        <v>57</v>
      </c>
      <c r="AD67" s="101"/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86">
        <v>0.0</v>
      </c>
      <c r="N68" s="57">
        <f>M68/C11*100000</f>
        <v>0</v>
      </c>
      <c r="O68" s="86">
        <v>19.0</v>
      </c>
      <c r="P68" s="57">
        <f>O68/D11*100000</f>
        <v>37.7673531</v>
      </c>
      <c r="Q68" s="86">
        <v>31.0</v>
      </c>
      <c r="R68" s="57">
        <f>Q68/E11*100000</f>
        <v>59.72104493</v>
      </c>
      <c r="S68" s="86">
        <v>18.0</v>
      </c>
      <c r="T68" s="57">
        <f>S68/F11*100000</f>
        <v>33.71165299</v>
      </c>
      <c r="U68" s="86">
        <v>19.0</v>
      </c>
      <c r="V68" s="57">
        <f>U68/G11*100000</f>
        <v>35.86529749</v>
      </c>
      <c r="W68" s="56">
        <v>19.0</v>
      </c>
      <c r="X68" s="57">
        <f>W68/H11*100000</f>
        <v>34.82851539</v>
      </c>
      <c r="Y68" s="99">
        <f t="shared" ref="Y68:Z68" si="76">((M68+O68+Q68+S68)/2)</f>
        <v>34</v>
      </c>
      <c r="Z68" s="99">
        <f t="shared" si="76"/>
        <v>65.60002551</v>
      </c>
      <c r="AA68" s="19">
        <f t="shared" si="3"/>
        <v>18.5</v>
      </c>
      <c r="AB68" s="19">
        <f t="shared" si="4"/>
        <v>35.34690644</v>
      </c>
      <c r="AC68" s="92" t="s">
        <v>57</v>
      </c>
      <c r="AD68" s="10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86">
        <v>0.0</v>
      </c>
      <c r="N69" s="57">
        <f>M69/C11*100000</f>
        <v>0</v>
      </c>
      <c r="O69" s="86">
        <v>20.0</v>
      </c>
      <c r="P69" s="57">
        <f>O69/D11*100000</f>
        <v>39.75510853</v>
      </c>
      <c r="Q69" s="86">
        <v>35.0</v>
      </c>
      <c r="R69" s="57">
        <f>Q69/E11*100000</f>
        <v>67.42698621</v>
      </c>
      <c r="S69" s="86">
        <v>37.0</v>
      </c>
      <c r="T69" s="57">
        <f>S69/F11*100000</f>
        <v>69.2961756</v>
      </c>
      <c r="U69" s="86">
        <v>19.0</v>
      </c>
      <c r="V69" s="57">
        <f>U69/G11*100000</f>
        <v>35.86529749</v>
      </c>
      <c r="W69" s="56">
        <v>10.0</v>
      </c>
      <c r="X69" s="57">
        <f>W69/H11*100000</f>
        <v>18.33079757</v>
      </c>
      <c r="Y69" s="19">
        <f t="shared" ref="Y69:Z69" si="77">((M69+O69+Q69+S69)/2)</f>
        <v>46</v>
      </c>
      <c r="Z69" s="19">
        <f t="shared" si="77"/>
        <v>88.23913517</v>
      </c>
      <c r="AA69" s="19">
        <f t="shared" si="3"/>
        <v>28</v>
      </c>
      <c r="AB69" s="19">
        <f t="shared" si="4"/>
        <v>27.09804753</v>
      </c>
      <c r="AC69" s="92" t="s">
        <v>57</v>
      </c>
      <c r="AD69" s="10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04">
        <v>9.0</v>
      </c>
      <c r="N70" s="98">
        <f>M70/C7*100000</f>
        <v>10.05665248</v>
      </c>
      <c r="O70" s="104">
        <v>13.0</v>
      </c>
      <c r="P70" s="98">
        <f>O70/D7*100000</f>
        <v>14.0806932</v>
      </c>
      <c r="Q70" s="104">
        <v>17.0</v>
      </c>
      <c r="R70" s="98">
        <f>Q70/E7*100000</f>
        <v>17.84645748</v>
      </c>
      <c r="S70" s="104">
        <v>12.0</v>
      </c>
      <c r="T70" s="98">
        <f>S70/F7*100000</f>
        <v>12.19004277</v>
      </c>
      <c r="U70" s="104">
        <v>10.0</v>
      </c>
      <c r="V70" s="98">
        <f>U70/G7*100000</f>
        <v>9.844263748</v>
      </c>
      <c r="W70" s="97">
        <v>4.0</v>
      </c>
      <c r="X70" s="98">
        <f>W70/H7*100000</f>
        <v>3.824164898</v>
      </c>
      <c r="Y70" s="99">
        <f t="shared" ref="Y70:Z70" si="78">((M70+O70+Q70+S70)/1)</f>
        <v>51</v>
      </c>
      <c r="Z70" s="99">
        <f t="shared" si="78"/>
        <v>54.17384592</v>
      </c>
      <c r="AA70" s="99">
        <f t="shared" si="3"/>
        <v>11</v>
      </c>
      <c r="AB70" s="99">
        <f t="shared" si="4"/>
        <v>6.834214323</v>
      </c>
      <c r="AC70" s="105" t="s">
        <v>28</v>
      </c>
      <c r="AD70" s="23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  <c r="AD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  <c r="AD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  <c r="AD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  <c r="AD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  <c r="AD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  <c r="AD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  <c r="AD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  <c r="AD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  <c r="AD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  <c r="AD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  <c r="AD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  <c r="AD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  <c r="AD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  <c r="AD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  <c r="AD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  <c r="AD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  <c r="AD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  <c r="AD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  <c r="AD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  <c r="AD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  <c r="AD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  <c r="AD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  <c r="AD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  <c r="AD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  <c r="AD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  <c r="AD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  <c r="AD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  <c r="AD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  <c r="AD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  <c r="AD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  <c r="AD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  <c r="AD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  <c r="AD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  <c r="AD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  <c r="AD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  <c r="AD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  <c r="AD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  <c r="AD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  <c r="AD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  <c r="AD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  <c r="AD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  <c r="AD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  <c r="AD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  <c r="AD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  <c r="AD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  <c r="AD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  <c r="AD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  <c r="AD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  <c r="AD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  <c r="AD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  <c r="AD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  <c r="AD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  <c r="AD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  <c r="AD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  <c r="AD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  <c r="AD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  <c r="AD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  <c r="AD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  <c r="AD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  <c r="AD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  <c r="AD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  <c r="AD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  <c r="AD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  <c r="AD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  <c r="AD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  <c r="AD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  <c r="AD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  <c r="AD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  <c r="AD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  <c r="AD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  <c r="AD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  <c r="AD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  <c r="AD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  <c r="AD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  <c r="AD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  <c r="AD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  <c r="AD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  <c r="AD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  <c r="AD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  <c r="AD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  <c r="AD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  <c r="AD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  <c r="AD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  <c r="AD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  <c r="AD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  <c r="AD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  <c r="AD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  <c r="AD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  <c r="AD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  <c r="AD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  <c r="AD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  <c r="AD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  <c r="AD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  <c r="AD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  <c r="AD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  <c r="AD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  <c r="AD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  <c r="AD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  <c r="AD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  <c r="AD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  <c r="AD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  <c r="AD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  <c r="AD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  <c r="AD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  <c r="AD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  <c r="AD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  <c r="AD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  <c r="AD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  <c r="AD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  <c r="AD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  <c r="AD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  <c r="AD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  <c r="AD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  <c r="AD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  <c r="AD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  <c r="AD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  <c r="AD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  <c r="AD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  <c r="AD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  <c r="AD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  <c r="AD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  <c r="AD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  <c r="AD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  <c r="AD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  <c r="AD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  <c r="AD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  <c r="AD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  <c r="AD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  <c r="AD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  <c r="AD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  <c r="AD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  <c r="AD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  <c r="AD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  <c r="AD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  <c r="AD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  <c r="AD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  <c r="AD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  <c r="AD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  <c r="AD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  <c r="AD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  <c r="AD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  <c r="AD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  <c r="AD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  <c r="AD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  <c r="AD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  <c r="AD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  <c r="AD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  <c r="AD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  <c r="AD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  <c r="AD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  <c r="AD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  <c r="AD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  <c r="AD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  <c r="AD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  <c r="AD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  <c r="AD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  <c r="AD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  <c r="AD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  <c r="AD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  <c r="AD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  <c r="AD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  <c r="AD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  <c r="AD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  <c r="AD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  <c r="AD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  <c r="AD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  <c r="AD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  <c r="AD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  <c r="AD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  <c r="AD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  <c r="AD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  <c r="AD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  <c r="AD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  <c r="AD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  <c r="AD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  <c r="AD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  <c r="AD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  <c r="AD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  <c r="AD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  <c r="AD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  <c r="AD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  <c r="AD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  <c r="AD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  <c r="AD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  <c r="AD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  <c r="AD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  <c r="AD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  <c r="AD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  <c r="AD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  <c r="AD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  <c r="AD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  <c r="AD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  <c r="AD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  <c r="AD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  <c r="AD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  <c r="AD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  <c r="AD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  <c r="AD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  <c r="AD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  <c r="AD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  <c r="AD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  <c r="AD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  <c r="AD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  <c r="AD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  <c r="AD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  <c r="AD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  <c r="AD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  <c r="AD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  <c r="AD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  <c r="AD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  <c r="AD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  <c r="AD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  <c r="AD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  <c r="AD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  <c r="AD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  <c r="AD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  <c r="AD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  <c r="AD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  <c r="AD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  <c r="AD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  <c r="AD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  <c r="AD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  <c r="AD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  <c r="AD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  <c r="AD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  <c r="AD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  <c r="AD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  <c r="AD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  <c r="AD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  <c r="AD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  <c r="AD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  <c r="AD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  <c r="AD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  <c r="AD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  <c r="AD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  <c r="AD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  <c r="AD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  <c r="AD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  <c r="AD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  <c r="AD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  <c r="AD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  <c r="AD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  <c r="AD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  <c r="AD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  <c r="AD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  <c r="AD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  <c r="AD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  <c r="AD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  <c r="AD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  <c r="AD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  <c r="AD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  <c r="AD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  <c r="AD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  <c r="AD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  <c r="AD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  <c r="AD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  <c r="AD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  <c r="AD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  <c r="AD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  <c r="AD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  <c r="AD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  <c r="AD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  <c r="AD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  <c r="AD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  <c r="AD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  <c r="AD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  <c r="AD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  <c r="AD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  <c r="AD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  <c r="AD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  <c r="AD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  <c r="AD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  <c r="AD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  <c r="AD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  <c r="AD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  <c r="AD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  <c r="AD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  <c r="AD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  <c r="AD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  <c r="AD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  <c r="AD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  <c r="AD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  <c r="AD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  <c r="AD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  <c r="AD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  <c r="AD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  <c r="AD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  <c r="AD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  <c r="AD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  <c r="AD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  <c r="AD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  <c r="AD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  <c r="AD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  <c r="AD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  <c r="AD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  <c r="AD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  <c r="AD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  <c r="AD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  <c r="AD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  <c r="AD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  <c r="AD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  <c r="AD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  <c r="AD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  <c r="AD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  <c r="AD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  <c r="AD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  <c r="AD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  <c r="AD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  <c r="AD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  <c r="AD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  <c r="AD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  <c r="AD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  <c r="AD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  <c r="AD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  <c r="AD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  <c r="AD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  <c r="AD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  <c r="AD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  <c r="AD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  <c r="AD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  <c r="AD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  <c r="AD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  <c r="AD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  <c r="AD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  <c r="AD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  <c r="AD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  <c r="AD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  <c r="AD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  <c r="AD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  <c r="AD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  <c r="AD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  <c r="AD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  <c r="AD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  <c r="AD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  <c r="AD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  <c r="AD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  <c r="AD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  <c r="AD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  <c r="AD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  <c r="AD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  <c r="AD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  <c r="AD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  <c r="AD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  <c r="AD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  <c r="AD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  <c r="AD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  <c r="AD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  <c r="AD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  <c r="AD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  <c r="AD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  <c r="AD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  <c r="AD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  <c r="AD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  <c r="AD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  <c r="AD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  <c r="AD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  <c r="AD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  <c r="AD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  <c r="AD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  <c r="AD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  <c r="AD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  <c r="AD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  <c r="AD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  <c r="AD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  <c r="AD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  <c r="AD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  <c r="AD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  <c r="AD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  <c r="AD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  <c r="AD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  <c r="AD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  <c r="AD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  <c r="AD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  <c r="AD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  <c r="AD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  <c r="AD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  <c r="AD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  <c r="AD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  <c r="AD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  <c r="AD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  <c r="AD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  <c r="AD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  <c r="AD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  <c r="AD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  <c r="AD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  <c r="AD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  <c r="AD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  <c r="AD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  <c r="AD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  <c r="AD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  <c r="AD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  <c r="AD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  <c r="AD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  <c r="AD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  <c r="AD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  <c r="AD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  <c r="AD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  <c r="AD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  <c r="AD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  <c r="AD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  <c r="AD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  <c r="AD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  <c r="AD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  <c r="AD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  <c r="AD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  <c r="AD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  <c r="AD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  <c r="AD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  <c r="AD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  <c r="AD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  <c r="AD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  <c r="AD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  <c r="AD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  <c r="AD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  <c r="AD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  <c r="AD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  <c r="AD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  <c r="AD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  <c r="AD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  <c r="AD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  <c r="AD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  <c r="AD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  <c r="AD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  <c r="AD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  <c r="AD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  <c r="AD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  <c r="AD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  <c r="AD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  <c r="AD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  <c r="AD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  <c r="AD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  <c r="AD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  <c r="AD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  <c r="AD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  <c r="AD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  <c r="AD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  <c r="AD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  <c r="AD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  <c r="AD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  <c r="AD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  <c r="AD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  <c r="AD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  <c r="AD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  <c r="AD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  <c r="AD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  <c r="AD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  <c r="AD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  <c r="AD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  <c r="AD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  <c r="AD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  <c r="AD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  <c r="AD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  <c r="AD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  <c r="AD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  <c r="AD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  <c r="AD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  <c r="AD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  <c r="AD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  <c r="AD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  <c r="AD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  <c r="AD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  <c r="AD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  <c r="AD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  <c r="AD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  <c r="AD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  <c r="AD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  <c r="AD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  <c r="AD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  <c r="AD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  <c r="AD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  <c r="AD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  <c r="AD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  <c r="AD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  <c r="AD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  <c r="AD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  <c r="AD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  <c r="AD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  <c r="AD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  <c r="AD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  <c r="AD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  <c r="AD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  <c r="AD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  <c r="AD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  <c r="AD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  <c r="AD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  <c r="AD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  <c r="AD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  <c r="AD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  <c r="AD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  <c r="AD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  <c r="AD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  <c r="AD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  <c r="AD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  <c r="AD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  <c r="AD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  <c r="AD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  <c r="AD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  <c r="AD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  <c r="AD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  <c r="AD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  <c r="AD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  <c r="AD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  <c r="AD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  <c r="AD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  <c r="AD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  <c r="AD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  <c r="AD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  <c r="AD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  <c r="AD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  <c r="AD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  <c r="AD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  <c r="AD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  <c r="AD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  <c r="AD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  <c r="AD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  <c r="AD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  <c r="AD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  <c r="AD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  <c r="AD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  <c r="AD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  <c r="AD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  <c r="AD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  <c r="AD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  <c r="AD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  <c r="AD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  <c r="AD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  <c r="AD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  <c r="AD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  <c r="AD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  <c r="AD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  <c r="AD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  <c r="AD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  <c r="AD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  <c r="AD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  <c r="AD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  <c r="AD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  <c r="AD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  <c r="AD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  <c r="AD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  <c r="AD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  <c r="AD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  <c r="AD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  <c r="AD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  <c r="AD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  <c r="AD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  <c r="AD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  <c r="AD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  <c r="AD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  <c r="AD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  <c r="AD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  <c r="AD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  <c r="AD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  <c r="AD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  <c r="AD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  <c r="AD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  <c r="AD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  <c r="AD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  <c r="AD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  <c r="AD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  <c r="AD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  <c r="AD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  <c r="AD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  <c r="AD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  <c r="AD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  <c r="AD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  <c r="AD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  <c r="AD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  <c r="AD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  <c r="AD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  <c r="AD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  <c r="AD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  <c r="AD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  <c r="AD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  <c r="AD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  <c r="AD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  <c r="AD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  <c r="AD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  <c r="AD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  <c r="AD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  <c r="AD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  <c r="AD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  <c r="AD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  <c r="AD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  <c r="AD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  <c r="AD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  <c r="AD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  <c r="AD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  <c r="AD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  <c r="AD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  <c r="AD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  <c r="AD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  <c r="AD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  <c r="AD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  <c r="AD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  <c r="AD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  <c r="AD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  <c r="AD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  <c r="AD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  <c r="AD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  <c r="AD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  <c r="AD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  <c r="AD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  <c r="AD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  <c r="AD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  <c r="AD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  <c r="AD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  <c r="AD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  <c r="AD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  <c r="AD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  <c r="AD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  <c r="AD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  <c r="AD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  <c r="AD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  <c r="AD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  <c r="AD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  <c r="AD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  <c r="AD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  <c r="AD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  <c r="AD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  <c r="AD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  <c r="AD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  <c r="AD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  <c r="AD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  <c r="AD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  <c r="AD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  <c r="AD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  <c r="AD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  <c r="AD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  <c r="AD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  <c r="AD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  <c r="AD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  <c r="AD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  <c r="AD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  <c r="AD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  <c r="AD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  <c r="AD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  <c r="AD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  <c r="AD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  <c r="AD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  <c r="AD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  <c r="AD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  <c r="AD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  <c r="AD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  <c r="AD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  <c r="AD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  <c r="AD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  <c r="AD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  <c r="AD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  <c r="AD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  <c r="AD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  <c r="AD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  <c r="AD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  <c r="AD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  <c r="AD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  <c r="AD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  <c r="AD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  <c r="AD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  <c r="AD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  <c r="AD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  <c r="AD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  <c r="AD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  <c r="AD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  <c r="AD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  <c r="AD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  <c r="AD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  <c r="AD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  <c r="AD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  <c r="AD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  <c r="AD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  <c r="AD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  <c r="AD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  <c r="AD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  <c r="AD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  <c r="AD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  <c r="AD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  <c r="AD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  <c r="AD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  <c r="AD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  <c r="AD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  <c r="AD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  <c r="AD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  <c r="AD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  <c r="AD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  <c r="AD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  <c r="AD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  <c r="AD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  <c r="AD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  <c r="AD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  <c r="AD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  <c r="AD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  <c r="AD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  <c r="AD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  <c r="AD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  <c r="AD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  <c r="AD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  <c r="AD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  <c r="AD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  <c r="AD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  <c r="AD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  <c r="AD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  <c r="AD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  <c r="AD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  <c r="AD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  <c r="AD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  <c r="AD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  <c r="AD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  <c r="AD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  <c r="AD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  <c r="AD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  <c r="AD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  <c r="AD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  <c r="AD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  <c r="AD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  <c r="AD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  <c r="AD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  <c r="AD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  <c r="AD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  <c r="AD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  <c r="AD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  <c r="AD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  <c r="AD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  <c r="AD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  <c r="AD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  <c r="AD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  <c r="AD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  <c r="AD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  <c r="AD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  <c r="AD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  <c r="AD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  <c r="AD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  <c r="AD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  <c r="AD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  <c r="AD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  <c r="AD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  <c r="AD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  <c r="AD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  <c r="AD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  <c r="AD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  <c r="AD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  <c r="AD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  <c r="AD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  <c r="AD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  <c r="AD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  <c r="AD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  <c r="AD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  <c r="AD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  <c r="AD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  <c r="AD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  <c r="AD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  <c r="AD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  <c r="AD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  <c r="AD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  <c r="AD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  <c r="AD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  <c r="AD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  <c r="AD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  <c r="AD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  <c r="AD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  <c r="AD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  <c r="AD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  <c r="AD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  <c r="AD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  <c r="AD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  <c r="AD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  <c r="AD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  <c r="AD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  <c r="AD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  <c r="AD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  <c r="AD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  <c r="AD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  <c r="AD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  <c r="AD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  <c r="AD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  <c r="AD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  <c r="AD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  <c r="AD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  <c r="AD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  <c r="AD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  <c r="AD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  <c r="AD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  <c r="AD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  <c r="AD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  <c r="AD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  <c r="AD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  <c r="AD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  <c r="AD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  <c r="AD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  <c r="AD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  <c r="AD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  <c r="AD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  <c r="AD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  <c r="AD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  <c r="AD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  <c r="AD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  <c r="AD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  <c r="AD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  <c r="AD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  <c r="AD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  <c r="AD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  <c r="AD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  <c r="AD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  <c r="AD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  <c r="AD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  <c r="AD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  <c r="AD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  <c r="AD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  <c r="AD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  <c r="AD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  <c r="AD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  <c r="AD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  <c r="AD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  <c r="AD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  <c r="AD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  <c r="AD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  <c r="AD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  <c r="AD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  <c r="AD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  <c r="AD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  <c r="AD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  <c r="AD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  <c r="AD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  <c r="AD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  <c r="AD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  <c r="AD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  <c r="AD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  <c r="AD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  <c r="AD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  <c r="AD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  <c r="AD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  <c r="AD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  <c r="AD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  <c r="AD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  <c r="AD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  <c r="AD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  <c r="AD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  <c r="AD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  <c r="AD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  <c r="AD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  <c r="AD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  <c r="AD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  <c r="AD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  <c r="AD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  <c r="AD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  <c r="AD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  <c r="AD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  <c r="AD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  <c r="AD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  <c r="AD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  <c r="AD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  <c r="AD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  <c r="AD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  <c r="AD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  <c r="AD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  <c r="AD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  <c r="AD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  <c r="AD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  <c r="AD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  <c r="AD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  <c r="AD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  <c r="AD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  <c r="AD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  <c r="AD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  <c r="AD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  <c r="AD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  <c r="AD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  <c r="AD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  <c r="AD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  <c r="AD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  <c r="AD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  <c r="AD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  <c r="AD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  <c r="AD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  <c r="AD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  <c r="AD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  <c r="AD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  <c r="AD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  <c r="AD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  <c r="AD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  <c r="AD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  <c r="AD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  <c r="AD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  <c r="AD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  <c r="AD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  <c r="AD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  <c r="AD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  <c r="AD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  <c r="AD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  <c r="AD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  <c r="AD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  <c r="AD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  <c r="AD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  <c r="AD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  <c r="AD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  <c r="AD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  <c r="AD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  <c r="AD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  <c r="AD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  <c r="AD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  <c r="AD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  <c r="AD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  <c r="AD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  <c r="AD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  <c r="AD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  <c r="AD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  <c r="AD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  <c r="AD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  <c r="AD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  <c r="AD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  <c r="AD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  <c r="AD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  <c r="AD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  <c r="AD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  <c r="AD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  <c r="AD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  <c r="AD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  <c r="AD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  <c r="AD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  <c r="AD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  <c r="AD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  <c r="AD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  <c r="AD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  <c r="AD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  <c r="AD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  <c r="AD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  <c r="AD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  <c r="AD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  <c r="AD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  <c r="AD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  <c r="AD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  <c r="AD1000" s="1"/>
    </row>
  </sheetData>
  <mergeCells count="6">
    <mergeCell ref="D1:I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50.25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2" t="s">
        <v>18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7"/>
      <c r="N3" s="19" t="str">
        <f>M3/C7*1000</f>
        <v>#DIV/0!</v>
      </c>
      <c r="O3" s="17"/>
      <c r="P3" s="19" t="str">
        <f>O3/D7*1000</f>
        <v>#DIV/0!</v>
      </c>
      <c r="Q3" s="20"/>
      <c r="R3" s="19" t="str">
        <f>Q3/E7*1000</f>
        <v>#DIV/0!</v>
      </c>
      <c r="S3" s="17"/>
      <c r="T3" s="19" t="str">
        <f>S3/F7*1000</f>
        <v>#DIV/0!</v>
      </c>
      <c r="U3" s="17"/>
      <c r="V3" s="19" t="str">
        <f>U3/G7*1000</f>
        <v>#DIV/0!</v>
      </c>
      <c r="W3" s="17"/>
      <c r="X3" s="19" t="str">
        <f>W3/H7*1000</f>
        <v>#DIV/0!</v>
      </c>
      <c r="Y3" s="19">
        <f t="shared" ref="Y3:Z3" si="1">((M3+O3+Q3+S3)/4)</f>
        <v>0</v>
      </c>
      <c r="Z3" s="19" t="str">
        <f t="shared" si="1"/>
        <v>#DIV/0!</v>
      </c>
      <c r="AA3" s="19">
        <f t="shared" ref="AA3:AA70" si="3">((S3+U3)/2)</f>
        <v>0</v>
      </c>
      <c r="AB3" s="19" t="str">
        <f t="shared" ref="AB3:AB70" si="4">(V3+X3)/2</f>
        <v>#DIV/0!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7"/>
      <c r="N4" s="19" t="str">
        <f>M4/C7*1000</f>
        <v>#DIV/0!</v>
      </c>
      <c r="O4" s="17"/>
      <c r="P4" s="19" t="str">
        <f>O4/D7*1000</f>
        <v>#DIV/0!</v>
      </c>
      <c r="Q4" s="20"/>
      <c r="R4" s="19" t="str">
        <f>Q4/E7*1000</f>
        <v>#DIV/0!</v>
      </c>
      <c r="S4" s="17"/>
      <c r="T4" s="19" t="str">
        <f>S4/F7*1000</f>
        <v>#DIV/0!</v>
      </c>
      <c r="U4" s="17"/>
      <c r="V4" s="19" t="str">
        <f>U4/G7*1000</f>
        <v>#DIV/0!</v>
      </c>
      <c r="W4" s="17"/>
      <c r="X4" s="19" t="str">
        <f>W4/H7*1000</f>
        <v>#DIV/0!</v>
      </c>
      <c r="Y4" s="19">
        <f t="shared" ref="Y4:Z4" si="2">((M4+O4+Q4+S4)/4)</f>
        <v>0</v>
      </c>
      <c r="Z4" s="19" t="str">
        <f t="shared" si="2"/>
        <v>#DIV/0!</v>
      </c>
      <c r="AA4" s="19">
        <f t="shared" si="3"/>
        <v>0</v>
      </c>
      <c r="AB4" s="19" t="str">
        <f t="shared" si="4"/>
        <v>#DIV/0!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7"/>
      <c r="N5" s="19" t="str">
        <f>M5/C12*100000</f>
        <v>#DIV/0!</v>
      </c>
      <c r="O5" s="17"/>
      <c r="P5" s="19" t="str">
        <f>O5/D12*100000</f>
        <v>#DIV/0!</v>
      </c>
      <c r="Q5" s="20"/>
      <c r="R5" s="19" t="str">
        <f>Q5/E12*100000</f>
        <v>#DIV/0!</v>
      </c>
      <c r="S5" s="17"/>
      <c r="T5" s="19" t="str">
        <f>S5/F12*100000</f>
        <v>#DIV/0!</v>
      </c>
      <c r="U5" s="17"/>
      <c r="V5" s="19" t="str">
        <f>U5/G12*100000</f>
        <v>#DIV/0!</v>
      </c>
      <c r="W5" s="17"/>
      <c r="X5" s="19" t="str">
        <f>W5/H12*100000</f>
        <v>#DIV/0!</v>
      </c>
      <c r="Y5" s="19">
        <f t="shared" ref="Y5:Z5" si="5">((M5+O5+Q5+S5)/4)</f>
        <v>0</v>
      </c>
      <c r="Z5" s="19" t="str">
        <f t="shared" si="5"/>
        <v>#DIV/0!</v>
      </c>
      <c r="AA5" s="19">
        <f t="shared" si="3"/>
        <v>0</v>
      </c>
      <c r="AB5" s="19" t="str">
        <f t="shared" si="4"/>
        <v>#DIV/0!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7"/>
      <c r="N6" s="19" t="str">
        <f>M6/M4*1000</f>
        <v>#DIV/0!</v>
      </c>
      <c r="O6" s="17"/>
      <c r="P6" s="19" t="str">
        <f>O6/O4*1000</f>
        <v>#DIV/0!</v>
      </c>
      <c r="Q6" s="20"/>
      <c r="R6" s="19" t="str">
        <f>Q6/Q4*1000</f>
        <v>#DIV/0!</v>
      </c>
      <c r="S6" s="17"/>
      <c r="T6" s="19" t="str">
        <f>S6/S4*1000</f>
        <v>#DIV/0!</v>
      </c>
      <c r="U6" s="17"/>
      <c r="V6" s="19" t="str">
        <f>U6/U4*1000</f>
        <v>#DIV/0!</v>
      </c>
      <c r="W6" s="17"/>
      <c r="X6" s="19" t="str">
        <f>W6/W4*1000</f>
        <v>#DIV/0!</v>
      </c>
      <c r="Y6" s="19">
        <f t="shared" ref="Y6:Z6" si="6">((M6+O6+Q6+S6)/4)</f>
        <v>0</v>
      </c>
      <c r="Z6" s="19" t="str">
        <f t="shared" si="6"/>
        <v>#DIV/0!</v>
      </c>
      <c r="AA6" s="19">
        <f t="shared" si="3"/>
        <v>0</v>
      </c>
      <c r="AB6" s="19" t="str">
        <f t="shared" si="4"/>
        <v>#DIV/0!</v>
      </c>
      <c r="AC6" s="22" t="s">
        <v>28</v>
      </c>
    </row>
    <row r="7" ht="14.25" customHeight="1">
      <c r="A7" s="1"/>
      <c r="B7" s="32" t="s">
        <v>41</v>
      </c>
      <c r="C7" s="33"/>
      <c r="D7" s="33"/>
      <c r="E7" s="33"/>
      <c r="F7" s="34"/>
      <c r="G7" s="34"/>
      <c r="H7" s="35"/>
      <c r="I7" s="1"/>
      <c r="J7" s="1"/>
      <c r="K7" s="1"/>
      <c r="L7" s="15" t="s">
        <v>42</v>
      </c>
      <c r="M7" s="17"/>
      <c r="N7" s="36"/>
      <c r="O7" s="17"/>
      <c r="P7" s="36"/>
      <c r="Q7" s="20"/>
      <c r="R7" s="36"/>
      <c r="S7" s="17"/>
      <c r="T7" s="36"/>
      <c r="U7" s="17"/>
      <c r="V7" s="36"/>
      <c r="W7" s="17"/>
      <c r="X7" s="36"/>
      <c r="Y7" s="19">
        <f t="shared" ref="Y7:Z7" si="7">((M7+O7+Q7+S7)/4)</f>
        <v>0</v>
      </c>
      <c r="Z7" s="19">
        <f t="shared" si="7"/>
        <v>0</v>
      </c>
      <c r="AA7" s="19">
        <f t="shared" si="3"/>
        <v>0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34"/>
      <c r="D8" s="30"/>
      <c r="E8" s="34"/>
      <c r="F8" s="34"/>
      <c r="G8" s="34"/>
      <c r="H8" s="35"/>
      <c r="I8" s="1"/>
      <c r="J8" s="1"/>
      <c r="K8" s="1"/>
      <c r="L8" s="15" t="s">
        <v>45</v>
      </c>
      <c r="M8" s="17"/>
      <c r="N8" s="19" t="str">
        <f>M8/C15*1000</f>
        <v>#DIV/0!</v>
      </c>
      <c r="O8" s="17"/>
      <c r="P8" s="19" t="str">
        <f>O8/D15*1000</f>
        <v>#DIV/0!</v>
      </c>
      <c r="Q8" s="20"/>
      <c r="R8" s="19" t="str">
        <f>Q8/E15*1000</f>
        <v>#DIV/0!</v>
      </c>
      <c r="S8" s="17"/>
      <c r="T8" s="19" t="str">
        <f>S8/F15*1000</f>
        <v>#DIV/0!</v>
      </c>
      <c r="U8" s="17"/>
      <c r="V8" s="19" t="str">
        <f>U8/G15*1000</f>
        <v>#DIV/0!</v>
      </c>
      <c r="W8" s="17"/>
      <c r="X8" s="19" t="str">
        <f>W8/H15*1000</f>
        <v>#DIV/0!</v>
      </c>
      <c r="Y8" s="19">
        <f t="shared" ref="Y8:Z8" si="8">((M8+O8+Q8+S8)/4)</f>
        <v>0</v>
      </c>
      <c r="Z8" s="19" t="str">
        <f t="shared" si="8"/>
        <v>#DIV/0!</v>
      </c>
      <c r="AA8" s="19">
        <f t="shared" si="3"/>
        <v>0</v>
      </c>
      <c r="AB8" s="19" t="str">
        <f t="shared" si="4"/>
        <v>#DIV/0!</v>
      </c>
      <c r="AC8" s="22" t="s">
        <v>43</v>
      </c>
    </row>
    <row r="9" ht="14.25" customHeight="1">
      <c r="A9" s="1"/>
      <c r="B9" s="32" t="s">
        <v>47</v>
      </c>
      <c r="C9" s="34"/>
      <c r="D9" s="30"/>
      <c r="E9" s="34"/>
      <c r="F9" s="34"/>
      <c r="G9" s="34"/>
      <c r="H9" s="35"/>
      <c r="I9" s="1"/>
      <c r="J9" s="1"/>
      <c r="K9" s="1"/>
      <c r="L9" s="15" t="s">
        <v>48</v>
      </c>
      <c r="M9" s="17"/>
      <c r="N9" s="19" t="str">
        <f>M9/C7*100000</f>
        <v>#DIV/0!</v>
      </c>
      <c r="O9" s="17"/>
      <c r="P9" s="19" t="str">
        <f>O9/D7*100000</f>
        <v>#DIV/0!</v>
      </c>
      <c r="Q9" s="20"/>
      <c r="R9" s="19" t="str">
        <f>Q9/E7*100000</f>
        <v>#DIV/0!</v>
      </c>
      <c r="S9" s="17"/>
      <c r="T9" s="19" t="str">
        <f>S9/F7*100000</f>
        <v>#DIV/0!</v>
      </c>
      <c r="U9" s="17"/>
      <c r="V9" s="19" t="str">
        <f>U9/G7*100000</f>
        <v>#DIV/0!</v>
      </c>
      <c r="W9" s="17"/>
      <c r="X9" s="19" t="str">
        <f>W9/H7*100000</f>
        <v>#DIV/0!</v>
      </c>
      <c r="Y9" s="19">
        <f t="shared" ref="Y9:Z9" si="9">((M9+O9+Q9+S9)/4)</f>
        <v>0</v>
      </c>
      <c r="Z9" s="19" t="str">
        <f t="shared" si="9"/>
        <v>#DIV/0!</v>
      </c>
      <c r="AA9" s="19">
        <f t="shared" si="3"/>
        <v>0</v>
      </c>
      <c r="AB9" s="19" t="str">
        <f t="shared" si="4"/>
        <v>#DIV/0!</v>
      </c>
      <c r="AC9" s="22" t="s">
        <v>28</v>
      </c>
    </row>
    <row r="10" ht="14.25" customHeight="1">
      <c r="A10" s="1"/>
      <c r="B10" s="32" t="s">
        <v>50</v>
      </c>
      <c r="C10" s="34"/>
      <c r="D10" s="34"/>
      <c r="E10" s="34"/>
      <c r="F10" s="44"/>
      <c r="G10" s="30"/>
      <c r="H10" s="35"/>
      <c r="I10" s="1"/>
      <c r="J10" s="1"/>
      <c r="K10" s="1"/>
      <c r="L10" s="15" t="s">
        <v>51</v>
      </c>
      <c r="M10" s="17"/>
      <c r="N10" s="19" t="str">
        <f>M10/C15*100000</f>
        <v>#DIV/0!</v>
      </c>
      <c r="O10" s="17"/>
      <c r="P10" s="19" t="str">
        <f t="shared" ref="P10:P11" si="11">O10/D15*100000</f>
        <v>#DIV/0!</v>
      </c>
      <c r="Q10" s="20"/>
      <c r="R10" s="19" t="str">
        <f>Q10/E15*100000</f>
        <v>#DIV/0!</v>
      </c>
      <c r="S10" s="17"/>
      <c r="T10" s="19" t="str">
        <f>S10/F15*100000</f>
        <v>#DIV/0!</v>
      </c>
      <c r="U10" s="17"/>
      <c r="V10" s="19" t="str">
        <f>U10/G15*100000</f>
        <v>#DIV/0!</v>
      </c>
      <c r="W10" s="17"/>
      <c r="X10" s="19" t="str">
        <f>W10/H15*100000</f>
        <v>#DIV/0!</v>
      </c>
      <c r="Y10" s="19">
        <f t="shared" ref="Y10:Z10" si="10">((M10+O10+Q10+S10)/4)</f>
        <v>0</v>
      </c>
      <c r="Z10" s="19" t="str">
        <f t="shared" si="10"/>
        <v>#DIV/0!</v>
      </c>
      <c r="AA10" s="19">
        <f t="shared" si="3"/>
        <v>0</v>
      </c>
      <c r="AB10" s="19" t="str">
        <f t="shared" si="4"/>
        <v>#DIV/0!</v>
      </c>
      <c r="AC10" s="22" t="s">
        <v>28</v>
      </c>
    </row>
    <row r="11" ht="14.25" customHeight="1">
      <c r="A11" s="1"/>
      <c r="B11" s="32" t="s">
        <v>52</v>
      </c>
      <c r="C11" s="34"/>
      <c r="D11" s="34"/>
      <c r="E11" s="34"/>
      <c r="F11" s="44"/>
      <c r="G11" s="30"/>
      <c r="H11" s="35"/>
      <c r="I11" s="1"/>
      <c r="J11" s="1"/>
      <c r="K11" s="1"/>
      <c r="L11" s="15" t="s">
        <v>53</v>
      </c>
      <c r="M11" s="17"/>
      <c r="N11" s="19" t="str">
        <f>M11/C15*100000</f>
        <v>#DIV/0!</v>
      </c>
      <c r="O11" s="17"/>
      <c r="P11" s="19" t="str">
        <f t="shared" si="11"/>
        <v>#DIV/0!</v>
      </c>
      <c r="Q11" s="20"/>
      <c r="R11" s="19" t="str">
        <f>Q11/F16*100000</f>
        <v>#DIV/0!</v>
      </c>
      <c r="S11" s="17"/>
      <c r="T11" s="19" t="str">
        <f>S11/F15*100000</f>
        <v>#DIV/0!</v>
      </c>
      <c r="U11" s="17"/>
      <c r="V11" s="19" t="str">
        <f>U11/G15*100000</f>
        <v>#DIV/0!</v>
      </c>
      <c r="W11" s="17"/>
      <c r="X11" s="19" t="str">
        <f>W11/H15*100000</f>
        <v>#DIV/0!</v>
      </c>
      <c r="Y11" s="19">
        <f t="shared" ref="Y11:Z11" si="12">((M11+O11+Q11+S11)/4)</f>
        <v>0</v>
      </c>
      <c r="Z11" s="19" t="str">
        <f t="shared" si="12"/>
        <v>#DIV/0!</v>
      </c>
      <c r="AA11" s="19">
        <f t="shared" si="3"/>
        <v>0</v>
      </c>
      <c r="AB11" s="19" t="str">
        <f t="shared" si="4"/>
        <v>#DIV/0!</v>
      </c>
      <c r="AC11" s="22" t="s">
        <v>28</v>
      </c>
    </row>
    <row r="12" ht="14.25" customHeight="1">
      <c r="A12" s="1"/>
      <c r="B12" s="32" t="s">
        <v>54</v>
      </c>
      <c r="C12" s="30"/>
      <c r="D12" s="34"/>
      <c r="E12" s="30"/>
      <c r="F12" s="30"/>
      <c r="G12" s="34"/>
      <c r="H12" s="35"/>
      <c r="I12" s="1"/>
      <c r="J12" s="1"/>
      <c r="K12" s="1"/>
      <c r="L12" s="15" t="s">
        <v>55</v>
      </c>
      <c r="M12" s="17"/>
      <c r="N12" s="19" t="str">
        <f>M12/C7*100000</f>
        <v>#DIV/0!</v>
      </c>
      <c r="O12" s="17"/>
      <c r="P12" s="19" t="str">
        <f>O12/D7*100000</f>
        <v>#DIV/0!</v>
      </c>
      <c r="Q12" s="20"/>
      <c r="R12" s="19" t="str">
        <f>Q12/E7*100000</f>
        <v>#DIV/0!</v>
      </c>
      <c r="S12" s="17"/>
      <c r="T12" s="19" t="str">
        <f>S12/F7*100000</f>
        <v>#DIV/0!</v>
      </c>
      <c r="U12" s="17"/>
      <c r="V12" s="19" t="str">
        <f>U12/G7*100000</f>
        <v>#DIV/0!</v>
      </c>
      <c r="W12" s="17"/>
      <c r="X12" s="19" t="str">
        <f>W12/H7*100000</f>
        <v>#DIV/0!</v>
      </c>
      <c r="Y12" s="19">
        <f t="shared" ref="Y12:Z12" si="13">((M12+O12+Q12+S12)/4)</f>
        <v>0</v>
      </c>
      <c r="Z12" s="19" t="str">
        <f t="shared" si="13"/>
        <v>#DIV/0!</v>
      </c>
      <c r="AA12" s="19">
        <f t="shared" si="3"/>
        <v>0</v>
      </c>
      <c r="AB12" s="19" t="str">
        <f t="shared" si="4"/>
        <v>#DIV/0!</v>
      </c>
      <c r="AC12" s="22" t="s">
        <v>57</v>
      </c>
    </row>
    <row r="13" ht="14.25" customHeight="1">
      <c r="A13" s="1"/>
      <c r="B13" s="32" t="s">
        <v>58</v>
      </c>
      <c r="C13" s="30"/>
      <c r="D13" s="34"/>
      <c r="E13" s="30"/>
      <c r="F13" s="30"/>
      <c r="G13" s="34"/>
      <c r="H13" s="35"/>
      <c r="I13" s="1"/>
      <c r="J13" s="1"/>
      <c r="K13" s="1"/>
      <c r="L13" s="15" t="s">
        <v>59</v>
      </c>
      <c r="M13" s="17"/>
      <c r="N13" s="19" t="str">
        <f>M13/C11*100000</f>
        <v>#DIV/0!</v>
      </c>
      <c r="O13" s="17"/>
      <c r="P13" s="19" t="str">
        <f>O13/D11*100000</f>
        <v>#DIV/0!</v>
      </c>
      <c r="Q13" s="20"/>
      <c r="R13" s="19" t="str">
        <f>Q13/E11*100000</f>
        <v>#DIV/0!</v>
      </c>
      <c r="S13" s="17"/>
      <c r="T13" s="19" t="str">
        <f>S13/F11*100000</f>
        <v>#DIV/0!</v>
      </c>
      <c r="U13" s="17"/>
      <c r="V13" s="19" t="str">
        <f>U13/G11*100000</f>
        <v>#DIV/0!</v>
      </c>
      <c r="W13" s="17"/>
      <c r="X13" s="19" t="str">
        <f>W13/H11*100000</f>
        <v>#DIV/0!</v>
      </c>
      <c r="Y13" s="19">
        <f t="shared" ref="Y13:Z13" si="14">((M13+O13+Q13+S13)/4)</f>
        <v>0</v>
      </c>
      <c r="Z13" s="19" t="str">
        <f t="shared" si="14"/>
        <v>#DIV/0!</v>
      </c>
      <c r="AA13" s="19">
        <f t="shared" si="3"/>
        <v>0</v>
      </c>
      <c r="AB13" s="19" t="str">
        <f t="shared" si="4"/>
        <v>#DIV/0!</v>
      </c>
      <c r="AC13" s="22" t="s">
        <v>57</v>
      </c>
    </row>
    <row r="14" ht="14.25" customHeight="1">
      <c r="A14" s="1"/>
      <c r="B14" s="32" t="s">
        <v>60</v>
      </c>
      <c r="C14" s="30"/>
      <c r="D14" s="30"/>
      <c r="E14" s="30"/>
      <c r="F14" s="30"/>
      <c r="G14" s="30"/>
      <c r="H14" s="35"/>
      <c r="I14" s="1"/>
      <c r="J14" s="1"/>
      <c r="K14" s="1"/>
      <c r="L14" s="15" t="s">
        <v>61</v>
      </c>
      <c r="M14" s="17"/>
      <c r="N14" s="19" t="str">
        <f>M14/M4*1000</f>
        <v>#DIV/0!</v>
      </c>
      <c r="O14" s="17"/>
      <c r="P14" s="19" t="str">
        <f>O14/O4*1000</f>
        <v>#DIV/0!</v>
      </c>
      <c r="Q14" s="20"/>
      <c r="R14" s="19" t="str">
        <f>Q14/Q4*1000</f>
        <v>#DIV/0!</v>
      </c>
      <c r="S14" s="17"/>
      <c r="T14" s="19" t="str">
        <f>S14/S4*1000</f>
        <v>#DIV/0!</v>
      </c>
      <c r="U14" s="17"/>
      <c r="V14" s="19" t="str">
        <f>U14/U4*1000</f>
        <v>#DIV/0!</v>
      </c>
      <c r="W14" s="17"/>
      <c r="X14" s="19" t="str">
        <f>W14/W4*1000</f>
        <v>#DIV/0!</v>
      </c>
      <c r="Y14" s="19">
        <f t="shared" ref="Y14:Z14" si="15">((M14+O14+Q14+S14)/4)</f>
        <v>0</v>
      </c>
      <c r="Z14" s="19" t="str">
        <f t="shared" si="15"/>
        <v>#DIV/0!</v>
      </c>
      <c r="AA14" s="19">
        <f t="shared" si="3"/>
        <v>0</v>
      </c>
      <c r="AB14" s="19" t="str">
        <f t="shared" si="4"/>
        <v>#DIV/0!</v>
      </c>
      <c r="AC14" s="22" t="s">
        <v>28</v>
      </c>
    </row>
    <row r="15" ht="14.25" customHeight="1">
      <c r="A15" s="1"/>
      <c r="B15" s="32" t="s">
        <v>62</v>
      </c>
      <c r="C15" s="30"/>
      <c r="D15" s="30"/>
      <c r="E15" s="30"/>
      <c r="F15" s="30"/>
      <c r="G15" s="30"/>
      <c r="H15" s="35"/>
      <c r="I15" s="1"/>
      <c r="J15" s="1"/>
      <c r="K15" s="1"/>
      <c r="L15" s="15" t="s">
        <v>63</v>
      </c>
      <c r="M15" s="17"/>
      <c r="N15" s="19" t="str">
        <f>M15/C15*100000</f>
        <v>#DIV/0!</v>
      </c>
      <c r="O15" s="17"/>
      <c r="P15" s="19" t="str">
        <f>O15/D15*100000</f>
        <v>#DIV/0!</v>
      </c>
      <c r="Q15" s="20"/>
      <c r="R15" s="19" t="str">
        <f>Q15/E15*100000</f>
        <v>#DIV/0!</v>
      </c>
      <c r="S15" s="17"/>
      <c r="T15" s="19" t="str">
        <f>S15/F15*100000</f>
        <v>#DIV/0!</v>
      </c>
      <c r="U15" s="17"/>
      <c r="V15" s="19" t="str">
        <f>U15/G15*100000</f>
        <v>#DIV/0!</v>
      </c>
      <c r="W15" s="17"/>
      <c r="X15" s="19" t="str">
        <f>W15/H15*100000</f>
        <v>#DIV/0!</v>
      </c>
      <c r="Y15" s="19">
        <f t="shared" ref="Y15:Z15" si="16">((M15+O15+Q15+S15)/4)</f>
        <v>0</v>
      </c>
      <c r="Z15" s="19" t="str">
        <f t="shared" si="16"/>
        <v>#DIV/0!</v>
      </c>
      <c r="AA15" s="19">
        <f t="shared" si="3"/>
        <v>0</v>
      </c>
      <c r="AB15" s="19" t="str">
        <f t="shared" si="4"/>
        <v>#DIV/0!</v>
      </c>
      <c r="AC15" s="22" t="s">
        <v>28</v>
      </c>
    </row>
    <row r="16" ht="14.25" customHeight="1">
      <c r="A16" s="1"/>
      <c r="B16" s="32" t="s">
        <v>64</v>
      </c>
      <c r="C16" s="30"/>
      <c r="D16" s="30"/>
      <c r="E16" s="30"/>
      <c r="F16" s="30"/>
      <c r="G16" s="30"/>
      <c r="H16" s="35"/>
      <c r="I16" s="1"/>
      <c r="J16" s="1"/>
      <c r="K16" s="1"/>
      <c r="L16" s="15" t="s">
        <v>65</v>
      </c>
      <c r="M16" s="17"/>
      <c r="N16" s="19" t="str">
        <f>M16/M4*100</f>
        <v>#DIV/0!</v>
      </c>
      <c r="O16" s="17"/>
      <c r="P16" s="19" t="str">
        <f>O16/O4*100</f>
        <v>#DIV/0!</v>
      </c>
      <c r="Q16" s="20"/>
      <c r="R16" s="19" t="str">
        <f>Q16/Q4*100</f>
        <v>#DIV/0!</v>
      </c>
      <c r="S16" s="17"/>
      <c r="T16" s="19" t="str">
        <f>S16/S4*100</f>
        <v>#DIV/0!</v>
      </c>
      <c r="U16" s="17"/>
      <c r="V16" s="19" t="str">
        <f>U16/U4*100</f>
        <v>#DIV/0!</v>
      </c>
      <c r="W16" s="17"/>
      <c r="X16" s="19" t="str">
        <f>W16/W4*100</f>
        <v>#DIV/0!</v>
      </c>
      <c r="Y16" s="19">
        <f t="shared" ref="Y16:Z16" si="17">((M16+O16+Q16+S16)/4)</f>
        <v>0</v>
      </c>
      <c r="Z16" s="19" t="str">
        <f t="shared" si="17"/>
        <v>#DIV/0!</v>
      </c>
      <c r="AA16" s="19">
        <f t="shared" si="3"/>
        <v>0</v>
      </c>
      <c r="AB16" s="19" t="str">
        <f t="shared" si="4"/>
        <v>#DIV/0!</v>
      </c>
      <c r="AC16" s="22" t="s">
        <v>30</v>
      </c>
    </row>
    <row r="17" ht="14.25" customHeight="1">
      <c r="A17" s="1"/>
      <c r="B17" s="32" t="s">
        <v>66</v>
      </c>
      <c r="C17" s="30"/>
      <c r="D17" s="30"/>
      <c r="E17" s="30"/>
      <c r="F17" s="30"/>
      <c r="G17" s="30"/>
      <c r="H17" s="35"/>
      <c r="I17" s="1"/>
      <c r="J17" s="1"/>
      <c r="K17" s="1"/>
      <c r="L17" s="15" t="s">
        <v>67</v>
      </c>
      <c r="M17" s="17"/>
      <c r="N17" s="19" t="str">
        <f>M17/M4*100</f>
        <v>#DIV/0!</v>
      </c>
      <c r="O17" s="17"/>
      <c r="P17" s="19" t="str">
        <f>O17/O4*100</f>
        <v>#DIV/0!</v>
      </c>
      <c r="Q17" s="20"/>
      <c r="R17" s="19" t="str">
        <f>Q17/Q4*100</f>
        <v>#DIV/0!</v>
      </c>
      <c r="S17" s="17"/>
      <c r="T17" s="19" t="str">
        <f>S17/S4*100</f>
        <v>#DIV/0!</v>
      </c>
      <c r="U17" s="17"/>
      <c r="V17" s="19" t="str">
        <f>U17/U4*100</f>
        <v>#DIV/0!</v>
      </c>
      <c r="W17" s="17"/>
      <c r="X17" s="19" t="str">
        <f>W17/W4*100</f>
        <v>#DIV/0!</v>
      </c>
      <c r="Y17" s="19">
        <f t="shared" ref="Y17:Z17" si="18">((M17+O17+Q17+S17)/4)</f>
        <v>0</v>
      </c>
      <c r="Z17" s="19" t="str">
        <f t="shared" si="18"/>
        <v>#DIV/0!</v>
      </c>
      <c r="AA17" s="19">
        <f t="shared" si="3"/>
        <v>0</v>
      </c>
      <c r="AB17" s="19" t="str">
        <f t="shared" si="4"/>
        <v>#DIV/0!</v>
      </c>
      <c r="AC17" s="22" t="s">
        <v>30</v>
      </c>
    </row>
    <row r="18" ht="14.25" customHeight="1">
      <c r="A18" s="1"/>
      <c r="B18" s="32" t="s">
        <v>68</v>
      </c>
      <c r="C18" s="30"/>
      <c r="D18" s="30"/>
      <c r="E18" s="30"/>
      <c r="F18" s="30"/>
      <c r="G18" s="30"/>
      <c r="H18" s="35"/>
      <c r="I18" s="1"/>
      <c r="J18" s="1"/>
      <c r="K18" s="1"/>
      <c r="L18" s="15" t="s">
        <v>69</v>
      </c>
      <c r="M18" s="56"/>
      <c r="N18" s="57" t="str">
        <f>M18/C15*1000</f>
        <v>#DIV/0!</v>
      </c>
      <c r="O18" s="17"/>
      <c r="P18" s="57" t="str">
        <f>O18/D15*1000</f>
        <v>#DIV/0!</v>
      </c>
      <c r="Q18" s="20"/>
      <c r="R18" s="57" t="str">
        <f>Q18/E15*1000</f>
        <v>#DIV/0!</v>
      </c>
      <c r="S18" s="56"/>
      <c r="T18" s="57" t="str">
        <f>S18/F15*1000</f>
        <v>#DIV/0!</v>
      </c>
      <c r="U18" s="56"/>
      <c r="V18" s="57" t="str">
        <f>U18/G15*1000</f>
        <v>#DIV/0!</v>
      </c>
      <c r="W18" s="56"/>
      <c r="X18" s="57" t="str">
        <f>W18/H15*1000</f>
        <v>#DIV/0!</v>
      </c>
      <c r="Y18" s="19">
        <f t="shared" ref="Y18:Z18" si="19">((M18+O18+Q18+S18)/4)</f>
        <v>0</v>
      </c>
      <c r="Z18" s="19" t="str">
        <f t="shared" si="19"/>
        <v>#DIV/0!</v>
      </c>
      <c r="AA18" s="19">
        <f t="shared" si="3"/>
        <v>0</v>
      </c>
      <c r="AB18" s="19" t="str">
        <f t="shared" si="4"/>
        <v>#DIV/0!</v>
      </c>
      <c r="AC18" s="22" t="s">
        <v>57</v>
      </c>
    </row>
    <row r="19" ht="14.25" customHeight="1">
      <c r="A19" s="1"/>
      <c r="B19" s="32" t="s">
        <v>70</v>
      </c>
      <c r="C19" s="30"/>
      <c r="D19" s="30"/>
      <c r="E19" s="30"/>
      <c r="F19" s="30"/>
      <c r="G19" s="30"/>
      <c r="H19" s="35"/>
      <c r="I19" s="1"/>
      <c r="J19" s="1"/>
      <c r="K19" s="1"/>
      <c r="L19" s="15" t="s">
        <v>71</v>
      </c>
      <c r="M19" s="17"/>
      <c r="N19" s="19" t="str">
        <f>M19/M4*100</f>
        <v>#DIV/0!</v>
      </c>
      <c r="O19" s="17"/>
      <c r="P19" s="19" t="str">
        <f>O19/O4*100</f>
        <v>#DIV/0!</v>
      </c>
      <c r="Q19" s="20"/>
      <c r="R19" s="19" t="str">
        <f>Q19/Q4*100</f>
        <v>#DIV/0!</v>
      </c>
      <c r="S19" s="17"/>
      <c r="T19" s="19" t="str">
        <f>S19/S4*100</f>
        <v>#DIV/0!</v>
      </c>
      <c r="U19" s="17"/>
      <c r="V19" s="19" t="str">
        <f>U19/U4*100</f>
        <v>#DIV/0!</v>
      </c>
      <c r="W19" s="17"/>
      <c r="X19" s="19" t="str">
        <f>W19/W4*100</f>
        <v>#DIV/0!</v>
      </c>
      <c r="Y19" s="19">
        <f t="shared" ref="Y19:Z19" si="20">((M19+O19+Q19+S19)/4)</f>
        <v>0</v>
      </c>
      <c r="Z19" s="19" t="str">
        <f t="shared" si="20"/>
        <v>#DIV/0!</v>
      </c>
      <c r="AA19" s="19">
        <f t="shared" si="3"/>
        <v>0</v>
      </c>
      <c r="AB19" s="19" t="str">
        <f t="shared" si="4"/>
        <v>#DIV/0!</v>
      </c>
      <c r="AC19" s="22" t="s">
        <v>72</v>
      </c>
    </row>
    <row r="20" ht="14.25" customHeight="1">
      <c r="A20" s="1"/>
      <c r="B20" s="32" t="s">
        <v>73</v>
      </c>
      <c r="C20" s="30"/>
      <c r="D20" s="34"/>
      <c r="E20" s="30"/>
      <c r="F20" s="30"/>
      <c r="G20" s="30"/>
      <c r="H20" s="35"/>
      <c r="I20" s="1"/>
      <c r="J20" s="1"/>
      <c r="K20" s="1"/>
      <c r="L20" s="15" t="s">
        <v>74</v>
      </c>
      <c r="M20" s="17"/>
      <c r="N20" s="19" t="str">
        <f t="shared" ref="N20:N21" si="22">M20/C20*1000</f>
        <v>#DIV/0!</v>
      </c>
      <c r="O20" s="17"/>
      <c r="P20" s="19" t="str">
        <f t="shared" ref="P20:P21" si="23">O20/D20*1000</f>
        <v>#DIV/0!</v>
      </c>
      <c r="Q20" s="20"/>
      <c r="R20" s="19" t="str">
        <f t="shared" ref="R20:R21" si="24">Q20/E20*1000</f>
        <v>#DIV/0!</v>
      </c>
      <c r="S20" s="17"/>
      <c r="T20" s="19" t="str">
        <f t="shared" ref="T20:T21" si="25">S20/F20*1000</f>
        <v>#DIV/0!</v>
      </c>
      <c r="U20" s="17"/>
      <c r="V20" s="19" t="str">
        <f t="shared" ref="V20:V21" si="26">U20/G20*1000</f>
        <v>#DIV/0!</v>
      </c>
      <c r="W20" s="17"/>
      <c r="X20" s="19" t="str">
        <f t="shared" ref="X20:X21" si="27">W20/H20*1000</f>
        <v>#DIV/0!</v>
      </c>
      <c r="Y20" s="19">
        <f t="shared" ref="Y20:Z20" si="21">((M20+O20+Q20+S20)/4)</f>
        <v>0</v>
      </c>
      <c r="Z20" s="19" t="str">
        <f t="shared" si="21"/>
        <v>#DIV/0!</v>
      </c>
      <c r="AA20" s="19">
        <f t="shared" si="3"/>
        <v>0</v>
      </c>
      <c r="AB20" s="19" t="str">
        <f t="shared" si="4"/>
        <v>#DIV/0!</v>
      </c>
      <c r="AC20" s="22" t="s">
        <v>72</v>
      </c>
    </row>
    <row r="21" ht="14.25" customHeight="1">
      <c r="A21" s="1"/>
      <c r="B21" s="32" t="s">
        <v>75</v>
      </c>
      <c r="C21" s="30"/>
      <c r="D21" s="34"/>
      <c r="E21" s="30"/>
      <c r="F21" s="30"/>
      <c r="G21" s="30"/>
      <c r="H21" s="35"/>
      <c r="I21" s="1"/>
      <c r="J21" s="1"/>
      <c r="K21" s="1"/>
      <c r="L21" s="15" t="s">
        <v>76</v>
      </c>
      <c r="M21" s="17"/>
      <c r="N21" s="19" t="str">
        <f t="shared" si="22"/>
        <v>#DIV/0!</v>
      </c>
      <c r="O21" s="17"/>
      <c r="P21" s="19" t="str">
        <f t="shared" si="23"/>
        <v>#DIV/0!</v>
      </c>
      <c r="Q21" s="20"/>
      <c r="R21" s="19" t="str">
        <f t="shared" si="24"/>
        <v>#DIV/0!</v>
      </c>
      <c r="S21" s="17"/>
      <c r="T21" s="19" t="str">
        <f t="shared" si="25"/>
        <v>#DIV/0!</v>
      </c>
      <c r="U21" s="17"/>
      <c r="V21" s="19" t="str">
        <f t="shared" si="26"/>
        <v>#DIV/0!</v>
      </c>
      <c r="W21" s="17"/>
      <c r="X21" s="19" t="str">
        <f t="shared" si="27"/>
        <v>#DIV/0!</v>
      </c>
      <c r="Y21" s="19">
        <f t="shared" ref="Y21:Z21" si="28">((M21+O21+Q21+S21)/4)</f>
        <v>0</v>
      </c>
      <c r="Z21" s="19" t="str">
        <f t="shared" si="28"/>
        <v>#DIV/0!</v>
      </c>
      <c r="AA21" s="19">
        <f t="shared" si="3"/>
        <v>0</v>
      </c>
      <c r="AB21" s="19" t="str">
        <f t="shared" si="4"/>
        <v>#DIV/0!</v>
      </c>
      <c r="AC21" s="22" t="s">
        <v>72</v>
      </c>
    </row>
    <row r="22" ht="14.25" customHeight="1">
      <c r="A22" s="1"/>
      <c r="B22" s="32" t="s">
        <v>77</v>
      </c>
      <c r="C22" s="30"/>
      <c r="D22" s="30"/>
      <c r="E22" s="30"/>
      <c r="F22" s="30"/>
      <c r="G22" s="30"/>
      <c r="H22" s="35"/>
      <c r="I22" s="1"/>
      <c r="J22" s="1"/>
      <c r="K22" s="1"/>
      <c r="L22" s="15" t="s">
        <v>78</v>
      </c>
      <c r="M22" s="56"/>
      <c r="N22" s="57" t="str">
        <f>M22/C7*100000</f>
        <v>#DIV/0!</v>
      </c>
      <c r="O22" s="17"/>
      <c r="P22" s="57" t="str">
        <f>O22/D7*100000</f>
        <v>#DIV/0!</v>
      </c>
      <c r="Q22" s="20"/>
      <c r="R22" s="57" t="str">
        <f>Q22/E7*100000</f>
        <v>#DIV/0!</v>
      </c>
      <c r="S22" s="56"/>
      <c r="T22" s="57" t="str">
        <f>S22/F7*100000</f>
        <v>#DIV/0!</v>
      </c>
      <c r="U22" s="56"/>
      <c r="V22" s="57" t="str">
        <f>U22/G7*100000</f>
        <v>#DIV/0!</v>
      </c>
      <c r="W22" s="56"/>
      <c r="X22" s="57" t="str">
        <f>W22/H7*100000</f>
        <v>#DIV/0!</v>
      </c>
      <c r="Y22" s="19">
        <f t="shared" ref="Y22:Z22" si="29">((M22+O22+Q22+S22)/4)</f>
        <v>0</v>
      </c>
      <c r="Z22" s="19" t="str">
        <f t="shared" si="29"/>
        <v>#DIV/0!</v>
      </c>
      <c r="AA22" s="19">
        <f t="shared" si="3"/>
        <v>0</v>
      </c>
      <c r="AB22" s="19" t="str">
        <f t="shared" si="4"/>
        <v>#DIV/0!</v>
      </c>
      <c r="AC22" s="22" t="s">
        <v>28</v>
      </c>
    </row>
    <row r="23" ht="14.25" customHeight="1">
      <c r="A23" s="1"/>
      <c r="B23" s="32" t="s">
        <v>79</v>
      </c>
      <c r="C23" s="30"/>
      <c r="D23" s="30"/>
      <c r="E23" s="30"/>
      <c r="F23" s="30"/>
      <c r="G23" s="30"/>
      <c r="H23" s="35"/>
      <c r="I23" s="1"/>
      <c r="J23" s="1"/>
      <c r="K23" s="1"/>
      <c r="L23" s="15" t="s">
        <v>80</v>
      </c>
      <c r="M23" s="56"/>
      <c r="N23" s="57" t="str">
        <f>M23/C7*100000</f>
        <v>#DIV/0!</v>
      </c>
      <c r="O23" s="17"/>
      <c r="P23" s="57" t="str">
        <f>O23/D7*100000</f>
        <v>#DIV/0!</v>
      </c>
      <c r="Q23" s="20"/>
      <c r="R23" s="57" t="str">
        <f>Q23/E7*100000</f>
        <v>#DIV/0!</v>
      </c>
      <c r="S23" s="56"/>
      <c r="T23" s="57" t="str">
        <f>S23/F7*100000</f>
        <v>#DIV/0!</v>
      </c>
      <c r="U23" s="56"/>
      <c r="V23" s="57" t="str">
        <f>U23/G7*100000</f>
        <v>#DIV/0!</v>
      </c>
      <c r="W23" s="56"/>
      <c r="X23" s="57" t="str">
        <f>W23/H7*100000</f>
        <v>#DIV/0!</v>
      </c>
      <c r="Y23" s="19">
        <f t="shared" ref="Y23:Z23" si="30">((M23+O23+Q23+S23)/4)</f>
        <v>0</v>
      </c>
      <c r="Z23" s="19" t="str">
        <f t="shared" si="30"/>
        <v>#DIV/0!</v>
      </c>
      <c r="AA23" s="19">
        <f t="shared" si="3"/>
        <v>0</v>
      </c>
      <c r="AB23" s="19" t="str">
        <f t="shared" si="4"/>
        <v>#DIV/0!</v>
      </c>
      <c r="AC23" s="22" t="s">
        <v>28</v>
      </c>
    </row>
    <row r="24" ht="14.25" customHeight="1">
      <c r="A24" s="1"/>
      <c r="B24" s="32" t="s">
        <v>81</v>
      </c>
      <c r="C24" s="30"/>
      <c r="D24" s="30"/>
      <c r="E24" s="30"/>
      <c r="F24" s="30"/>
      <c r="G24" s="30"/>
      <c r="H24" s="35"/>
      <c r="I24" s="1"/>
      <c r="J24" s="1"/>
      <c r="K24" s="1"/>
      <c r="L24" s="15" t="s">
        <v>82</v>
      </c>
      <c r="M24" s="56"/>
      <c r="N24" s="57" t="str">
        <f>M24/C7*100000</f>
        <v>#DIV/0!</v>
      </c>
      <c r="O24" s="17"/>
      <c r="P24" s="57" t="str">
        <f>O24/D7*100000</f>
        <v>#DIV/0!</v>
      </c>
      <c r="Q24" s="20"/>
      <c r="R24" s="57" t="str">
        <f>Q24/E7*100000</f>
        <v>#DIV/0!</v>
      </c>
      <c r="S24" s="56"/>
      <c r="T24" s="57" t="str">
        <f>S24/F7*100000</f>
        <v>#DIV/0!</v>
      </c>
      <c r="U24" s="56"/>
      <c r="V24" s="57" t="str">
        <f>U24/G7*100000</f>
        <v>#DIV/0!</v>
      </c>
      <c r="W24" s="56"/>
      <c r="X24" s="57" t="str">
        <f>W24/H7*100000</f>
        <v>#DIV/0!</v>
      </c>
      <c r="Y24" s="19">
        <f t="shared" ref="Y24:Z24" si="31">((M24+O24+Q24+S24)/4)</f>
        <v>0</v>
      </c>
      <c r="Z24" s="19" t="str">
        <f t="shared" si="31"/>
        <v>#DIV/0!</v>
      </c>
      <c r="AA24" s="19">
        <f t="shared" si="3"/>
        <v>0</v>
      </c>
      <c r="AB24" s="19" t="str">
        <f t="shared" si="4"/>
        <v>#DIV/0!</v>
      </c>
      <c r="AC24" s="22" t="s">
        <v>28</v>
      </c>
    </row>
    <row r="25" ht="14.25" customHeight="1">
      <c r="A25" s="1"/>
      <c r="B25" s="32" t="s">
        <v>83</v>
      </c>
      <c r="C25" s="30"/>
      <c r="D25" s="30"/>
      <c r="E25" s="30"/>
      <c r="F25" s="30"/>
      <c r="G25" s="30"/>
      <c r="H25" s="35"/>
      <c r="I25" s="1"/>
      <c r="J25" s="1"/>
      <c r="K25" s="1"/>
      <c r="L25" s="15" t="s">
        <v>84</v>
      </c>
      <c r="M25" s="56"/>
      <c r="N25" s="57" t="str">
        <f>M25/C7*100000</f>
        <v>#DIV/0!</v>
      </c>
      <c r="O25" s="17"/>
      <c r="P25" s="57" t="str">
        <f>O25/D7*100000</f>
        <v>#DIV/0!</v>
      </c>
      <c r="Q25" s="20"/>
      <c r="R25" s="57" t="str">
        <f>Q25/E7*100000</f>
        <v>#DIV/0!</v>
      </c>
      <c r="S25" s="56"/>
      <c r="T25" s="57" t="str">
        <f>S25/F7*100000</f>
        <v>#DIV/0!</v>
      </c>
      <c r="U25" s="56"/>
      <c r="V25" s="57" t="str">
        <f>U25/G7*100000</f>
        <v>#DIV/0!</v>
      </c>
      <c r="W25" s="56"/>
      <c r="X25" s="57" t="str">
        <f>W25/H7*100000</f>
        <v>#DIV/0!</v>
      </c>
      <c r="Y25" s="19">
        <f t="shared" ref="Y25:Z25" si="32">((M25+O25+Q25+S25)/4)</f>
        <v>0</v>
      </c>
      <c r="Z25" s="19" t="str">
        <f t="shared" si="32"/>
        <v>#DIV/0!</v>
      </c>
      <c r="AA25" s="19">
        <f t="shared" si="3"/>
        <v>0</v>
      </c>
      <c r="AB25" s="19" t="str">
        <f t="shared" si="4"/>
        <v>#DIV/0!</v>
      </c>
      <c r="AC25" s="22" t="s">
        <v>57</v>
      </c>
    </row>
    <row r="26" ht="14.25" customHeight="1">
      <c r="A26" s="1"/>
      <c r="B26" s="32" t="s">
        <v>85</v>
      </c>
      <c r="C26" s="61"/>
      <c r="D26" s="61"/>
      <c r="E26" s="61"/>
      <c r="F26" s="61"/>
      <c r="G26" s="61"/>
      <c r="H26" s="35"/>
      <c r="I26" s="1"/>
      <c r="J26" s="1"/>
      <c r="K26" s="1"/>
      <c r="L26" s="15" t="s">
        <v>86</v>
      </c>
      <c r="M26" s="17"/>
      <c r="N26" s="19" t="str">
        <f>M26/C7*100000</f>
        <v>#DIV/0!</v>
      </c>
      <c r="O26" s="17"/>
      <c r="P26" s="19" t="str">
        <f>O26/D7*100000</f>
        <v>#DIV/0!</v>
      </c>
      <c r="Q26" s="20"/>
      <c r="R26" s="19" t="str">
        <f>Q26/E7*100000</f>
        <v>#DIV/0!</v>
      </c>
      <c r="S26" s="17"/>
      <c r="T26" s="19" t="str">
        <f>S26/F7*100000</f>
        <v>#DIV/0!</v>
      </c>
      <c r="U26" s="17"/>
      <c r="V26" s="19" t="str">
        <f>U26/G7*100000</f>
        <v>#DIV/0!</v>
      </c>
      <c r="W26" s="17"/>
      <c r="X26" s="19" t="str">
        <f>W26/H7*100000</f>
        <v>#DIV/0!</v>
      </c>
      <c r="Y26" s="19">
        <f t="shared" ref="Y26:Z26" si="33">((M26+O26+Q26+S26)/4)</f>
        <v>0</v>
      </c>
      <c r="Z26" s="19" t="str">
        <f t="shared" si="33"/>
        <v>#DIV/0!</v>
      </c>
      <c r="AA26" s="19">
        <f t="shared" si="3"/>
        <v>0</v>
      </c>
      <c r="AB26" s="19" t="str">
        <f t="shared" si="4"/>
        <v>#DIV/0!</v>
      </c>
      <c r="AC26" s="22" t="s">
        <v>28</v>
      </c>
    </row>
    <row r="27" ht="14.25" customHeight="1">
      <c r="A27" s="1"/>
      <c r="B27" s="62" t="s">
        <v>87</v>
      </c>
      <c r="C27" s="63"/>
      <c r="D27" s="63"/>
      <c r="E27" s="64"/>
      <c r="F27" s="64"/>
      <c r="G27" s="64"/>
      <c r="H27" s="65"/>
      <c r="I27" s="1"/>
      <c r="J27" s="1"/>
      <c r="K27" s="1"/>
      <c r="L27" s="15" t="s">
        <v>88</v>
      </c>
      <c r="M27" s="17"/>
      <c r="N27" s="19" t="str">
        <f>M27/C11*100000</f>
        <v>#DIV/0!</v>
      </c>
      <c r="O27" s="17"/>
      <c r="P27" s="19" t="str">
        <f>O27/D11*100000</f>
        <v>#DIV/0!</v>
      </c>
      <c r="Q27" s="20"/>
      <c r="R27" s="19" t="str">
        <f>Q27/E11*100000</f>
        <v>#DIV/0!</v>
      </c>
      <c r="S27" s="17"/>
      <c r="T27" s="19" t="str">
        <f>S27/F11*100000</f>
        <v>#DIV/0!</v>
      </c>
      <c r="U27" s="17"/>
      <c r="V27" s="19" t="str">
        <f>U27/G11*100000</f>
        <v>#DIV/0!</v>
      </c>
      <c r="W27" s="17"/>
      <c r="X27" s="19" t="str">
        <f>W27/H11*100000</f>
        <v>#DIV/0!</v>
      </c>
      <c r="Y27" s="19">
        <f t="shared" ref="Y27:Z27" si="34">((M27+O27+Q27+S27)/4)</f>
        <v>0</v>
      </c>
      <c r="Z27" s="19" t="str">
        <f t="shared" si="34"/>
        <v>#DIV/0!</v>
      </c>
      <c r="AA27" s="19">
        <f t="shared" si="3"/>
        <v>0</v>
      </c>
      <c r="AB27" s="19" t="str">
        <f t="shared" si="4"/>
        <v>#DIV/0!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7"/>
      <c r="N28" s="19" t="str">
        <f>M28/C11*100000</f>
        <v>#DIV/0!</v>
      </c>
      <c r="O28" s="17"/>
      <c r="P28" s="19" t="str">
        <f>O28/D11*100000</f>
        <v>#DIV/0!</v>
      </c>
      <c r="Q28" s="20"/>
      <c r="R28" s="19" t="str">
        <f>Q28/E11*100000</f>
        <v>#DIV/0!</v>
      </c>
      <c r="S28" s="17"/>
      <c r="T28" s="19" t="str">
        <f>S28/F11*100000</f>
        <v>#DIV/0!</v>
      </c>
      <c r="U28" s="17"/>
      <c r="V28" s="19" t="str">
        <f>U28/G11*100000</f>
        <v>#DIV/0!</v>
      </c>
      <c r="W28" s="17"/>
      <c r="X28" s="19" t="str">
        <f>W28/H11*100000</f>
        <v>#DIV/0!</v>
      </c>
      <c r="Y28" s="19">
        <f t="shared" ref="Y28:Z28" si="35">((M28+O28+Q28+S28)/4)</f>
        <v>0</v>
      </c>
      <c r="Z28" s="19" t="str">
        <f t="shared" si="35"/>
        <v>#DIV/0!</v>
      </c>
      <c r="AA28" s="19">
        <f t="shared" si="3"/>
        <v>0</v>
      </c>
      <c r="AB28" s="19" t="str">
        <f t="shared" si="4"/>
        <v>#DIV/0!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7"/>
      <c r="N29" s="19" t="str">
        <f>M29/C10*100000</f>
        <v>#DIV/0!</v>
      </c>
      <c r="O29" s="17"/>
      <c r="P29" s="19" t="str">
        <f>O29/D10*100000</f>
        <v>#DIV/0!</v>
      </c>
      <c r="Q29" s="20"/>
      <c r="R29" s="19" t="str">
        <f>Q29/E10*100000</f>
        <v>#DIV/0!</v>
      </c>
      <c r="S29" s="17"/>
      <c r="T29" s="19" t="str">
        <f>S29/F10*100000</f>
        <v>#DIV/0!</v>
      </c>
      <c r="U29" s="17"/>
      <c r="V29" s="19" t="str">
        <f>U29/G10*100000</f>
        <v>#DIV/0!</v>
      </c>
      <c r="W29" s="17"/>
      <c r="X29" s="19" t="str">
        <f>W29/H10*100000</f>
        <v>#DIV/0!</v>
      </c>
      <c r="Y29" s="19">
        <f t="shared" ref="Y29:Z29" si="36">((M29+O29+Q29+S29)/4)</f>
        <v>0</v>
      </c>
      <c r="Z29" s="19" t="str">
        <f t="shared" si="36"/>
        <v>#DIV/0!</v>
      </c>
      <c r="AA29" s="19">
        <f t="shared" si="3"/>
        <v>0</v>
      </c>
      <c r="AB29" s="19" t="str">
        <f t="shared" si="4"/>
        <v>#DIV/0!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7"/>
      <c r="N30" s="19" t="str">
        <f>M30/C7*100000</f>
        <v>#DIV/0!</v>
      </c>
      <c r="O30" s="17"/>
      <c r="P30" s="19" t="str">
        <f>O30/D7*100000</f>
        <v>#DIV/0!</v>
      </c>
      <c r="Q30" s="20"/>
      <c r="R30" s="19" t="str">
        <f>Q30/E7*100000</f>
        <v>#DIV/0!</v>
      </c>
      <c r="S30" s="17"/>
      <c r="T30" s="19" t="str">
        <f>S30/F7*100000</f>
        <v>#DIV/0!</v>
      </c>
      <c r="U30" s="17"/>
      <c r="V30" s="19" t="str">
        <f>U30/G7*100000</f>
        <v>#DIV/0!</v>
      </c>
      <c r="W30" s="17"/>
      <c r="X30" s="19" t="str">
        <f>W30/H7*100000</f>
        <v>#DIV/0!</v>
      </c>
      <c r="Y30" s="19">
        <f t="shared" ref="Y30:Z30" si="37">((M30+O30+Q30+S30)/4)</f>
        <v>0</v>
      </c>
      <c r="Z30" s="19" t="str">
        <f t="shared" si="37"/>
        <v>#DIV/0!</v>
      </c>
      <c r="AA30" s="19">
        <f t="shared" si="3"/>
        <v>0</v>
      </c>
      <c r="AB30" s="19" t="str">
        <f t="shared" si="4"/>
        <v>#DIV/0!</v>
      </c>
      <c r="AC30" s="22" t="s">
        <v>28</v>
      </c>
    </row>
    <row r="31" ht="14.25" customHeight="1">
      <c r="A31" s="1"/>
      <c r="B31" s="71" t="s">
        <v>93</v>
      </c>
      <c r="C31" s="70"/>
      <c r="D31" s="70"/>
      <c r="E31" s="70"/>
      <c r="F31" s="70"/>
      <c r="G31" s="70"/>
      <c r="H31" s="70"/>
      <c r="I31" s="1"/>
      <c r="J31" s="1"/>
      <c r="K31" s="1"/>
      <c r="L31" s="15" t="s">
        <v>94</v>
      </c>
      <c r="M31" s="17"/>
      <c r="N31" s="19" t="str">
        <f>M31/C7*100000</f>
        <v>#DIV/0!</v>
      </c>
      <c r="O31" s="17"/>
      <c r="P31" s="19" t="str">
        <f>O31/D7*100000</f>
        <v>#DIV/0!</v>
      </c>
      <c r="Q31" s="20"/>
      <c r="R31" s="19" t="str">
        <f>Q31/E7*100000</f>
        <v>#DIV/0!</v>
      </c>
      <c r="S31" s="17"/>
      <c r="T31" s="19" t="str">
        <f>S31/F7*100000</f>
        <v>#DIV/0!</v>
      </c>
      <c r="U31" s="17"/>
      <c r="V31" s="19" t="str">
        <f>U31/G7*100000</f>
        <v>#DIV/0!</v>
      </c>
      <c r="W31" s="17"/>
      <c r="X31" s="19" t="str">
        <f>W31/H7*100000</f>
        <v>#DIV/0!</v>
      </c>
      <c r="Y31" s="19">
        <f t="shared" ref="Y31:Z31" si="38">((M31+O31+Q31+S31)/4)</f>
        <v>0</v>
      </c>
      <c r="Z31" s="19" t="str">
        <f t="shared" si="38"/>
        <v>#DIV/0!</v>
      </c>
      <c r="AA31" s="19">
        <f t="shared" si="3"/>
        <v>0</v>
      </c>
      <c r="AB31" s="19" t="str">
        <f t="shared" si="4"/>
        <v>#DIV/0!</v>
      </c>
      <c r="AC31" s="22" t="s">
        <v>28</v>
      </c>
    </row>
    <row r="32" ht="14.25" customHeight="1">
      <c r="A32" s="1"/>
      <c r="B32" s="71" t="s">
        <v>95</v>
      </c>
      <c r="C32" s="70"/>
      <c r="D32" s="70"/>
      <c r="E32" s="70"/>
      <c r="F32" s="70"/>
      <c r="G32" s="70"/>
      <c r="H32" s="70"/>
      <c r="I32" s="1"/>
      <c r="J32" s="1"/>
      <c r="K32" s="1"/>
      <c r="L32" s="15" t="s">
        <v>96</v>
      </c>
      <c r="M32" s="56"/>
      <c r="N32" s="72" t="str">
        <f>M32/C7*100</f>
        <v>#DIV/0!</v>
      </c>
      <c r="O32" s="17"/>
      <c r="P32" s="72" t="str">
        <f>O32/D7*100</f>
        <v>#DIV/0!</v>
      </c>
      <c r="Q32" s="20"/>
      <c r="R32" s="72" t="str">
        <f>Q32/E7*100</f>
        <v>#DIV/0!</v>
      </c>
      <c r="S32" s="56"/>
      <c r="T32" s="72" t="str">
        <f>S32/F7*100</f>
        <v>#DIV/0!</v>
      </c>
      <c r="U32" s="56"/>
      <c r="V32" s="72" t="str">
        <f>U32/G7*100</f>
        <v>#DIV/0!</v>
      </c>
      <c r="W32" s="56"/>
      <c r="X32" s="72" t="str">
        <f>W32/H7*100</f>
        <v>#DIV/0!</v>
      </c>
      <c r="Y32" s="19">
        <f t="shared" ref="Y32:Z32" si="39">((M32+O32+Q32+S32)/4)</f>
        <v>0</v>
      </c>
      <c r="Z32" s="74" t="str">
        <f t="shared" si="39"/>
        <v>#DIV/0!</v>
      </c>
      <c r="AA32" s="19">
        <f t="shared" si="3"/>
        <v>0</v>
      </c>
      <c r="AB32" s="19" t="str">
        <f t="shared" si="4"/>
        <v>#DIV/0!</v>
      </c>
      <c r="AC32" s="22" t="s">
        <v>57</v>
      </c>
    </row>
    <row r="33" ht="14.25" customHeight="1">
      <c r="A33" s="1"/>
      <c r="B33" s="71" t="s">
        <v>99</v>
      </c>
      <c r="C33" s="70"/>
      <c r="D33" s="70"/>
      <c r="E33" s="70"/>
      <c r="F33" s="70"/>
      <c r="G33" s="70"/>
      <c r="H33" s="70"/>
      <c r="I33" s="1"/>
      <c r="J33" s="1"/>
      <c r="K33" s="1"/>
      <c r="L33" s="15" t="s">
        <v>100</v>
      </c>
      <c r="M33" s="17"/>
      <c r="N33" s="19" t="str">
        <f>M33/C7*10000</f>
        <v>#DIV/0!</v>
      </c>
      <c r="O33" s="17"/>
      <c r="P33" s="19" t="str">
        <f>O33/D7*10000</f>
        <v>#DIV/0!</v>
      </c>
      <c r="Q33" s="20"/>
      <c r="R33" s="19" t="str">
        <f>Q33/E7*10000</f>
        <v>#DIV/0!</v>
      </c>
      <c r="S33" s="17"/>
      <c r="T33" s="19" t="str">
        <f>S33/F7*10000</f>
        <v>#DIV/0!</v>
      </c>
      <c r="U33" s="17"/>
      <c r="V33" s="19" t="str">
        <f>U33/G7*10000</f>
        <v>#DIV/0!</v>
      </c>
      <c r="W33" s="17"/>
      <c r="X33" s="19" t="str">
        <f>W33/H7*10000</f>
        <v>#DIV/0!</v>
      </c>
      <c r="Y33" s="19">
        <f t="shared" ref="Y33:Z33" si="40">((M33+O33+Q33+S33)/4)</f>
        <v>0</v>
      </c>
      <c r="Z33" s="19" t="str">
        <f t="shared" si="40"/>
        <v>#DIV/0!</v>
      </c>
      <c r="AA33" s="19">
        <f t="shared" si="3"/>
        <v>0</v>
      </c>
      <c r="AB33" s="19" t="str">
        <f t="shared" si="4"/>
        <v>#DIV/0!</v>
      </c>
      <c r="AC33" s="22" t="s">
        <v>57</v>
      </c>
    </row>
    <row r="34" ht="14.25" customHeight="1">
      <c r="A34" s="1"/>
      <c r="B34" s="71" t="s">
        <v>101</v>
      </c>
      <c r="C34" s="70"/>
      <c r="D34" s="70"/>
      <c r="E34" s="70"/>
      <c r="F34" s="70"/>
      <c r="G34" s="70"/>
      <c r="H34" s="70"/>
      <c r="I34" s="1"/>
      <c r="J34" s="1"/>
      <c r="K34" s="1"/>
      <c r="L34" s="15" t="s">
        <v>102</v>
      </c>
      <c r="M34" s="17"/>
      <c r="N34" s="19" t="str">
        <f>M34/C7*10000</f>
        <v>#DIV/0!</v>
      </c>
      <c r="O34" s="17"/>
      <c r="P34" s="19" t="str">
        <f>O34/D7*10000</f>
        <v>#DIV/0!</v>
      </c>
      <c r="Q34" s="20"/>
      <c r="R34" s="19" t="str">
        <f>Q34/E7*10000</f>
        <v>#DIV/0!</v>
      </c>
      <c r="S34" s="17"/>
      <c r="T34" s="19" t="str">
        <f>S34/F7*10000</f>
        <v>#DIV/0!</v>
      </c>
      <c r="U34" s="17"/>
      <c r="V34" s="19" t="str">
        <f>U34/G7*10000</f>
        <v>#DIV/0!</v>
      </c>
      <c r="W34" s="17"/>
      <c r="X34" s="19" t="str">
        <f>W34/H7*10000</f>
        <v>#DIV/0!</v>
      </c>
      <c r="Y34" s="19">
        <f t="shared" ref="Y34:Z34" si="41">((M34+O34+Q34+S34)/4)</f>
        <v>0</v>
      </c>
      <c r="Z34" s="19" t="str">
        <f t="shared" si="41"/>
        <v>#DIV/0!</v>
      </c>
      <c r="AA34" s="19">
        <f t="shared" si="3"/>
        <v>0</v>
      </c>
      <c r="AB34" s="19" t="str">
        <f t="shared" si="4"/>
        <v>#DIV/0!</v>
      </c>
      <c r="AC34" s="22" t="s">
        <v>57</v>
      </c>
    </row>
    <row r="35" ht="14.25" customHeight="1">
      <c r="A35" s="1"/>
      <c r="B35" s="71" t="s">
        <v>103</v>
      </c>
      <c r="C35" s="70"/>
      <c r="D35" s="70"/>
      <c r="E35" s="70"/>
      <c r="F35" s="70"/>
      <c r="G35" s="70"/>
      <c r="H35" s="70"/>
      <c r="I35" s="1"/>
      <c r="J35" s="1"/>
      <c r="K35" s="1"/>
      <c r="L35" s="15" t="s">
        <v>104</v>
      </c>
      <c r="M35" s="17"/>
      <c r="N35" s="19" t="str">
        <f>M35/M4*1000</f>
        <v>#DIV/0!</v>
      </c>
      <c r="O35" s="17"/>
      <c r="P35" s="19" t="str">
        <f>O35/O4*1000</f>
        <v>#DIV/0!</v>
      </c>
      <c r="Q35" s="20"/>
      <c r="R35" s="19" t="str">
        <f>Q35/Q4*1000</f>
        <v>#DIV/0!</v>
      </c>
      <c r="S35" s="17"/>
      <c r="T35" s="19" t="str">
        <f>S35/S4*1000</f>
        <v>#DIV/0!</v>
      </c>
      <c r="U35" s="17"/>
      <c r="V35" s="19" t="str">
        <f>U35/U4*1000</f>
        <v>#DIV/0!</v>
      </c>
      <c r="W35" s="17"/>
      <c r="X35" s="19" t="str">
        <f>W35/W4*1000</f>
        <v>#DIV/0!</v>
      </c>
      <c r="Y35" s="19">
        <f t="shared" ref="Y35:Z35" si="42">((M35+O35+Q35+S35)/4)</f>
        <v>0</v>
      </c>
      <c r="Z35" s="19" t="str">
        <f t="shared" si="42"/>
        <v>#DIV/0!</v>
      </c>
      <c r="AA35" s="19">
        <f t="shared" si="3"/>
        <v>0</v>
      </c>
      <c r="AB35" s="19" t="str">
        <f t="shared" si="4"/>
        <v>#DIV/0!</v>
      </c>
      <c r="AC35" s="22" t="s">
        <v>57</v>
      </c>
    </row>
    <row r="36" ht="14.25" customHeight="1">
      <c r="A36" s="1"/>
      <c r="B36" s="71" t="s">
        <v>105</v>
      </c>
      <c r="C36" s="70"/>
      <c r="D36" s="70"/>
      <c r="E36" s="70"/>
      <c r="F36" s="70"/>
      <c r="G36" s="70"/>
      <c r="H36" s="70"/>
      <c r="I36" s="1"/>
      <c r="J36" s="1"/>
      <c r="K36" s="1"/>
      <c r="L36" s="15" t="s">
        <v>106</v>
      </c>
      <c r="M36" s="17"/>
      <c r="N36" s="19" t="str">
        <f>M36/M4*1000</f>
        <v>#DIV/0!</v>
      </c>
      <c r="O36" s="17"/>
      <c r="P36" s="19" t="str">
        <f>O36/O4*1000</f>
        <v>#DIV/0!</v>
      </c>
      <c r="Q36" s="20"/>
      <c r="R36" s="19" t="str">
        <f>Q36/Q4*1000</f>
        <v>#DIV/0!</v>
      </c>
      <c r="S36" s="17"/>
      <c r="T36" s="19" t="str">
        <f>S36/S4*1000</f>
        <v>#DIV/0!</v>
      </c>
      <c r="U36" s="17"/>
      <c r="V36" s="19" t="str">
        <f>U36/U4*1000</f>
        <v>#DIV/0!</v>
      </c>
      <c r="W36" s="17"/>
      <c r="X36" s="19" t="str">
        <f>W36/W4*1000</f>
        <v>#DIV/0!</v>
      </c>
      <c r="Y36" s="19">
        <f t="shared" ref="Y36:Z36" si="43">((M36+O36+Q36+S36)/4)</f>
        <v>0</v>
      </c>
      <c r="Z36" s="19" t="str">
        <f t="shared" si="43"/>
        <v>#DIV/0!</v>
      </c>
      <c r="AA36" s="19">
        <f t="shared" si="3"/>
        <v>0</v>
      </c>
      <c r="AB36" s="19" t="str">
        <f t="shared" si="4"/>
        <v>#DIV/0!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7"/>
      <c r="N37" s="36"/>
      <c r="O37" s="17"/>
      <c r="P37" s="36"/>
      <c r="Q37" s="20"/>
      <c r="R37" s="36"/>
      <c r="S37" s="17"/>
      <c r="T37" s="36"/>
      <c r="U37" s="17"/>
      <c r="V37" s="36"/>
      <c r="W37" s="17"/>
      <c r="X37" s="36"/>
      <c r="Y37" s="19">
        <f t="shared" ref="Y37:Z37" si="44">((M37+O37+Q37+S37)/4)</f>
        <v>0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7"/>
      <c r="N38" s="19" t="str">
        <f>M38/C7*10000</f>
        <v>#DIV/0!</v>
      </c>
      <c r="O38" s="17"/>
      <c r="P38" s="19" t="str">
        <f>O38/E7*10000</f>
        <v>#DIV/0!</v>
      </c>
      <c r="Q38" s="20"/>
      <c r="R38" s="19" t="str">
        <f>Q38/E7*10000</f>
        <v>#DIV/0!</v>
      </c>
      <c r="S38" s="17"/>
      <c r="T38" s="19" t="str">
        <f>S38/F7*10000</f>
        <v>#DIV/0!</v>
      </c>
      <c r="U38" s="17"/>
      <c r="V38" s="19" t="str">
        <f>U38/G7*10000</f>
        <v>#DIV/0!</v>
      </c>
      <c r="W38" s="17"/>
      <c r="X38" s="19" t="str">
        <f>W38/H7*10000</f>
        <v>#DIV/0!</v>
      </c>
      <c r="Y38" s="19">
        <f t="shared" ref="Y38:Z38" si="45">((M38+O38+Q38+S38)/4)</f>
        <v>0</v>
      </c>
      <c r="Z38" s="19" t="str">
        <f t="shared" si="45"/>
        <v>#DIV/0!</v>
      </c>
      <c r="AA38" s="19">
        <f t="shared" si="3"/>
        <v>0</v>
      </c>
      <c r="AB38" s="19" t="str">
        <f t="shared" si="4"/>
        <v>#DIV/0!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7"/>
      <c r="N39" s="19" t="str">
        <f>M39/C17*10000</f>
        <v>#DIV/0!</v>
      </c>
      <c r="O39" s="17"/>
      <c r="P39" s="19" t="str">
        <f>O39/D17*10000</f>
        <v>#DIV/0!</v>
      </c>
      <c r="Q39" s="20"/>
      <c r="R39" s="19" t="str">
        <f>Q39/E17*100000</f>
        <v>#DIV/0!</v>
      </c>
      <c r="S39" s="17"/>
      <c r="T39" s="19" t="str">
        <f>S39/F17*100000</f>
        <v>#DIV/0!</v>
      </c>
      <c r="U39" s="17"/>
      <c r="V39" s="19" t="str">
        <f>U39/G17*100000</f>
        <v>#DIV/0!</v>
      </c>
      <c r="W39" s="17"/>
      <c r="X39" s="19" t="str">
        <f>W39/H17*100000</f>
        <v>#DIV/0!</v>
      </c>
      <c r="Y39" s="19">
        <f t="shared" ref="Y39:Z39" si="46">((M39+O39+Q39+S39)/4)</f>
        <v>0</v>
      </c>
      <c r="Z39" s="19" t="str">
        <f t="shared" si="46"/>
        <v>#DIV/0!</v>
      </c>
      <c r="AA39" s="19">
        <f t="shared" si="3"/>
        <v>0</v>
      </c>
      <c r="AB39" s="19" t="str">
        <f t="shared" si="4"/>
        <v>#DIV/0!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7"/>
      <c r="N40" s="19" t="str">
        <f>M40/C7*100000</f>
        <v>#DIV/0!</v>
      </c>
      <c r="O40" s="17"/>
      <c r="P40" s="19" t="str">
        <f>O40/D7*100000</f>
        <v>#DIV/0!</v>
      </c>
      <c r="Q40" s="20"/>
      <c r="R40" s="19" t="str">
        <f>Q40/E7*100000</f>
        <v>#DIV/0!</v>
      </c>
      <c r="S40" s="17"/>
      <c r="T40" s="19" t="str">
        <f>S40/F7*100000</f>
        <v>#DIV/0!</v>
      </c>
      <c r="U40" s="17"/>
      <c r="V40" s="19" t="str">
        <f>U40/G7*100000</f>
        <v>#DIV/0!</v>
      </c>
      <c r="W40" s="17"/>
      <c r="X40" s="19" t="str">
        <f>W40/H7*100000</f>
        <v>#DIV/0!</v>
      </c>
      <c r="Y40" s="19">
        <f t="shared" ref="Y40:Z40" si="47">((M40+O40+Q40+S40)/4)</f>
        <v>0</v>
      </c>
      <c r="Z40" s="19" t="str">
        <f t="shared" si="47"/>
        <v>#DIV/0!</v>
      </c>
      <c r="AA40" s="19">
        <f t="shared" si="3"/>
        <v>0</v>
      </c>
      <c r="AB40" s="19" t="str">
        <f t="shared" si="4"/>
        <v>#DIV/0!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56"/>
      <c r="N41" s="57" t="str">
        <f>M41/C7*10000</f>
        <v>#DIV/0!</v>
      </c>
      <c r="O41" s="17"/>
      <c r="P41" s="57" t="str">
        <f>O41/D7*10000</f>
        <v>#DIV/0!</v>
      </c>
      <c r="Q41" s="20"/>
      <c r="R41" s="57" t="str">
        <f>Q41/E7*10000</f>
        <v>#DIV/0!</v>
      </c>
      <c r="S41" s="56"/>
      <c r="T41" s="57" t="str">
        <f>S41/F7*10000</f>
        <v>#DIV/0!</v>
      </c>
      <c r="U41" s="56"/>
      <c r="V41" s="57" t="str">
        <f>U41/G7*10000</f>
        <v>#DIV/0!</v>
      </c>
      <c r="W41" s="56"/>
      <c r="X41" s="57" t="str">
        <f>W41/H7*10000</f>
        <v>#DIV/0!</v>
      </c>
      <c r="Y41" s="19">
        <f t="shared" ref="Y41:Z41" si="48">((M41+O41+Q41+S41)/4)</f>
        <v>0</v>
      </c>
      <c r="Z41" s="19" t="str">
        <f t="shared" si="48"/>
        <v>#DIV/0!</v>
      </c>
      <c r="AA41" s="19">
        <f t="shared" si="3"/>
        <v>0</v>
      </c>
      <c r="AB41" s="19" t="str">
        <f t="shared" si="4"/>
        <v>#DIV/0!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56"/>
      <c r="N42" s="57" t="str">
        <f>M42/C7*10000</f>
        <v>#DIV/0!</v>
      </c>
      <c r="O42" s="17"/>
      <c r="P42" s="57" t="str">
        <f>O42/D7*10000</f>
        <v>#DIV/0!</v>
      </c>
      <c r="Q42" s="20"/>
      <c r="R42" s="57" t="str">
        <f>Q42/E7*10000</f>
        <v>#DIV/0!</v>
      </c>
      <c r="S42" s="56"/>
      <c r="T42" s="57" t="str">
        <f>S42/F7*10000</f>
        <v>#DIV/0!</v>
      </c>
      <c r="U42" s="56"/>
      <c r="V42" s="57" t="str">
        <f>U42/G7*10000</f>
        <v>#DIV/0!</v>
      </c>
      <c r="W42" s="56"/>
      <c r="X42" s="57" t="str">
        <f>W42/H7*10000</f>
        <v>#DIV/0!</v>
      </c>
      <c r="Y42" s="19">
        <f t="shared" ref="Y42:Z42" si="49">((M42+O42+Q42+S42)/4)</f>
        <v>0</v>
      </c>
      <c r="Z42" s="19" t="str">
        <f t="shared" si="49"/>
        <v>#DIV/0!</v>
      </c>
      <c r="AA42" s="19">
        <f t="shared" si="3"/>
        <v>0</v>
      </c>
      <c r="AB42" s="19" t="str">
        <f t="shared" si="4"/>
        <v>#DIV/0!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56"/>
      <c r="N43" s="57" t="str">
        <f>M43/C16*10000</f>
        <v>#DIV/0!</v>
      </c>
      <c r="O43" s="17"/>
      <c r="P43" s="57" t="str">
        <f>O43/D16*10000</f>
        <v>#DIV/0!</v>
      </c>
      <c r="Q43" s="20"/>
      <c r="R43" s="57" t="str">
        <f>Q43/E16*100000</f>
        <v>#DIV/0!</v>
      </c>
      <c r="S43" s="56"/>
      <c r="T43" s="57" t="str">
        <f>S43/F16*100000</f>
        <v>#DIV/0!</v>
      </c>
      <c r="U43" s="56"/>
      <c r="V43" s="57" t="str">
        <f>U43/G16*100000</f>
        <v>#DIV/0!</v>
      </c>
      <c r="W43" s="56"/>
      <c r="X43" s="57" t="str">
        <f>W43/H16*100000</f>
        <v>#DIV/0!</v>
      </c>
      <c r="Y43" s="19">
        <f t="shared" ref="Y43:Z43" si="50">((M43+O43+Q43+S43)/4)</f>
        <v>0</v>
      </c>
      <c r="Z43" s="19" t="str">
        <f t="shared" si="50"/>
        <v>#DIV/0!</v>
      </c>
      <c r="AA43" s="19">
        <f t="shared" si="3"/>
        <v>0</v>
      </c>
      <c r="AB43" s="19" t="str">
        <f t="shared" si="4"/>
        <v>#DIV/0!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86"/>
      <c r="N44" s="57" t="str">
        <f>M44/C7*100000</f>
        <v>#DIV/0!</v>
      </c>
      <c r="O44" s="17"/>
      <c r="P44" s="57" t="str">
        <f>O44/D7*100000</f>
        <v>#DIV/0!</v>
      </c>
      <c r="Q44" s="17"/>
      <c r="R44" s="19" t="str">
        <f>Q44/E7*100000</f>
        <v>#DIV/0!</v>
      </c>
      <c r="S44" s="17"/>
      <c r="T44" s="19" t="str">
        <f>S44/F7*100000</f>
        <v>#DIV/0!</v>
      </c>
      <c r="U44" s="17"/>
      <c r="V44" s="19" t="str">
        <f>U44/G7*100000</f>
        <v>#DIV/0!</v>
      </c>
      <c r="W44" s="17"/>
      <c r="X44" s="19" t="str">
        <f>W44/H7*100000</f>
        <v>#DIV/0!</v>
      </c>
      <c r="Y44" s="19">
        <f t="shared" ref="Y44:Z44" si="51">((M44+O44+Q44+S44)/4)</f>
        <v>0</v>
      </c>
      <c r="Z44" s="19" t="str">
        <f t="shared" si="51"/>
        <v>#DIV/0!</v>
      </c>
      <c r="AA44" s="19">
        <f t="shared" si="3"/>
        <v>0</v>
      </c>
      <c r="AB44" s="19" t="str">
        <f t="shared" si="4"/>
        <v>#DIV/0!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86"/>
      <c r="N45" s="57" t="str">
        <f>M45/M4*100</f>
        <v>#DIV/0!</v>
      </c>
      <c r="O45" s="17"/>
      <c r="P45" s="57" t="str">
        <f>O45/O4*100</f>
        <v>#DIV/0!</v>
      </c>
      <c r="Q45" s="17"/>
      <c r="R45" s="19" t="str">
        <f>Q45/Q4*100</f>
        <v>#DIV/0!</v>
      </c>
      <c r="S45" s="17"/>
      <c r="T45" s="19" t="str">
        <f>S45/S4*100</f>
        <v>#DIV/0!</v>
      </c>
      <c r="U45" s="17"/>
      <c r="V45" s="19" t="str">
        <f>U45/U4*100</f>
        <v>#DIV/0!</v>
      </c>
      <c r="W45" s="17"/>
      <c r="X45" s="19" t="str">
        <f>W45/W4*100</f>
        <v>#DIV/0!</v>
      </c>
      <c r="Y45" s="19">
        <f t="shared" ref="Y45:Z45" si="52">((M45+O45+Q45+S45)/4)</f>
        <v>0</v>
      </c>
      <c r="Z45" s="19" t="str">
        <f t="shared" si="52"/>
        <v>#DIV/0!</v>
      </c>
      <c r="AA45" s="19">
        <f t="shared" si="3"/>
        <v>0</v>
      </c>
      <c r="AB45" s="19" t="str">
        <f t="shared" si="4"/>
        <v>#DIV/0!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86"/>
      <c r="N46" s="57" t="str">
        <f>M46/M4*100</f>
        <v>#DIV/0!</v>
      </c>
      <c r="O46" s="17"/>
      <c r="P46" s="57" t="str">
        <f>O46/O4*100</f>
        <v>#DIV/0!</v>
      </c>
      <c r="Q46" s="17"/>
      <c r="R46" s="19" t="str">
        <f>Q46/Q4*100</f>
        <v>#DIV/0!</v>
      </c>
      <c r="S46" s="17"/>
      <c r="T46" s="19" t="str">
        <f>S46/S4*100</f>
        <v>#DIV/0!</v>
      </c>
      <c r="U46" s="17"/>
      <c r="V46" s="19" t="str">
        <f>U46/U4*100</f>
        <v>#DIV/0!</v>
      </c>
      <c r="W46" s="17"/>
      <c r="X46" s="19" t="str">
        <f>W46/W4*100</f>
        <v>#DIV/0!</v>
      </c>
      <c r="Y46" s="19">
        <f t="shared" ref="Y46:Z46" si="53">((M46+O46+Q46+S46)/4)</f>
        <v>0</v>
      </c>
      <c r="Z46" s="19" t="str">
        <f t="shared" si="53"/>
        <v>#DIV/0!</v>
      </c>
      <c r="AA46" s="19">
        <f t="shared" si="3"/>
        <v>0</v>
      </c>
      <c r="AB46" s="19" t="str">
        <f t="shared" si="4"/>
        <v>#DIV/0!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20"/>
      <c r="N47" s="19" t="str">
        <f>M47/C7*100000</f>
        <v>#DIV/0!</v>
      </c>
      <c r="O47" s="20"/>
      <c r="P47" s="19" t="str">
        <f>O47/D7*100000</f>
        <v>#DIV/0!</v>
      </c>
      <c r="Q47" s="20"/>
      <c r="R47" s="19" t="str">
        <f>Q47/E7*100000</f>
        <v>#DIV/0!</v>
      </c>
      <c r="S47" s="17"/>
      <c r="T47" s="19" t="str">
        <f>S47/F7*100000</f>
        <v>#DIV/0!</v>
      </c>
      <c r="U47" s="17"/>
      <c r="V47" s="19" t="str">
        <f>U47/G7*100000</f>
        <v>#DIV/0!</v>
      </c>
      <c r="W47" s="17"/>
      <c r="X47" s="19" t="str">
        <f>W47/H7*100000</f>
        <v>#DIV/0!</v>
      </c>
      <c r="Y47" s="19">
        <f t="shared" ref="Y47:Z47" si="54">((M47+O47+Q47+S47)/4)</f>
        <v>0</v>
      </c>
      <c r="Z47" s="19" t="str">
        <f t="shared" si="54"/>
        <v>#DIV/0!</v>
      </c>
      <c r="AA47" s="19">
        <f t="shared" si="3"/>
        <v>0</v>
      </c>
      <c r="AB47" s="19" t="str">
        <f t="shared" si="4"/>
        <v>#DIV/0!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20"/>
      <c r="N48" s="19" t="str">
        <f>M48/C7*100000</f>
        <v>#DIV/0!</v>
      </c>
      <c r="O48" s="17"/>
      <c r="P48" s="19" t="str">
        <f>O48/D7*100000</f>
        <v>#DIV/0!</v>
      </c>
      <c r="Q48" s="20"/>
      <c r="R48" s="19" t="str">
        <f>Q48/E7*100000</f>
        <v>#DIV/0!</v>
      </c>
      <c r="S48" s="17"/>
      <c r="T48" s="19" t="str">
        <f>S48/F7*100000</f>
        <v>#DIV/0!</v>
      </c>
      <c r="U48" s="17"/>
      <c r="V48" s="19" t="str">
        <f>U48/G7*100000</f>
        <v>#DIV/0!</v>
      </c>
      <c r="W48" s="17"/>
      <c r="X48" s="19" t="str">
        <f>W48/H7*100000</f>
        <v>#DIV/0!</v>
      </c>
      <c r="Y48" s="19">
        <f t="shared" ref="Y48:Z48" si="55">((M48+O48+Q48+S48)/4)</f>
        <v>0</v>
      </c>
      <c r="Z48" s="19" t="str">
        <f t="shared" si="55"/>
        <v>#DIV/0!</v>
      </c>
      <c r="AA48" s="19">
        <f t="shared" si="3"/>
        <v>0</v>
      </c>
      <c r="AB48" s="19" t="str">
        <f t="shared" si="4"/>
        <v>#DIV/0!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20"/>
      <c r="N49" s="19" t="str">
        <f>M49/C7*100000</f>
        <v>#DIV/0!</v>
      </c>
      <c r="O49" s="17"/>
      <c r="P49" s="19" t="str">
        <f>O49/D7*100000</f>
        <v>#DIV/0!</v>
      </c>
      <c r="Q49" s="20"/>
      <c r="R49" s="19" t="str">
        <f>Q49/E7*100000</f>
        <v>#DIV/0!</v>
      </c>
      <c r="S49" s="17"/>
      <c r="T49" s="19" t="str">
        <f>S49/F7*100000</f>
        <v>#DIV/0!</v>
      </c>
      <c r="U49" s="17"/>
      <c r="V49" s="19" t="str">
        <f>U49/G7*100000</f>
        <v>#DIV/0!</v>
      </c>
      <c r="W49" s="17"/>
      <c r="X49" s="19" t="str">
        <f>W49/H7*100000</f>
        <v>#DIV/0!</v>
      </c>
      <c r="Y49" s="19">
        <f t="shared" ref="Y49:Z49" si="56">((M49+O49+Q49+S49)/4)</f>
        <v>0</v>
      </c>
      <c r="Z49" s="19" t="str">
        <f t="shared" si="56"/>
        <v>#DIV/0!</v>
      </c>
      <c r="AA49" s="19">
        <f t="shared" si="3"/>
        <v>0</v>
      </c>
      <c r="AB49" s="19" t="str">
        <f t="shared" si="4"/>
        <v>#DIV/0!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20"/>
      <c r="N50" s="19" t="str">
        <f>M50/C7*100000</f>
        <v>#DIV/0!</v>
      </c>
      <c r="O50" s="20"/>
      <c r="P50" s="19" t="str">
        <f>O50/D7*100000</f>
        <v>#DIV/0!</v>
      </c>
      <c r="Q50" s="20"/>
      <c r="R50" s="19" t="str">
        <f>Q50/E7*100000</f>
        <v>#DIV/0!</v>
      </c>
      <c r="S50" s="17"/>
      <c r="T50" s="19" t="str">
        <f>S50/F7*100000</f>
        <v>#DIV/0!</v>
      </c>
      <c r="U50" s="17"/>
      <c r="V50" s="19" t="str">
        <f>U50/G7*100000</f>
        <v>#DIV/0!</v>
      </c>
      <c r="W50" s="17"/>
      <c r="X50" s="19" t="str">
        <f>W50/H7*100000</f>
        <v>#DIV/0!</v>
      </c>
      <c r="Y50" s="19">
        <f t="shared" ref="Y50:Z50" si="57">((M50+O50+Q50+S50)/4)</f>
        <v>0</v>
      </c>
      <c r="Z50" s="19" t="str">
        <f t="shared" si="57"/>
        <v>#DIV/0!</v>
      </c>
      <c r="AA50" s="19">
        <f t="shared" si="3"/>
        <v>0</v>
      </c>
      <c r="AB50" s="19" t="str">
        <f t="shared" si="4"/>
        <v>#DIV/0!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20"/>
      <c r="N51" s="19" t="str">
        <f>M51/C7*100000</f>
        <v>#DIV/0!</v>
      </c>
      <c r="O51" s="20"/>
      <c r="P51" s="19" t="str">
        <f>O51/D7*100000</f>
        <v>#DIV/0!</v>
      </c>
      <c r="Q51" s="20"/>
      <c r="R51" s="19" t="str">
        <f>Q51/E7*100000</f>
        <v>#DIV/0!</v>
      </c>
      <c r="S51" s="17"/>
      <c r="T51" s="19" t="str">
        <f>S51/F7*100000</f>
        <v>#DIV/0!</v>
      </c>
      <c r="U51" s="17"/>
      <c r="V51" s="19" t="str">
        <f>U51/G7*100000</f>
        <v>#DIV/0!</v>
      </c>
      <c r="W51" s="17"/>
      <c r="X51" s="19" t="str">
        <f>W51/H7*100000</f>
        <v>#DIV/0!</v>
      </c>
      <c r="Y51" s="19">
        <f t="shared" ref="Y51:Z51" si="58">((M51+O51+Q51+S51)/4)</f>
        <v>0</v>
      </c>
      <c r="Z51" s="19" t="str">
        <f t="shared" si="58"/>
        <v>#DIV/0!</v>
      </c>
      <c r="AA51" s="19">
        <f t="shared" si="3"/>
        <v>0</v>
      </c>
      <c r="AB51" s="19" t="str">
        <f t="shared" si="4"/>
        <v>#DIV/0!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20"/>
      <c r="N52" s="19" t="str">
        <f>M52/C7*100000</f>
        <v>#DIV/0!</v>
      </c>
      <c r="O52" s="20"/>
      <c r="P52" s="19" t="str">
        <f>O52/D7*100000</f>
        <v>#DIV/0!</v>
      </c>
      <c r="Q52" s="20"/>
      <c r="R52" s="19" t="str">
        <f>Q52/E7*100000</f>
        <v>#DIV/0!</v>
      </c>
      <c r="S52" s="17"/>
      <c r="T52" s="19" t="str">
        <f>S52/F7*100000</f>
        <v>#DIV/0!</v>
      </c>
      <c r="U52" s="17"/>
      <c r="V52" s="19" t="str">
        <f>U52/G7*100000</f>
        <v>#DIV/0!</v>
      </c>
      <c r="W52" s="17"/>
      <c r="X52" s="19" t="str">
        <f>W52/H7*100000</f>
        <v>#DIV/0!</v>
      </c>
      <c r="Y52" s="19">
        <f t="shared" ref="Y52:Z52" si="59">((M52+O52+Q52+S52)/4)</f>
        <v>0</v>
      </c>
      <c r="Z52" s="19" t="str">
        <f t="shared" si="59"/>
        <v>#DIV/0!</v>
      </c>
      <c r="AA52" s="19">
        <f t="shared" si="3"/>
        <v>0</v>
      </c>
      <c r="AB52" s="19" t="str">
        <f t="shared" si="4"/>
        <v>#DIV/0!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20"/>
      <c r="N53" s="19" t="str">
        <f>M53/C17*100000</f>
        <v>#DIV/0!</v>
      </c>
      <c r="O53" s="20"/>
      <c r="P53" s="19" t="str">
        <f>O53/D17*100000</f>
        <v>#DIV/0!</v>
      </c>
      <c r="Q53" s="20"/>
      <c r="R53" s="19" t="str">
        <f>Q53/E17*100000</f>
        <v>#DIV/0!</v>
      </c>
      <c r="S53" s="17"/>
      <c r="T53" s="19" t="str">
        <f>S53/F17*100000</f>
        <v>#DIV/0!</v>
      </c>
      <c r="U53" s="17"/>
      <c r="V53" s="19" t="str">
        <f>U53/G17*100000</f>
        <v>#DIV/0!</v>
      </c>
      <c r="W53" s="17"/>
      <c r="X53" s="19" t="str">
        <f>W53/H17*100000</f>
        <v>#DIV/0!</v>
      </c>
      <c r="Y53" s="19">
        <f t="shared" ref="Y53:Z53" si="60">((M53+O53+Q53+S53)/4)</f>
        <v>0</v>
      </c>
      <c r="Z53" s="19" t="str">
        <f t="shared" si="60"/>
        <v>#DIV/0!</v>
      </c>
      <c r="AA53" s="19">
        <f t="shared" si="3"/>
        <v>0</v>
      </c>
      <c r="AB53" s="19" t="str">
        <f t="shared" si="4"/>
        <v>#DIV/0!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20"/>
      <c r="N54" s="19" t="str">
        <f>M54/C19*100000</f>
        <v>#DIV/0!</v>
      </c>
      <c r="O54" s="20"/>
      <c r="P54" s="19" t="str">
        <f>O54/D19*100000</f>
        <v>#DIV/0!</v>
      </c>
      <c r="Q54" s="20"/>
      <c r="R54" s="19" t="str">
        <f>Q54/E19*100000</f>
        <v>#DIV/0!</v>
      </c>
      <c r="S54" s="17"/>
      <c r="T54" s="19" t="str">
        <f>S54/F19*100000</f>
        <v>#DIV/0!</v>
      </c>
      <c r="U54" s="17"/>
      <c r="V54" s="19" t="str">
        <f>U54/G19*100000</f>
        <v>#DIV/0!</v>
      </c>
      <c r="W54" s="17"/>
      <c r="X54" s="19" t="str">
        <f>W54/H19*100000</f>
        <v>#DIV/0!</v>
      </c>
      <c r="Y54" s="19">
        <f t="shared" ref="Y54:Z54" si="61">((M54+O54+Q54+S54)/4)</f>
        <v>0</v>
      </c>
      <c r="Z54" s="19" t="str">
        <f t="shared" si="61"/>
        <v>#DIV/0!</v>
      </c>
      <c r="AA54" s="19">
        <f t="shared" si="3"/>
        <v>0</v>
      </c>
      <c r="AB54" s="19" t="str">
        <f t="shared" si="4"/>
        <v>#DIV/0!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20"/>
      <c r="N55" s="19" t="str">
        <f>M55/C19*100000</f>
        <v>#DIV/0!</v>
      </c>
      <c r="O55" s="20"/>
      <c r="P55" s="19" t="str">
        <f>O55/D19*100000</f>
        <v>#DIV/0!</v>
      </c>
      <c r="Q55" s="20"/>
      <c r="R55" s="19" t="str">
        <f>Q55/E19*100000</f>
        <v>#DIV/0!</v>
      </c>
      <c r="S55" s="17"/>
      <c r="T55" s="19" t="str">
        <f>S55/F19*100000</f>
        <v>#DIV/0!</v>
      </c>
      <c r="U55" s="17"/>
      <c r="V55" s="19" t="str">
        <f>U55/G19*100000</f>
        <v>#DIV/0!</v>
      </c>
      <c r="W55" s="17"/>
      <c r="X55" s="19" t="str">
        <f>W55/H19*100000</f>
        <v>#DIV/0!</v>
      </c>
      <c r="Y55" s="19">
        <f t="shared" ref="Y55:Z55" si="62">((M55+O55+Q55+S55)/4)</f>
        <v>0</v>
      </c>
      <c r="Z55" s="19" t="str">
        <f t="shared" si="62"/>
        <v>#DIV/0!</v>
      </c>
      <c r="AA55" s="19">
        <f t="shared" si="3"/>
        <v>0</v>
      </c>
      <c r="AB55" s="19" t="str">
        <f t="shared" si="4"/>
        <v>#DIV/0!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20"/>
      <c r="N56" s="19" t="str">
        <f>M56/C7*100000</f>
        <v>#DIV/0!</v>
      </c>
      <c r="O56" s="20"/>
      <c r="P56" s="19" t="str">
        <f>O56/D7*100000</f>
        <v>#DIV/0!</v>
      </c>
      <c r="Q56" s="20"/>
      <c r="R56" s="19" t="str">
        <f>Q56/E7*100000</f>
        <v>#DIV/0!</v>
      </c>
      <c r="S56" s="17"/>
      <c r="T56" s="19" t="str">
        <f>S56/F7*100000</f>
        <v>#DIV/0!</v>
      </c>
      <c r="U56" s="17"/>
      <c r="V56" s="19" t="str">
        <f>U56/G7*100000</f>
        <v>#DIV/0!</v>
      </c>
      <c r="W56" s="17"/>
      <c r="X56" s="19" t="str">
        <f>W56/H7*100000</f>
        <v>#DIV/0!</v>
      </c>
      <c r="Y56" s="19">
        <f t="shared" ref="Y56:Z56" si="63">((M56+O56+Q56+S56)/4)</f>
        <v>0</v>
      </c>
      <c r="Z56" s="19" t="str">
        <f t="shared" si="63"/>
        <v>#DIV/0!</v>
      </c>
      <c r="AA56" s="19">
        <f t="shared" si="3"/>
        <v>0</v>
      </c>
      <c r="AB56" s="19" t="str">
        <f t="shared" si="4"/>
        <v>#DIV/0!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20"/>
      <c r="N57" s="19" t="str">
        <f>M57/M4*100000</f>
        <v>#DIV/0!</v>
      </c>
      <c r="O57" s="20"/>
      <c r="P57" s="19" t="str">
        <f>O57/O4*100000</f>
        <v>#DIV/0!</v>
      </c>
      <c r="Q57" s="20"/>
      <c r="R57" s="19" t="str">
        <f>Q57/Q4*100000</f>
        <v>#DIV/0!</v>
      </c>
      <c r="S57" s="17"/>
      <c r="T57" s="19" t="str">
        <f>S57/S4*100000</f>
        <v>#DIV/0!</v>
      </c>
      <c r="U57" s="17"/>
      <c r="V57" s="19" t="str">
        <f>U57/U4*100000</f>
        <v>#DIV/0!</v>
      </c>
      <c r="W57" s="17"/>
      <c r="X57" s="19" t="str">
        <f>W57/W4*100000</f>
        <v>#DIV/0!</v>
      </c>
      <c r="Y57" s="19">
        <f t="shared" ref="Y57:Z57" si="64">((M57+O57+Q57+S57)/4)</f>
        <v>0</v>
      </c>
      <c r="Z57" s="19" t="str">
        <f t="shared" si="64"/>
        <v>#DIV/0!</v>
      </c>
      <c r="AA57" s="19">
        <f t="shared" si="3"/>
        <v>0</v>
      </c>
      <c r="AB57" s="19" t="str">
        <f t="shared" si="4"/>
        <v>#DIV/0!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86"/>
      <c r="N58" s="57" t="str">
        <f>M58/C7*100000</f>
        <v>#DIV/0!</v>
      </c>
      <c r="O58" s="86"/>
      <c r="P58" s="57" t="str">
        <f>O58/D7*100000</f>
        <v>#DIV/0!</v>
      </c>
      <c r="Q58" s="86"/>
      <c r="R58" s="57" t="str">
        <f>Q58/E7*100000</f>
        <v>#DIV/0!</v>
      </c>
      <c r="S58" s="56"/>
      <c r="T58" s="57" t="str">
        <f>S58/F7*100000</f>
        <v>#DIV/0!</v>
      </c>
      <c r="U58" s="56"/>
      <c r="V58" s="57" t="str">
        <f>U58/G7*100000</f>
        <v>#DIV/0!</v>
      </c>
      <c r="W58" s="56"/>
      <c r="X58" s="57" t="str">
        <f>W58/H7*100000</f>
        <v>#DIV/0!</v>
      </c>
      <c r="Y58" s="19">
        <f t="shared" ref="Y58:Z58" si="65">((M58+O58+Q58+S58)/4)</f>
        <v>0</v>
      </c>
      <c r="Z58" s="19" t="str">
        <f t="shared" si="65"/>
        <v>#DIV/0!</v>
      </c>
      <c r="AA58" s="19">
        <f t="shared" si="3"/>
        <v>0</v>
      </c>
      <c r="AB58" s="19" t="str">
        <f t="shared" si="4"/>
        <v>#DIV/0!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86"/>
      <c r="N59" s="57" t="str">
        <f>M59/C7*100000</f>
        <v>#DIV/0!</v>
      </c>
      <c r="O59" s="86"/>
      <c r="P59" s="57" t="str">
        <f>O59/D7*100000</f>
        <v>#DIV/0!</v>
      </c>
      <c r="Q59" s="86"/>
      <c r="R59" s="57" t="str">
        <f>Q59/E7*100000</f>
        <v>#DIV/0!</v>
      </c>
      <c r="S59" s="97"/>
      <c r="T59" s="98" t="str">
        <f>S59/F7*100000</f>
        <v>#DIV/0!</v>
      </c>
      <c r="U59" s="97"/>
      <c r="V59" s="98" t="str">
        <f>U59/G7*100000</f>
        <v>#DIV/0!</v>
      </c>
      <c r="W59" s="97"/>
      <c r="X59" s="98" t="str">
        <f>W59/H7*100000</f>
        <v>#DIV/0!</v>
      </c>
      <c r="Y59" s="99">
        <f t="shared" ref="Y59:Z59" si="66">((M59+O59+Q59+S59)/4)</f>
        <v>0</v>
      </c>
      <c r="Z59" s="99" t="str">
        <f t="shared" si="66"/>
        <v>#DIV/0!</v>
      </c>
      <c r="AA59" s="19">
        <f t="shared" si="3"/>
        <v>0</v>
      </c>
      <c r="AB59" s="19" t="str">
        <f t="shared" si="4"/>
        <v>#DIV/0!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86"/>
      <c r="N60" s="57" t="str">
        <f>M60/C17*100000</f>
        <v>#DIV/0!</v>
      </c>
      <c r="O60" s="86"/>
      <c r="P60" s="57" t="str">
        <f>O60/D17*100000</f>
        <v>#DIV/0!</v>
      </c>
      <c r="Q60" s="86"/>
      <c r="R60" s="57" t="str">
        <f>Q60/E17*100000</f>
        <v>#DIV/0!</v>
      </c>
      <c r="S60" s="56"/>
      <c r="T60" s="57" t="str">
        <f>S60/F17*100000</f>
        <v>#DIV/0!</v>
      </c>
      <c r="U60" s="56"/>
      <c r="V60" s="57" t="str">
        <f>U60/G17*100000</f>
        <v>#DIV/0!</v>
      </c>
      <c r="W60" s="56"/>
      <c r="X60" s="57" t="str">
        <f>W60/H17*100000</f>
        <v>#DIV/0!</v>
      </c>
      <c r="Y60" s="99">
        <f>((M60+O60+Q60+S60)/4)</f>
        <v>0</v>
      </c>
      <c r="Z60" s="99" t="str">
        <f>((N60+P60+R60+T60)/1)</f>
        <v>#DIV/0!</v>
      </c>
      <c r="AA60" s="19">
        <f t="shared" si="3"/>
        <v>0</v>
      </c>
      <c r="AB60" s="19" t="str">
        <f t="shared" si="4"/>
        <v>#DIV/0!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86"/>
      <c r="N61" s="57" t="str">
        <f>M61/C15*1000</f>
        <v>#DIV/0!</v>
      </c>
      <c r="O61" s="86"/>
      <c r="P61" s="57" t="str">
        <f>O61/D15*1000</f>
        <v>#DIV/0!</v>
      </c>
      <c r="Q61" s="86"/>
      <c r="R61" s="57" t="str">
        <f>Q61/E15*1000</f>
        <v>#DIV/0!</v>
      </c>
      <c r="S61" s="56"/>
      <c r="T61" s="57" t="str">
        <f>S61/F15*1000</f>
        <v>#DIV/0!</v>
      </c>
      <c r="U61" s="56"/>
      <c r="V61" s="57" t="str">
        <f>U61/G15*1000</f>
        <v>#DIV/0!</v>
      </c>
      <c r="W61" s="56"/>
      <c r="X61" s="57" t="str">
        <f>W61/H23*1000</f>
        <v>#DIV/0!</v>
      </c>
      <c r="Y61" s="99">
        <f t="shared" ref="Y61:Z61" si="67">((M61+O61+Q61+S61)/1)</f>
        <v>0</v>
      </c>
      <c r="Z61" s="99" t="str">
        <f t="shared" si="67"/>
        <v>#DIV/0!</v>
      </c>
      <c r="AA61" s="19">
        <f t="shared" si="3"/>
        <v>0</v>
      </c>
      <c r="AB61" s="19" t="str">
        <f t="shared" si="4"/>
        <v>#DIV/0!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86"/>
      <c r="N62" s="57" t="str">
        <f>M62/C15*1000</f>
        <v>#DIV/0!</v>
      </c>
      <c r="O62" s="86"/>
      <c r="P62" s="57" t="str">
        <f>O62/D15*1000</f>
        <v>#DIV/0!</v>
      </c>
      <c r="Q62" s="86"/>
      <c r="R62" s="57" t="str">
        <f>Q62/E15*1000</f>
        <v>#DIV/0!</v>
      </c>
      <c r="S62" s="56"/>
      <c r="T62" s="57" t="str">
        <f>S62/F15*1000</f>
        <v>#DIV/0!</v>
      </c>
      <c r="U62" s="56"/>
      <c r="V62" s="57" t="str">
        <f>U62/G15*1000</f>
        <v>#DIV/0!</v>
      </c>
      <c r="W62" s="56"/>
      <c r="X62" s="57" t="str">
        <f>W62/H15*1000</f>
        <v>#DIV/0!</v>
      </c>
      <c r="Y62" s="99">
        <f t="shared" ref="Y62:Z62" si="68">((M62+O62+Q62+S62)/1)</f>
        <v>0</v>
      </c>
      <c r="Z62" s="99" t="str">
        <f t="shared" si="68"/>
        <v>#DIV/0!</v>
      </c>
      <c r="AA62" s="19">
        <f t="shared" si="3"/>
        <v>0</v>
      </c>
      <c r="AB62" s="19" t="str">
        <f t="shared" si="4"/>
        <v>#DIV/0!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86"/>
      <c r="N63" s="57" t="str">
        <f>M63/C17*100000</f>
        <v>#DIV/0!</v>
      </c>
      <c r="O63" s="86"/>
      <c r="P63" s="57" t="str">
        <f>O63/D17*100000</f>
        <v>#DIV/0!</v>
      </c>
      <c r="Q63" s="86"/>
      <c r="R63" s="57" t="str">
        <f>Q63/E17*100000</f>
        <v>#DIV/0!</v>
      </c>
      <c r="S63" s="56"/>
      <c r="T63" s="57" t="str">
        <f>S63/F17*100000</f>
        <v>#DIV/0!</v>
      </c>
      <c r="U63" s="56"/>
      <c r="V63" s="57" t="str">
        <f>U63/G17*100000</f>
        <v>#DIV/0!</v>
      </c>
      <c r="W63" s="56"/>
      <c r="X63" s="57" t="str">
        <f>W63/H17*100000</f>
        <v>#DIV/0!</v>
      </c>
      <c r="Y63" s="99">
        <f t="shared" ref="Y63:Z63" si="69">((M63+O63+Q63+S63)/1)</f>
        <v>0</v>
      </c>
      <c r="Z63" s="99" t="str">
        <f t="shared" si="69"/>
        <v>#DIV/0!</v>
      </c>
      <c r="AA63" s="19">
        <f t="shared" si="3"/>
        <v>0</v>
      </c>
      <c r="AB63" s="19" t="str">
        <f t="shared" si="4"/>
        <v>#DIV/0!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86"/>
      <c r="N64" s="57" t="str">
        <f>M64/C17*100000</f>
        <v>#DIV/0!</v>
      </c>
      <c r="O64" s="86"/>
      <c r="P64" s="57" t="str">
        <f>O64/D17*100000</f>
        <v>#DIV/0!</v>
      </c>
      <c r="Q64" s="86"/>
      <c r="R64" s="57" t="str">
        <f>Q64/E17*100000</f>
        <v>#DIV/0!</v>
      </c>
      <c r="S64" s="56"/>
      <c r="T64" s="57" t="str">
        <f>S64/F17*100000</f>
        <v>#DIV/0!</v>
      </c>
      <c r="U64" s="57"/>
      <c r="V64" s="57" t="str">
        <f>U64/G17*100000</f>
        <v>#DIV/0!</v>
      </c>
      <c r="W64" s="56"/>
      <c r="X64" s="57" t="str">
        <f>W64/H17*100000</f>
        <v>#DIV/0!</v>
      </c>
      <c r="Y64" s="99">
        <f t="shared" ref="Y64:Z64" si="70">((M64+O64+Q64+S64)/1)</f>
        <v>0</v>
      </c>
      <c r="Z64" s="99" t="str">
        <f t="shared" si="70"/>
        <v>#DIV/0!</v>
      </c>
      <c r="AA64" s="19">
        <f t="shared" si="3"/>
        <v>0</v>
      </c>
      <c r="AB64" s="19" t="str">
        <f t="shared" si="4"/>
        <v>#DIV/0!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86"/>
      <c r="N65" s="57" t="str">
        <f>M65/C17*100000</f>
        <v>#DIV/0!</v>
      </c>
      <c r="O65" s="86"/>
      <c r="P65" s="57" t="str">
        <f>O65/D17*100000</f>
        <v>#DIV/0!</v>
      </c>
      <c r="Q65" s="86"/>
      <c r="R65" s="57" t="str">
        <f>Q65/E17*100000</f>
        <v>#DIV/0!</v>
      </c>
      <c r="S65" s="86"/>
      <c r="T65" s="57" t="str">
        <f>S65/F17*100000</f>
        <v>#DIV/0!</v>
      </c>
      <c r="U65" s="86"/>
      <c r="V65" s="57" t="str">
        <f>U65/G17*100000</f>
        <v>#DIV/0!</v>
      </c>
      <c r="W65" s="56"/>
      <c r="X65" s="57" t="str">
        <f>W65/H17*100000</f>
        <v>#DIV/0!</v>
      </c>
      <c r="Y65" s="99">
        <f t="shared" ref="Y65:Z65" si="71">((M65+O65+Q65+S65)/1)</f>
        <v>0</v>
      </c>
      <c r="Z65" s="99" t="str">
        <f t="shared" si="71"/>
        <v>#DIV/0!</v>
      </c>
      <c r="AA65" s="19">
        <f t="shared" si="3"/>
        <v>0</v>
      </c>
      <c r="AB65" s="19" t="str">
        <f t="shared" si="4"/>
        <v>#DIV/0!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86"/>
      <c r="N66" s="57" t="str">
        <f>M66/C17*100000</f>
        <v>#DIV/0!</v>
      </c>
      <c r="O66" s="86"/>
      <c r="P66" s="57" t="str">
        <f>O66/D17*100000</f>
        <v>#DIV/0!</v>
      </c>
      <c r="Q66" s="86"/>
      <c r="R66" s="57" t="str">
        <f>Q66/E17*100000</f>
        <v>#DIV/0!</v>
      </c>
      <c r="S66" s="86"/>
      <c r="T66" s="57" t="str">
        <f>S66/F17*100000</f>
        <v>#DIV/0!</v>
      </c>
      <c r="U66" s="86"/>
      <c r="V66" s="57" t="str">
        <f>U66/G17*100000</f>
        <v>#DIV/0!</v>
      </c>
      <c r="W66" s="56"/>
      <c r="X66" s="57" t="str">
        <f>W66/H17*100000</f>
        <v>#DIV/0!</v>
      </c>
      <c r="Y66" s="99">
        <f t="shared" ref="Y66:Z66" si="72">((M66+O66+Q66+S66)/1)</f>
        <v>0</v>
      </c>
      <c r="Z66" s="99" t="str">
        <f t="shared" si="72"/>
        <v>#DIV/0!</v>
      </c>
      <c r="AA66" s="19">
        <f t="shared" si="3"/>
        <v>0</v>
      </c>
      <c r="AB66" s="19" t="str">
        <f t="shared" si="4"/>
        <v>#DIV/0!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86"/>
      <c r="N67" s="57" t="str">
        <f>M67/C17*100000</f>
        <v>#DIV/0!</v>
      </c>
      <c r="O67" s="86"/>
      <c r="P67" s="57" t="str">
        <f>O67/D17*100000</f>
        <v>#DIV/0!</v>
      </c>
      <c r="Q67" s="86"/>
      <c r="R67" s="57" t="str">
        <f>Q67/E17*100000</f>
        <v>#DIV/0!</v>
      </c>
      <c r="S67" s="86"/>
      <c r="T67" s="57" t="str">
        <f>S67/F17*100000</f>
        <v>#DIV/0!</v>
      </c>
      <c r="U67" s="86"/>
      <c r="V67" s="57" t="str">
        <f>U67/G17*100000</f>
        <v>#DIV/0!</v>
      </c>
      <c r="W67" s="56"/>
      <c r="X67" s="57" t="str">
        <f>W67/H17*100000</f>
        <v>#DIV/0!</v>
      </c>
      <c r="Y67" s="99">
        <f t="shared" ref="Y67:Z67" si="73">((M67+O67+Q67+S67)/1)</f>
        <v>0</v>
      </c>
      <c r="Z67" s="99" t="str">
        <f t="shared" si="73"/>
        <v>#DIV/0!</v>
      </c>
      <c r="AA67" s="19">
        <f t="shared" si="3"/>
        <v>0</v>
      </c>
      <c r="AB67" s="19" t="str">
        <f t="shared" si="4"/>
        <v>#DIV/0!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86"/>
      <c r="N68" s="57" t="str">
        <f>M68/C11*100000</f>
        <v>#DIV/0!</v>
      </c>
      <c r="O68" s="86"/>
      <c r="P68" s="57" t="str">
        <f>O68/D11*100000</f>
        <v>#DIV/0!</v>
      </c>
      <c r="Q68" s="86"/>
      <c r="R68" s="57" t="str">
        <f>Q68/E11*100000</f>
        <v>#DIV/0!</v>
      </c>
      <c r="S68" s="86"/>
      <c r="T68" s="57" t="str">
        <f>S68/F11*100000</f>
        <v>#DIV/0!</v>
      </c>
      <c r="U68" s="86"/>
      <c r="V68" s="57" t="str">
        <f>U68/G11*100000</f>
        <v>#DIV/0!</v>
      </c>
      <c r="W68" s="56"/>
      <c r="X68" s="57" t="str">
        <f>W68/H11*100000</f>
        <v>#DIV/0!</v>
      </c>
      <c r="Y68" s="99">
        <f t="shared" ref="Y68:Z68" si="74">((M68+O68+Q68+S68)/2)</f>
        <v>0</v>
      </c>
      <c r="Z68" s="99" t="str">
        <f t="shared" si="74"/>
        <v>#DIV/0!</v>
      </c>
      <c r="AA68" s="19">
        <f t="shared" si="3"/>
        <v>0</v>
      </c>
      <c r="AB68" s="19" t="str">
        <f t="shared" si="4"/>
        <v>#DIV/0!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86"/>
      <c r="N69" s="57" t="str">
        <f>M69/C11*100000</f>
        <v>#DIV/0!</v>
      </c>
      <c r="O69" s="86"/>
      <c r="P69" s="57" t="str">
        <f>O69/D11*100000</f>
        <v>#DIV/0!</v>
      </c>
      <c r="Q69" s="86"/>
      <c r="R69" s="57" t="str">
        <f>Q69/E11*100000</f>
        <v>#DIV/0!</v>
      </c>
      <c r="S69" s="86"/>
      <c r="T69" s="57" t="str">
        <f>S69/F11*100000</f>
        <v>#DIV/0!</v>
      </c>
      <c r="U69" s="86"/>
      <c r="V69" s="57" t="str">
        <f>U69/G11*100000</f>
        <v>#DIV/0!</v>
      </c>
      <c r="W69" s="56"/>
      <c r="X69" s="57" t="str">
        <f>W69/H11*100000</f>
        <v>#DIV/0!</v>
      </c>
      <c r="Y69" s="19">
        <f t="shared" ref="Y69:Z69" si="75">((M69+O69+Q69+S69)/2)</f>
        <v>0</v>
      </c>
      <c r="Z69" s="19" t="str">
        <f t="shared" si="75"/>
        <v>#DIV/0!</v>
      </c>
      <c r="AA69" s="19">
        <f t="shared" si="3"/>
        <v>0</v>
      </c>
      <c r="AB69" s="19" t="str">
        <f t="shared" si="4"/>
        <v>#DIV/0!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04"/>
      <c r="N70" s="98" t="str">
        <f>M70/C7*100000</f>
        <v>#DIV/0!</v>
      </c>
      <c r="O70" s="104"/>
      <c r="P70" s="98" t="str">
        <f>O70/D7*100000</f>
        <v>#DIV/0!</v>
      </c>
      <c r="Q70" s="104"/>
      <c r="R70" s="98" t="str">
        <f>Q70/E7*100000</f>
        <v>#DIV/0!</v>
      </c>
      <c r="S70" s="104"/>
      <c r="T70" s="98" t="str">
        <f>S70/F7*100000</f>
        <v>#DIV/0!</v>
      </c>
      <c r="U70" s="104"/>
      <c r="V70" s="98" t="str">
        <f>U70/G7*100000</f>
        <v>#DIV/0!</v>
      </c>
      <c r="W70" s="97"/>
      <c r="X70" s="98" t="str">
        <f>W70/H7*100000</f>
        <v>#DIV/0!</v>
      </c>
      <c r="Y70" s="99">
        <f t="shared" ref="Y70:Z70" si="76">((M70+O70+Q70+S70)/1)</f>
        <v>0</v>
      </c>
      <c r="Z70" s="99" t="str">
        <f t="shared" si="76"/>
        <v>#DIV/0!</v>
      </c>
      <c r="AA70" s="99">
        <f t="shared" si="3"/>
        <v>0</v>
      </c>
      <c r="AB70" s="99" t="str">
        <f t="shared" si="4"/>
        <v>#DIV/0!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5.25" customHeight="1">
      <c r="B1" s="2"/>
      <c r="C1" s="3" t="s">
        <v>0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2" t="s">
        <v>7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8">
        <v>167.0</v>
      </c>
      <c r="N3" s="19">
        <f>M3/C7*1000</f>
        <v>7.023889637</v>
      </c>
      <c r="O3" s="18">
        <v>156.0</v>
      </c>
      <c r="P3" s="19">
        <f>O3/D7*1000</f>
        <v>6.38663719</v>
      </c>
      <c r="Q3" s="21">
        <v>145.0</v>
      </c>
      <c r="R3" s="19">
        <f>Q3/E7*1000</f>
        <v>5.751913999</v>
      </c>
      <c r="S3" s="18">
        <v>170.0</v>
      </c>
      <c r="T3" s="19">
        <f>S3/F7*1000</f>
        <v>6.524659374</v>
      </c>
      <c r="U3" s="18">
        <v>137.0</v>
      </c>
      <c r="V3" s="19" t="str">
        <f>U3/G7*1000</f>
        <v>#VALUE!</v>
      </c>
      <c r="W3" s="18">
        <v>65.0</v>
      </c>
      <c r="X3" s="19">
        <f>W3/H7*1000</f>
        <v>2.346994042</v>
      </c>
      <c r="Y3" s="19">
        <f t="shared" ref="Y3:Z3" si="1">((M3+O3+Q3+S3)/4)</f>
        <v>159.5</v>
      </c>
      <c r="Z3" s="19">
        <f t="shared" si="1"/>
        <v>6.42177505</v>
      </c>
      <c r="AA3" s="19">
        <f t="shared" ref="AA3:AA70" si="3">((S3+U3)/2)</f>
        <v>153.5</v>
      </c>
      <c r="AB3" s="19" t="str">
        <f t="shared" ref="AB3:AB70" si="4">(V3+X3)/2</f>
        <v>#VALUE!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24">
        <v>250.0</v>
      </c>
      <c r="N4" s="19">
        <f>M4/C7*1000</f>
        <v>10.51480485</v>
      </c>
      <c r="O4" s="24">
        <v>247.0</v>
      </c>
      <c r="P4" s="19">
        <f>O4/D7*1000</f>
        <v>10.11217555</v>
      </c>
      <c r="Q4" s="25">
        <v>216.0</v>
      </c>
      <c r="R4" s="19">
        <f>Q4/E7*1000</f>
        <v>8.56836844</v>
      </c>
      <c r="S4" s="24">
        <v>191.0</v>
      </c>
      <c r="T4" s="19">
        <f>S4/F7*1000</f>
        <v>7.330646709</v>
      </c>
      <c r="U4" s="24">
        <v>188.0</v>
      </c>
      <c r="V4" s="19" t="str">
        <f>U4/G7*1000</f>
        <v>#VALUE!</v>
      </c>
      <c r="W4" s="24">
        <v>103.0</v>
      </c>
      <c r="X4" s="19">
        <f>W4/H7*1000</f>
        <v>3.719082867</v>
      </c>
      <c r="Y4" s="19">
        <f t="shared" ref="Y4:Z4" si="2">((M4+O4+Q4+S4)/4)</f>
        <v>226</v>
      </c>
      <c r="Z4" s="19">
        <f t="shared" si="2"/>
        <v>9.131498886</v>
      </c>
      <c r="AA4" s="19">
        <f t="shared" si="3"/>
        <v>189.5</v>
      </c>
      <c r="AB4" s="19" t="str">
        <f t="shared" si="4"/>
        <v>#VALUE!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8">
        <v>0.0</v>
      </c>
      <c r="N5" s="19">
        <f>M5/C12*100000</f>
        <v>0</v>
      </c>
      <c r="O5" s="18">
        <v>1.0</v>
      </c>
      <c r="P5" s="19">
        <f>O5/D12*100000</f>
        <v>404.8582996</v>
      </c>
      <c r="Q5" s="21">
        <v>0.0</v>
      </c>
      <c r="R5" s="19">
        <f>Q5/E12*100000</f>
        <v>0</v>
      </c>
      <c r="S5" s="18">
        <v>0.0</v>
      </c>
      <c r="T5" s="19">
        <f>S5/F12*100000</f>
        <v>0</v>
      </c>
      <c r="U5" s="18">
        <v>0.0</v>
      </c>
      <c r="V5" s="19">
        <f>U5/G12*100000</f>
        <v>0</v>
      </c>
      <c r="W5" s="18">
        <v>0.0</v>
      </c>
      <c r="X5" s="19">
        <f>W5/H12*100000</f>
        <v>0</v>
      </c>
      <c r="Y5" s="19">
        <f t="shared" ref="Y5:Z5" si="5">((M5+O5+Q5+S5)/4)</f>
        <v>0.25</v>
      </c>
      <c r="Z5" s="19">
        <f t="shared" si="5"/>
        <v>101.2145749</v>
      </c>
      <c r="AA5" s="19">
        <f t="shared" si="3"/>
        <v>0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24">
        <v>6.0</v>
      </c>
      <c r="N6" s="19">
        <f>M6/M4*1000</f>
        <v>24</v>
      </c>
      <c r="O6" s="24">
        <v>10.0</v>
      </c>
      <c r="P6" s="19">
        <f>O6/O4*1000</f>
        <v>40.48582996</v>
      </c>
      <c r="Q6" s="25">
        <v>6.0</v>
      </c>
      <c r="R6" s="19">
        <f>Q6/Q4*1000</f>
        <v>27.77777778</v>
      </c>
      <c r="S6" s="24">
        <v>4.0</v>
      </c>
      <c r="T6" s="19">
        <f>S6/S4*1000</f>
        <v>20.94240838</v>
      </c>
      <c r="U6" s="24">
        <v>5.0</v>
      </c>
      <c r="V6" s="19">
        <f>U6/U4*1000</f>
        <v>26.59574468</v>
      </c>
      <c r="W6" s="24">
        <v>0.0</v>
      </c>
      <c r="X6" s="19">
        <f>W6/W4*1000</f>
        <v>0</v>
      </c>
      <c r="Y6" s="19">
        <f t="shared" ref="Y6:Z6" si="6">((M6+O6+Q6+S6)/4)</f>
        <v>6.5</v>
      </c>
      <c r="Z6" s="19">
        <f t="shared" si="6"/>
        <v>28.30150403</v>
      </c>
      <c r="AA6" s="19">
        <f t="shared" si="3"/>
        <v>4.5</v>
      </c>
      <c r="AB6" s="19">
        <f t="shared" si="4"/>
        <v>13.29787234</v>
      </c>
      <c r="AC6" s="22" t="s">
        <v>28</v>
      </c>
    </row>
    <row r="7" ht="14.25" customHeight="1">
      <c r="A7" s="1"/>
      <c r="B7" s="32" t="s">
        <v>41</v>
      </c>
      <c r="C7" s="40">
        <v>23776.0</v>
      </c>
      <c r="D7" s="41">
        <v>24426.0</v>
      </c>
      <c r="E7" s="40">
        <v>25209.0</v>
      </c>
      <c r="F7" s="41">
        <v>26055.0</v>
      </c>
      <c r="G7" s="41" t="s">
        <v>49</v>
      </c>
      <c r="H7" s="42">
        <v>27695.0</v>
      </c>
      <c r="I7" s="1"/>
      <c r="J7" s="1"/>
      <c r="K7" s="1"/>
      <c r="L7" s="15" t="s">
        <v>42</v>
      </c>
      <c r="M7" s="18">
        <v>1.0</v>
      </c>
      <c r="N7" s="36"/>
      <c r="O7" s="18">
        <v>4.0</v>
      </c>
      <c r="P7" s="36"/>
      <c r="Q7" s="21">
        <v>3.0</v>
      </c>
      <c r="R7" s="36"/>
      <c r="S7" s="18">
        <v>2.0</v>
      </c>
      <c r="T7" s="36"/>
      <c r="U7" s="18">
        <v>3.0</v>
      </c>
      <c r="V7" s="36"/>
      <c r="W7" s="18">
        <v>0.0</v>
      </c>
      <c r="X7" s="36"/>
      <c r="Y7" s="19">
        <f t="shared" ref="Y7:Z7" si="7">((M7+O7+Q7+S7)/4)</f>
        <v>2.5</v>
      </c>
      <c r="Z7" s="19">
        <f t="shared" si="7"/>
        <v>0</v>
      </c>
      <c r="AA7" s="19">
        <f t="shared" si="3"/>
        <v>2.5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43">
        <v>8681.0</v>
      </c>
      <c r="D8" s="43">
        <v>9475.0</v>
      </c>
      <c r="E8" s="43">
        <v>10211.0</v>
      </c>
      <c r="F8" s="43">
        <v>10957.0</v>
      </c>
      <c r="G8" s="43">
        <v>11555.0</v>
      </c>
      <c r="H8" s="45">
        <v>12128.0</v>
      </c>
      <c r="I8" s="1"/>
      <c r="J8" s="1"/>
      <c r="K8" s="1"/>
      <c r="L8" s="15" t="s">
        <v>45</v>
      </c>
      <c r="M8" s="24">
        <v>0.0</v>
      </c>
      <c r="N8" s="19">
        <f>M8/C15*1000</f>
        <v>0</v>
      </c>
      <c r="O8" s="24">
        <v>0.0</v>
      </c>
      <c r="P8" s="19">
        <f>O8/D15*1000</f>
        <v>0</v>
      </c>
      <c r="Q8" s="25">
        <v>0.0</v>
      </c>
      <c r="R8" s="19">
        <f>Q8/E15*1000</f>
        <v>0</v>
      </c>
      <c r="S8" s="24">
        <v>0.0</v>
      </c>
      <c r="T8" s="19">
        <f>S8/F15*1000</f>
        <v>0</v>
      </c>
      <c r="U8" s="24">
        <v>0.0</v>
      </c>
      <c r="V8" s="19">
        <f>U8/G15*1000</f>
        <v>0</v>
      </c>
      <c r="W8" s="24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41">
        <v>15095.0</v>
      </c>
      <c r="D9" s="41">
        <v>14951.0</v>
      </c>
      <c r="E9" s="41">
        <v>14998.0</v>
      </c>
      <c r="F9" s="41">
        <v>15098.0</v>
      </c>
      <c r="G9" s="41">
        <v>15315.0</v>
      </c>
      <c r="H9" s="42">
        <v>15567.0</v>
      </c>
      <c r="I9" s="1"/>
      <c r="J9" s="1"/>
      <c r="K9" s="1"/>
      <c r="L9" s="15" t="s">
        <v>48</v>
      </c>
      <c r="M9" s="18">
        <v>7.0</v>
      </c>
      <c r="N9" s="19">
        <f>M9/C7*100000</f>
        <v>29.44145357</v>
      </c>
      <c r="O9" s="18">
        <v>7.0</v>
      </c>
      <c r="P9" s="19">
        <f>O9/D7*100000</f>
        <v>28.65798739</v>
      </c>
      <c r="Q9" s="21">
        <v>4.0</v>
      </c>
      <c r="R9" s="19">
        <f>Q9/E7*100000</f>
        <v>15.86734896</v>
      </c>
      <c r="S9" s="18">
        <v>7.0</v>
      </c>
      <c r="T9" s="19">
        <f>S9/F7*100000</f>
        <v>26.86624448</v>
      </c>
      <c r="U9" s="18">
        <v>9.0</v>
      </c>
      <c r="V9" s="19" t="str">
        <f>U9/G7*100000</f>
        <v>#VALUE!</v>
      </c>
      <c r="W9" s="18">
        <v>1.0</v>
      </c>
      <c r="X9" s="19">
        <f>W9/H7*100000</f>
        <v>3.610760065</v>
      </c>
      <c r="Y9" s="19">
        <f t="shared" ref="Y9:Z9" si="9">((M9+O9+Q9+S9)/4)</f>
        <v>6.25</v>
      </c>
      <c r="Z9" s="19">
        <f t="shared" si="9"/>
        <v>25.2082586</v>
      </c>
      <c r="AA9" s="19">
        <f t="shared" si="3"/>
        <v>8</v>
      </c>
      <c r="AB9" s="19" t="str">
        <f t="shared" si="4"/>
        <v>#VALUE!</v>
      </c>
      <c r="AC9" s="22" t="s">
        <v>28</v>
      </c>
    </row>
    <row r="10" ht="14.25" customHeight="1">
      <c r="A10" s="1"/>
      <c r="B10" s="32" t="s">
        <v>50</v>
      </c>
      <c r="C10" s="43">
        <v>11717.0</v>
      </c>
      <c r="D10" s="43">
        <v>12039.0</v>
      </c>
      <c r="E10" s="43" t="s">
        <v>56</v>
      </c>
      <c r="F10" s="43">
        <v>12866.0</v>
      </c>
      <c r="G10" s="43">
        <v>13270.0</v>
      </c>
      <c r="H10" s="45">
        <v>13691.0</v>
      </c>
      <c r="I10" s="1"/>
      <c r="J10" s="1"/>
      <c r="K10" s="1"/>
      <c r="L10" s="15" t="s">
        <v>51</v>
      </c>
      <c r="M10" s="24">
        <v>0.0</v>
      </c>
      <c r="N10" s="19">
        <f>M10/C15*100000</f>
        <v>0</v>
      </c>
      <c r="O10" s="24">
        <v>0.0</v>
      </c>
      <c r="P10" s="19">
        <f t="shared" ref="P10:P11" si="11">O10/D15*100000</f>
        <v>0</v>
      </c>
      <c r="Q10" s="25">
        <v>0.0</v>
      </c>
      <c r="R10" s="19">
        <f>Q10/E15*100000</f>
        <v>0</v>
      </c>
      <c r="S10" s="24">
        <v>0.0</v>
      </c>
      <c r="T10" s="19">
        <f>S10/F15*100000</f>
        <v>0</v>
      </c>
      <c r="U10" s="24">
        <v>0.0</v>
      </c>
      <c r="V10" s="19">
        <f>U10/G15*100000</f>
        <v>0</v>
      </c>
      <c r="W10" s="24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41">
        <v>12059.0</v>
      </c>
      <c r="D11" s="41">
        <v>12387.0</v>
      </c>
      <c r="E11" s="41">
        <v>12779.0</v>
      </c>
      <c r="F11" s="41">
        <v>13189.0</v>
      </c>
      <c r="G11" s="41">
        <v>13600.0</v>
      </c>
      <c r="H11" s="42">
        <v>14004.0</v>
      </c>
      <c r="I11" s="1"/>
      <c r="J11" s="1"/>
      <c r="K11" s="1"/>
      <c r="L11" s="15" t="s">
        <v>53</v>
      </c>
      <c r="M11" s="18">
        <v>0.0</v>
      </c>
      <c r="N11" s="19">
        <f>M11/C15*100000</f>
        <v>0</v>
      </c>
      <c r="O11" s="18">
        <v>0.0</v>
      </c>
      <c r="P11" s="19">
        <f t="shared" si="11"/>
        <v>0</v>
      </c>
      <c r="Q11" s="21">
        <v>0.0</v>
      </c>
      <c r="R11" s="19">
        <f>Q11/F16*100000</f>
        <v>0</v>
      </c>
      <c r="S11" s="18">
        <v>0.0</v>
      </c>
      <c r="T11" s="19">
        <f>S11/F15*100000</f>
        <v>0</v>
      </c>
      <c r="U11" s="18">
        <v>0.0</v>
      </c>
      <c r="V11" s="19">
        <f>U11/G15*100000</f>
        <v>0</v>
      </c>
      <c r="W11" s="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43">
        <v>250.0</v>
      </c>
      <c r="D12" s="43">
        <v>247.0</v>
      </c>
      <c r="E12" s="43">
        <v>215.0</v>
      </c>
      <c r="F12" s="43">
        <v>191.0</v>
      </c>
      <c r="G12" s="43">
        <v>188.0</v>
      </c>
      <c r="H12" s="45">
        <v>103.0</v>
      </c>
      <c r="I12" s="1"/>
      <c r="J12" s="1"/>
      <c r="K12" s="1"/>
      <c r="L12" s="15" t="s">
        <v>55</v>
      </c>
      <c r="M12" s="24">
        <v>128.0</v>
      </c>
      <c r="N12" s="19">
        <f>M12/C7*100000</f>
        <v>538.3580081</v>
      </c>
      <c r="O12" s="24">
        <v>72.0</v>
      </c>
      <c r="P12" s="19">
        <f>O12/D7*100000</f>
        <v>294.7678703</v>
      </c>
      <c r="Q12" s="25">
        <v>103.0</v>
      </c>
      <c r="R12" s="19">
        <f>Q12/E7*100000</f>
        <v>408.5842358</v>
      </c>
      <c r="S12" s="24">
        <v>121.0</v>
      </c>
      <c r="T12" s="19">
        <f>S12/F7*100000</f>
        <v>464.4022261</v>
      </c>
      <c r="U12" s="24">
        <v>118.0</v>
      </c>
      <c r="V12" s="19" t="str">
        <f>U12/G7*100000</f>
        <v>#VALUE!</v>
      </c>
      <c r="W12" s="24">
        <v>64.0</v>
      </c>
      <c r="X12" s="19">
        <f>W12/H7*100000</f>
        <v>231.0886442</v>
      </c>
      <c r="Y12" s="19">
        <f t="shared" ref="Y12:Z12" si="13">((M12+O12+Q12+S12)/4)</f>
        <v>106</v>
      </c>
      <c r="Z12" s="19">
        <f t="shared" si="13"/>
        <v>426.5280851</v>
      </c>
      <c r="AA12" s="19">
        <f t="shared" si="3"/>
        <v>119.5</v>
      </c>
      <c r="AB12" s="19" t="str">
        <f t="shared" si="4"/>
        <v>#VALUE!</v>
      </c>
      <c r="AC12" s="22" t="s">
        <v>57</v>
      </c>
    </row>
    <row r="13" ht="14.25" customHeight="1">
      <c r="A13" s="1"/>
      <c r="B13" s="32" t="s">
        <v>58</v>
      </c>
      <c r="C13" s="41">
        <v>167.0</v>
      </c>
      <c r="D13" s="41">
        <v>156.0</v>
      </c>
      <c r="E13" s="41">
        <v>145.0</v>
      </c>
      <c r="F13" s="41">
        <v>170.0</v>
      </c>
      <c r="G13" s="41">
        <v>137.0</v>
      </c>
      <c r="H13" s="42">
        <v>65.0</v>
      </c>
      <c r="I13" s="1"/>
      <c r="J13" s="1"/>
      <c r="K13" s="1"/>
      <c r="L13" s="15" t="s">
        <v>59</v>
      </c>
      <c r="M13" s="18">
        <v>94.0</v>
      </c>
      <c r="N13" s="19">
        <f>M13/C11*100000</f>
        <v>779.5007878</v>
      </c>
      <c r="O13" s="18">
        <v>54.0</v>
      </c>
      <c r="P13" s="19">
        <f>O13/D11*100000</f>
        <v>435.9409058</v>
      </c>
      <c r="Q13" s="21">
        <v>83.0</v>
      </c>
      <c r="R13" s="19">
        <f>Q13/E11*100000</f>
        <v>649.503091</v>
      </c>
      <c r="S13" s="18">
        <v>98.0</v>
      </c>
      <c r="T13" s="19">
        <f>S13/F11*100000</f>
        <v>743.0434453</v>
      </c>
      <c r="U13" s="18">
        <v>96.0</v>
      </c>
      <c r="V13" s="19">
        <f>U13/G11*100000</f>
        <v>705.8823529</v>
      </c>
      <c r="W13" s="18">
        <v>56.0</v>
      </c>
      <c r="X13" s="19">
        <f>W13/H11*100000</f>
        <v>399.8857469</v>
      </c>
      <c r="Y13" s="19">
        <f t="shared" ref="Y13:Z13" si="14">((M13+O13+Q13+S13)/4)</f>
        <v>82.25</v>
      </c>
      <c r="Z13" s="19">
        <f t="shared" si="14"/>
        <v>651.9970575</v>
      </c>
      <c r="AA13" s="19">
        <f t="shared" si="3"/>
        <v>97</v>
      </c>
      <c r="AB13" s="19">
        <f t="shared" si="4"/>
        <v>552.8840499</v>
      </c>
      <c r="AC13" s="22" t="s">
        <v>57</v>
      </c>
    </row>
    <row r="14" ht="14.25" customHeight="1">
      <c r="A14" s="1"/>
      <c r="B14" s="32" t="s">
        <v>60</v>
      </c>
      <c r="C14" s="43">
        <v>760.0</v>
      </c>
      <c r="D14" s="43">
        <v>747.0</v>
      </c>
      <c r="E14" s="43">
        <v>735.0</v>
      </c>
      <c r="F14" s="43">
        <v>737.0</v>
      </c>
      <c r="G14" s="43">
        <v>746.0</v>
      </c>
      <c r="H14" s="45">
        <v>755.0</v>
      </c>
      <c r="I14" s="1"/>
      <c r="J14" s="1"/>
      <c r="K14" s="1"/>
      <c r="L14" s="15" t="s">
        <v>61</v>
      </c>
      <c r="M14" s="24">
        <v>1.0</v>
      </c>
      <c r="N14" s="19">
        <f>M14/M4*1000</f>
        <v>4</v>
      </c>
      <c r="O14" s="24">
        <v>3.0</v>
      </c>
      <c r="P14" s="19">
        <f>O14/O4*1000</f>
        <v>12.14574899</v>
      </c>
      <c r="Q14" s="25">
        <v>2.0</v>
      </c>
      <c r="R14" s="19">
        <f>Q14/Q4*1000</f>
        <v>9.259259259</v>
      </c>
      <c r="S14" s="24">
        <v>3.0</v>
      </c>
      <c r="T14" s="19">
        <f>S14/S4*1000</f>
        <v>15.70680628</v>
      </c>
      <c r="U14" s="24">
        <v>1.0</v>
      </c>
      <c r="V14" s="19">
        <f>U14/U4*1000</f>
        <v>5.319148936</v>
      </c>
      <c r="W14" s="55"/>
      <c r="X14" s="19">
        <f>W14/W4*1000</f>
        <v>0</v>
      </c>
      <c r="Y14" s="19">
        <f t="shared" ref="Y14:Z14" si="15">((M14+O14+Q14+S14)/4)</f>
        <v>2.25</v>
      </c>
      <c r="Z14" s="19">
        <f t="shared" si="15"/>
        <v>10.27795363</v>
      </c>
      <c r="AA14" s="19">
        <f t="shared" si="3"/>
        <v>2</v>
      </c>
      <c r="AB14" s="19">
        <f t="shared" si="4"/>
        <v>2.659574468</v>
      </c>
      <c r="AC14" s="22" t="s">
        <v>28</v>
      </c>
    </row>
    <row r="15" ht="14.25" customHeight="1">
      <c r="A15" s="1"/>
      <c r="B15" s="32" t="s">
        <v>62</v>
      </c>
      <c r="C15" s="41">
        <v>1894.0</v>
      </c>
      <c r="D15" s="41">
        <v>2271.0</v>
      </c>
      <c r="E15" s="41">
        <v>2289.0</v>
      </c>
      <c r="F15" s="41">
        <v>2310.0</v>
      </c>
      <c r="G15" s="41">
        <v>2316.0</v>
      </c>
      <c r="H15" s="42">
        <v>2321.0</v>
      </c>
      <c r="I15" s="1"/>
      <c r="J15" s="1"/>
      <c r="K15" s="1"/>
      <c r="L15" s="15" t="s">
        <v>63</v>
      </c>
      <c r="M15" s="18">
        <v>0.0</v>
      </c>
      <c r="N15" s="19">
        <f>M15/C15*100000</f>
        <v>0</v>
      </c>
      <c r="O15" s="18">
        <v>3.0</v>
      </c>
      <c r="P15" s="19">
        <f>O15/D15*100000</f>
        <v>132.1003963</v>
      </c>
      <c r="Q15" s="21">
        <v>2.0</v>
      </c>
      <c r="R15" s="19">
        <f>Q15/E15*100000</f>
        <v>87.3743993</v>
      </c>
      <c r="S15" s="18">
        <v>3.0</v>
      </c>
      <c r="T15" s="19">
        <f>S15/F15*100000</f>
        <v>129.8701299</v>
      </c>
      <c r="U15" s="18">
        <v>1.0</v>
      </c>
      <c r="V15" s="19">
        <f>U15/G15*100000</f>
        <v>43.17789292</v>
      </c>
      <c r="W15" s="18">
        <v>0.0</v>
      </c>
      <c r="X15" s="19">
        <f>W15/H15*100000</f>
        <v>0</v>
      </c>
      <c r="Y15" s="19">
        <f t="shared" ref="Y15:Z15" si="16">((M15+O15+Q15+S15)/4)</f>
        <v>2</v>
      </c>
      <c r="Z15" s="19">
        <f t="shared" si="16"/>
        <v>87.33623137</v>
      </c>
      <c r="AA15" s="19">
        <f t="shared" si="3"/>
        <v>2</v>
      </c>
      <c r="AB15" s="19">
        <f t="shared" si="4"/>
        <v>21.58894646</v>
      </c>
      <c r="AC15" s="22" t="s">
        <v>28</v>
      </c>
    </row>
    <row r="16" ht="14.25" customHeight="1">
      <c r="A16" s="1"/>
      <c r="B16" s="32" t="s">
        <v>64</v>
      </c>
      <c r="C16" s="43">
        <v>18279.0</v>
      </c>
      <c r="D16" s="43">
        <v>18873.0</v>
      </c>
      <c r="E16" s="43">
        <v>19559.0</v>
      </c>
      <c r="F16" s="43">
        <v>20292.0</v>
      </c>
      <c r="G16" s="43">
        <v>21012.0</v>
      </c>
      <c r="H16" s="45">
        <v>21743.0</v>
      </c>
      <c r="I16" s="1"/>
      <c r="J16" s="1"/>
      <c r="K16" s="1"/>
      <c r="L16" s="15" t="s">
        <v>65</v>
      </c>
      <c r="M16" s="24">
        <v>14.0</v>
      </c>
      <c r="N16" s="19">
        <f>M16/M4*100</f>
        <v>5.6</v>
      </c>
      <c r="O16" s="24">
        <v>10.0</v>
      </c>
      <c r="P16" s="19">
        <f>O16/O4*100</f>
        <v>4.048582996</v>
      </c>
      <c r="Q16" s="25">
        <v>11.0</v>
      </c>
      <c r="R16" s="19">
        <f>Q16/Q4*100</f>
        <v>5.092592593</v>
      </c>
      <c r="S16" s="24">
        <v>9.0</v>
      </c>
      <c r="T16" s="19">
        <f>S16/S4*100</f>
        <v>4.712041885</v>
      </c>
      <c r="U16" s="24">
        <v>16.0</v>
      </c>
      <c r="V16" s="19">
        <f>U16/U4*100</f>
        <v>8.510638298</v>
      </c>
      <c r="W16" s="24">
        <v>5.0</v>
      </c>
      <c r="X16" s="19">
        <f>W16/W4*100</f>
        <v>4.854368932</v>
      </c>
      <c r="Y16" s="19">
        <f t="shared" ref="Y16:Z16" si="17">((M16+O16+Q16+S16)/4)</f>
        <v>11</v>
      </c>
      <c r="Z16" s="19">
        <f t="shared" si="17"/>
        <v>4.863304368</v>
      </c>
      <c r="AA16" s="19">
        <f t="shared" si="3"/>
        <v>12.5</v>
      </c>
      <c r="AB16" s="19">
        <f t="shared" si="4"/>
        <v>6.682503615</v>
      </c>
      <c r="AC16" s="22" t="s">
        <v>30</v>
      </c>
    </row>
    <row r="17" ht="14.25" customHeight="1">
      <c r="A17" s="1"/>
      <c r="B17" s="32" t="s">
        <v>66</v>
      </c>
      <c r="C17" s="41">
        <v>7412.0</v>
      </c>
      <c r="D17" s="41">
        <v>7470.0</v>
      </c>
      <c r="E17" s="41">
        <v>7585.0</v>
      </c>
      <c r="F17" s="41">
        <v>7717.0</v>
      </c>
      <c r="G17" s="41">
        <v>7832.0</v>
      </c>
      <c r="H17" s="42">
        <v>7953.0</v>
      </c>
      <c r="I17" s="1"/>
      <c r="J17" s="1"/>
      <c r="K17" s="1"/>
      <c r="L17" s="15" t="s">
        <v>67</v>
      </c>
      <c r="M17" s="18">
        <v>14.0</v>
      </c>
      <c r="N17" s="19">
        <f>M17/M4*100</f>
        <v>5.6</v>
      </c>
      <c r="O17" s="18">
        <v>10.0</v>
      </c>
      <c r="P17" s="19">
        <f>O17/O4*100</f>
        <v>4.048582996</v>
      </c>
      <c r="Q17" s="21">
        <v>11.0</v>
      </c>
      <c r="R17" s="19">
        <f>Q17/Q4*100</f>
        <v>5.092592593</v>
      </c>
      <c r="S17" s="18">
        <v>9.0</v>
      </c>
      <c r="T17" s="19">
        <f>S17/S4*100</f>
        <v>4.712041885</v>
      </c>
      <c r="U17" s="18">
        <v>16.0</v>
      </c>
      <c r="V17" s="19">
        <f>U17/U4*100</f>
        <v>8.510638298</v>
      </c>
      <c r="W17" s="18">
        <v>5.0</v>
      </c>
      <c r="X17" s="19">
        <f>W17/W4*100</f>
        <v>4.854368932</v>
      </c>
      <c r="Y17" s="19">
        <f t="shared" ref="Y17:Z17" si="18">((M17+O17+Q17+S17)/4)</f>
        <v>11</v>
      </c>
      <c r="Z17" s="19">
        <f t="shared" si="18"/>
        <v>4.863304368</v>
      </c>
      <c r="AA17" s="19">
        <f t="shared" si="3"/>
        <v>12.5</v>
      </c>
      <c r="AB17" s="19">
        <f t="shared" si="4"/>
        <v>6.682503615</v>
      </c>
      <c r="AC17" s="22" t="s">
        <v>30</v>
      </c>
    </row>
    <row r="18" ht="14.25" customHeight="1">
      <c r="A18" s="1"/>
      <c r="B18" s="32" t="s">
        <v>68</v>
      </c>
      <c r="C18" s="43">
        <v>21615.0</v>
      </c>
      <c r="D18" s="43">
        <v>22158.0</v>
      </c>
      <c r="E18" s="43">
        <v>22843.0</v>
      </c>
      <c r="F18" s="43">
        <v>23552.0</v>
      </c>
      <c r="G18" s="43">
        <v>24229.0</v>
      </c>
      <c r="H18" s="45">
        <v>24888.0</v>
      </c>
      <c r="I18" s="1"/>
      <c r="J18" s="1"/>
      <c r="K18" s="1"/>
      <c r="L18" s="15" t="s">
        <v>69</v>
      </c>
      <c r="M18" s="58">
        <v>4.0</v>
      </c>
      <c r="N18" s="57">
        <f>M18/C15*1000</f>
        <v>2.111932418</v>
      </c>
      <c r="O18" s="24">
        <v>4.0</v>
      </c>
      <c r="P18" s="57">
        <f>O18/D15*1000</f>
        <v>1.761338617</v>
      </c>
      <c r="Q18" s="25">
        <v>11.0</v>
      </c>
      <c r="R18" s="57">
        <f>Q18/E15*1000</f>
        <v>4.805591962</v>
      </c>
      <c r="S18" s="58">
        <v>4.0</v>
      </c>
      <c r="T18" s="57">
        <f>S18/F15*1000</f>
        <v>1.731601732</v>
      </c>
      <c r="U18" s="58">
        <v>15.0</v>
      </c>
      <c r="V18" s="57">
        <f>U18/G15*1000</f>
        <v>6.476683938</v>
      </c>
      <c r="W18" s="59"/>
      <c r="X18" s="57">
        <f>W18/H15*1000</f>
        <v>0</v>
      </c>
      <c r="Y18" s="19">
        <f t="shared" ref="Y18:Z18" si="19">((M18+O18+Q18+S18)/4)</f>
        <v>5.75</v>
      </c>
      <c r="Z18" s="19">
        <f t="shared" si="19"/>
        <v>2.602616182</v>
      </c>
      <c r="AA18" s="19">
        <f t="shared" si="3"/>
        <v>9.5</v>
      </c>
      <c r="AB18" s="19">
        <f t="shared" si="4"/>
        <v>3.238341969</v>
      </c>
      <c r="AC18" s="22" t="s">
        <v>57</v>
      </c>
    </row>
    <row r="19" ht="14.25" customHeight="1">
      <c r="A19" s="1"/>
      <c r="B19" s="32" t="s">
        <v>70</v>
      </c>
      <c r="C19" s="41">
        <v>14203.0</v>
      </c>
      <c r="D19" s="41">
        <v>14688.0</v>
      </c>
      <c r="E19" s="41">
        <v>15258.0</v>
      </c>
      <c r="F19" s="41">
        <v>15835.0</v>
      </c>
      <c r="G19" s="41">
        <v>16397.0</v>
      </c>
      <c r="H19" s="42">
        <v>16935.0</v>
      </c>
      <c r="I19" s="1"/>
      <c r="J19" s="1"/>
      <c r="K19" s="1"/>
      <c r="L19" s="15" t="s">
        <v>71</v>
      </c>
      <c r="M19" s="18">
        <v>44.0</v>
      </c>
      <c r="N19" s="19">
        <f>M19/M4*100</f>
        <v>17.6</v>
      </c>
      <c r="O19" s="18">
        <v>40.0</v>
      </c>
      <c r="P19" s="19">
        <f>O19/O4*100</f>
        <v>16.19433198</v>
      </c>
      <c r="Q19" s="21">
        <v>24.0</v>
      </c>
      <c r="R19" s="19">
        <f>Q19/Q4*100</f>
        <v>11.11111111</v>
      </c>
      <c r="S19" s="18">
        <v>20.0</v>
      </c>
      <c r="T19" s="19">
        <f>S19/S4*100</f>
        <v>10.47120419</v>
      </c>
      <c r="U19" s="18">
        <v>24.0</v>
      </c>
      <c r="V19" s="19">
        <f>U19/U4*100</f>
        <v>12.76595745</v>
      </c>
      <c r="W19" s="18">
        <v>12.0</v>
      </c>
      <c r="X19" s="19">
        <f>W19/W4*100</f>
        <v>11.65048544</v>
      </c>
      <c r="Y19" s="19">
        <f t="shared" ref="Y19:Z19" si="20">((M19+O19+Q19+S19)/4)</f>
        <v>32</v>
      </c>
      <c r="Z19" s="19">
        <f t="shared" si="20"/>
        <v>13.84416182</v>
      </c>
      <c r="AA19" s="19">
        <f t="shared" si="3"/>
        <v>22</v>
      </c>
      <c r="AB19" s="19">
        <f t="shared" si="4"/>
        <v>12.20822144</v>
      </c>
      <c r="AC19" s="22" t="s">
        <v>72</v>
      </c>
    </row>
    <row r="20" ht="14.25" customHeight="1">
      <c r="A20" s="1"/>
      <c r="B20" s="32" t="s">
        <v>73</v>
      </c>
      <c r="C20" s="43">
        <v>899.0</v>
      </c>
      <c r="D20" s="43">
        <v>908.0</v>
      </c>
      <c r="E20" s="43">
        <v>926.0</v>
      </c>
      <c r="F20" s="43">
        <v>948.0</v>
      </c>
      <c r="G20" s="43">
        <v>970.0</v>
      </c>
      <c r="H20" s="45">
        <v>994.0</v>
      </c>
      <c r="I20" s="1"/>
      <c r="J20" s="1"/>
      <c r="K20" s="1"/>
      <c r="L20" s="15" t="s">
        <v>74</v>
      </c>
      <c r="M20" s="24">
        <v>2.0</v>
      </c>
      <c r="N20" s="19">
        <f t="shared" ref="N20:N21" si="22">M20/C20*1000</f>
        <v>2.224694105</v>
      </c>
      <c r="O20" s="24">
        <v>1.0</v>
      </c>
      <c r="P20" s="19">
        <f t="shared" ref="P20:P21" si="23">O20/D20*1000</f>
        <v>1.101321586</v>
      </c>
      <c r="Q20" s="25">
        <v>0.0</v>
      </c>
      <c r="R20" s="19">
        <f t="shared" ref="R20:R21" si="24">Q20/E20*1000</f>
        <v>0</v>
      </c>
      <c r="S20" s="24">
        <v>1.0</v>
      </c>
      <c r="T20" s="19">
        <f t="shared" ref="T20:T21" si="25">S20/F20*1000</f>
        <v>1.054852321</v>
      </c>
      <c r="U20" s="24">
        <v>2.0</v>
      </c>
      <c r="V20" s="19">
        <f t="shared" ref="V20:V21" si="26">U20/G20*1000</f>
        <v>2.06185567</v>
      </c>
      <c r="W20" s="24">
        <v>2.0</v>
      </c>
      <c r="X20" s="19">
        <f t="shared" ref="X20:X21" si="27">W20/H20*1000</f>
        <v>2.012072435</v>
      </c>
      <c r="Y20" s="19">
        <f t="shared" ref="Y20:Z20" si="21">((M20+O20+Q20+S20)/4)</f>
        <v>1</v>
      </c>
      <c r="Z20" s="19">
        <f t="shared" si="21"/>
        <v>1.095217003</v>
      </c>
      <c r="AA20" s="19">
        <f t="shared" si="3"/>
        <v>1.5</v>
      </c>
      <c r="AB20" s="19">
        <f t="shared" si="4"/>
        <v>2.036964052</v>
      </c>
      <c r="AC20" s="22" t="s">
        <v>72</v>
      </c>
    </row>
    <row r="21" ht="14.25" customHeight="1">
      <c r="A21" s="1"/>
      <c r="B21" s="32" t="s">
        <v>75</v>
      </c>
      <c r="C21" s="41">
        <v>943.0</v>
      </c>
      <c r="D21" s="41">
        <v>942.0</v>
      </c>
      <c r="E21" s="41">
        <v>949.0</v>
      </c>
      <c r="F21" s="41">
        <v>955.0</v>
      </c>
      <c r="G21" s="41">
        <v>963.0</v>
      </c>
      <c r="H21" s="42">
        <v>973.0</v>
      </c>
      <c r="I21" s="1"/>
      <c r="J21" s="1"/>
      <c r="K21" s="1"/>
      <c r="L21" s="15" t="s">
        <v>76</v>
      </c>
      <c r="M21" s="18">
        <v>42.0</v>
      </c>
      <c r="N21" s="19">
        <f t="shared" si="22"/>
        <v>44.53870626</v>
      </c>
      <c r="O21" s="18">
        <v>39.0</v>
      </c>
      <c r="P21" s="19">
        <f t="shared" si="23"/>
        <v>41.40127389</v>
      </c>
      <c r="Q21" s="21">
        <v>24.0</v>
      </c>
      <c r="R21" s="19">
        <f t="shared" si="24"/>
        <v>25.28977871</v>
      </c>
      <c r="S21" s="18">
        <v>19.0</v>
      </c>
      <c r="T21" s="19">
        <f t="shared" si="25"/>
        <v>19.89528796</v>
      </c>
      <c r="U21" s="18">
        <v>22.0</v>
      </c>
      <c r="V21" s="19">
        <f t="shared" si="26"/>
        <v>22.84527518</v>
      </c>
      <c r="W21" s="18">
        <v>10.0</v>
      </c>
      <c r="X21" s="19">
        <f t="shared" si="27"/>
        <v>10.27749229</v>
      </c>
      <c r="Y21" s="19">
        <f t="shared" ref="Y21:Z21" si="28">((M21+O21+Q21+S21)/4)</f>
        <v>31</v>
      </c>
      <c r="Z21" s="19">
        <f t="shared" si="28"/>
        <v>32.7812617</v>
      </c>
      <c r="AA21" s="19">
        <f t="shared" si="3"/>
        <v>20.5</v>
      </c>
      <c r="AB21" s="19">
        <f t="shared" si="4"/>
        <v>16.56138374</v>
      </c>
      <c r="AC21" s="22" t="s">
        <v>72</v>
      </c>
    </row>
    <row r="22" ht="14.25" customHeight="1">
      <c r="A22" s="1"/>
      <c r="B22" s="32" t="s">
        <v>77</v>
      </c>
      <c r="C22" s="43">
        <v>6183.0</v>
      </c>
      <c r="D22" s="43">
        <v>6347.0</v>
      </c>
      <c r="E22" s="43">
        <v>6554.0</v>
      </c>
      <c r="F22" s="43">
        <v>6759.0</v>
      </c>
      <c r="G22" s="43">
        <v>6964.0</v>
      </c>
      <c r="H22" s="45">
        <v>7159.0</v>
      </c>
      <c r="I22" s="1"/>
      <c r="J22" s="1"/>
      <c r="K22" s="1"/>
      <c r="L22" s="15" t="s">
        <v>78</v>
      </c>
      <c r="M22" s="58">
        <v>6.0</v>
      </c>
      <c r="N22" s="57">
        <f>M22/C7*100000</f>
        <v>25.23553163</v>
      </c>
      <c r="O22" s="24">
        <v>3.0</v>
      </c>
      <c r="P22" s="57">
        <f>O22/D7*100000</f>
        <v>12.2819946</v>
      </c>
      <c r="Q22" s="25">
        <v>0.0</v>
      </c>
      <c r="R22" s="57">
        <f>Q22/E7*100000</f>
        <v>0</v>
      </c>
      <c r="S22" s="58">
        <v>5.0</v>
      </c>
      <c r="T22" s="57">
        <f>S22/F7*100000</f>
        <v>19.19017463</v>
      </c>
      <c r="U22" s="58">
        <v>4.0</v>
      </c>
      <c r="V22" s="57" t="str">
        <f>U22/G7*100000</f>
        <v>#VALUE!</v>
      </c>
      <c r="W22" s="58">
        <v>2.0</v>
      </c>
      <c r="X22" s="57">
        <f>W22/H7*100000</f>
        <v>7.22152013</v>
      </c>
      <c r="Y22" s="19">
        <f t="shared" ref="Y22:Z22" si="29">((M22+O22+Q22+S22)/4)</f>
        <v>3.5</v>
      </c>
      <c r="Z22" s="19">
        <f t="shared" si="29"/>
        <v>14.17692521</v>
      </c>
      <c r="AA22" s="19">
        <f t="shared" si="3"/>
        <v>4.5</v>
      </c>
      <c r="AB22" s="19" t="str">
        <f t="shared" si="4"/>
        <v>#VALUE!</v>
      </c>
      <c r="AC22" s="22" t="s">
        <v>28</v>
      </c>
    </row>
    <row r="23" ht="14.25" customHeight="1">
      <c r="A23" s="1"/>
      <c r="B23" s="32" t="s">
        <v>79</v>
      </c>
      <c r="C23" s="41">
        <v>1894.0</v>
      </c>
      <c r="D23" s="41">
        <v>2271.0</v>
      </c>
      <c r="E23" s="41">
        <v>2289.0</v>
      </c>
      <c r="F23" s="41">
        <v>2310.0</v>
      </c>
      <c r="G23" s="41">
        <v>2316.0</v>
      </c>
      <c r="H23" s="42">
        <v>2321.0</v>
      </c>
      <c r="I23" s="1"/>
      <c r="J23" s="1"/>
      <c r="K23" s="1"/>
      <c r="L23" s="15" t="s">
        <v>80</v>
      </c>
      <c r="M23" s="67">
        <v>1.0</v>
      </c>
      <c r="N23" s="57">
        <f>M23/C7*100000</f>
        <v>4.205921938</v>
      </c>
      <c r="O23" s="18">
        <v>0.0</v>
      </c>
      <c r="P23" s="57">
        <f>O23/D7*100000</f>
        <v>0</v>
      </c>
      <c r="Q23" s="21">
        <v>1.0</v>
      </c>
      <c r="R23" s="57">
        <f>Q23/E7*100000</f>
        <v>3.966837241</v>
      </c>
      <c r="S23" s="68"/>
      <c r="T23" s="57">
        <f>S23/F7*100000</f>
        <v>0</v>
      </c>
      <c r="U23" s="67">
        <v>1.0</v>
      </c>
      <c r="V23" s="57" t="str">
        <f>U23/G7*100000</f>
        <v>#VALUE!</v>
      </c>
      <c r="W23" s="67">
        <v>2.0</v>
      </c>
      <c r="X23" s="57">
        <f>W23/H7*100000</f>
        <v>7.22152013</v>
      </c>
      <c r="Y23" s="19">
        <f t="shared" ref="Y23:Z23" si="30">((M23+O23+Q23+S23)/4)</f>
        <v>0.5</v>
      </c>
      <c r="Z23" s="19">
        <f t="shared" si="30"/>
        <v>2.043189795</v>
      </c>
      <c r="AA23" s="19">
        <f t="shared" si="3"/>
        <v>0.5</v>
      </c>
      <c r="AB23" s="19" t="str">
        <f t="shared" si="4"/>
        <v>#VALUE!</v>
      </c>
      <c r="AC23" s="22" t="s">
        <v>28</v>
      </c>
    </row>
    <row r="24" ht="14.25" customHeight="1">
      <c r="A24" s="1"/>
      <c r="B24" s="32" t="s">
        <v>81</v>
      </c>
      <c r="C24" s="43">
        <v>2147.0</v>
      </c>
      <c r="D24" s="43">
        <v>2185.0</v>
      </c>
      <c r="E24" s="43">
        <v>2243.0</v>
      </c>
      <c r="F24" s="43">
        <v>2312.0</v>
      </c>
      <c r="G24" s="43">
        <v>2372.0</v>
      </c>
      <c r="H24" s="45">
        <v>2435.0</v>
      </c>
      <c r="I24" s="1"/>
      <c r="J24" s="1"/>
      <c r="K24" s="1"/>
      <c r="L24" s="15" t="s">
        <v>82</v>
      </c>
      <c r="M24" s="58">
        <v>0.0</v>
      </c>
      <c r="N24" s="57">
        <f>M24/C7*100000</f>
        <v>0</v>
      </c>
      <c r="O24" s="24">
        <v>2.0</v>
      </c>
      <c r="P24" s="57">
        <f>O24/D7*100000</f>
        <v>8.187996397</v>
      </c>
      <c r="Q24" s="25">
        <v>2.0</v>
      </c>
      <c r="R24" s="57">
        <f>Q24/E7*100000</f>
        <v>7.933674481</v>
      </c>
      <c r="S24" s="58">
        <v>0.0</v>
      </c>
      <c r="T24" s="57">
        <f>S24/F7*100000</f>
        <v>0</v>
      </c>
      <c r="U24" s="58">
        <v>2.0</v>
      </c>
      <c r="V24" s="57" t="str">
        <f>U24/G7*100000</f>
        <v>#VALUE!</v>
      </c>
      <c r="W24" s="59"/>
      <c r="X24" s="57">
        <f>W24/H7*100000</f>
        <v>0</v>
      </c>
      <c r="Y24" s="19">
        <f t="shared" ref="Y24:Z24" si="31">((M24+O24+Q24+S24)/4)</f>
        <v>1</v>
      </c>
      <c r="Z24" s="19">
        <f t="shared" si="31"/>
        <v>4.03041772</v>
      </c>
      <c r="AA24" s="19">
        <f t="shared" si="3"/>
        <v>1</v>
      </c>
      <c r="AB24" s="19" t="str">
        <f t="shared" si="4"/>
        <v>#VALUE!</v>
      </c>
      <c r="AC24" s="22" t="s">
        <v>28</v>
      </c>
    </row>
    <row r="25" ht="14.25" customHeight="1">
      <c r="A25" s="1"/>
      <c r="B25" s="32" t="s">
        <v>83</v>
      </c>
      <c r="C25" s="41">
        <v>2231.0</v>
      </c>
      <c r="D25" s="41">
        <v>2240.0</v>
      </c>
      <c r="E25" s="41">
        <v>2272.0</v>
      </c>
      <c r="F25" s="41">
        <v>2311.0</v>
      </c>
      <c r="G25" s="41">
        <v>2356.0</v>
      </c>
      <c r="H25" s="42">
        <v>2403.0</v>
      </c>
      <c r="I25" s="1"/>
      <c r="J25" s="1"/>
      <c r="K25" s="1"/>
      <c r="L25" s="15" t="s">
        <v>84</v>
      </c>
      <c r="M25" s="67">
        <v>10.0</v>
      </c>
      <c r="N25" s="57">
        <f>M25/C7*100000</f>
        <v>42.05921938</v>
      </c>
      <c r="O25" s="18">
        <v>1.0</v>
      </c>
      <c r="P25" s="57">
        <f>O25/D7*100000</f>
        <v>4.093998199</v>
      </c>
      <c r="Q25" s="21">
        <v>12.0</v>
      </c>
      <c r="R25" s="57">
        <f>Q25/E7*100000</f>
        <v>47.60204689</v>
      </c>
      <c r="S25" s="67">
        <v>7.0</v>
      </c>
      <c r="T25" s="57">
        <f>S25/F7*100000</f>
        <v>26.86624448</v>
      </c>
      <c r="U25" s="67">
        <v>22.0</v>
      </c>
      <c r="V25" s="57" t="str">
        <f>U25/G7*100000</f>
        <v>#VALUE!</v>
      </c>
      <c r="W25" s="68"/>
      <c r="X25" s="57">
        <f>W25/H7*100000</f>
        <v>0</v>
      </c>
      <c r="Y25" s="19">
        <f t="shared" ref="Y25:Z25" si="32">((M25+O25+Q25+S25)/4)</f>
        <v>7.5</v>
      </c>
      <c r="Z25" s="19">
        <f t="shared" si="32"/>
        <v>30.15537724</v>
      </c>
      <c r="AA25" s="19">
        <f t="shared" si="3"/>
        <v>14.5</v>
      </c>
      <c r="AB25" s="19" t="str">
        <f t="shared" si="4"/>
        <v>#VALUE!</v>
      </c>
      <c r="AC25" s="22" t="s">
        <v>57</v>
      </c>
    </row>
    <row r="26" ht="14.25" customHeight="1">
      <c r="A26" s="1"/>
      <c r="B26" s="32" t="s">
        <v>85</v>
      </c>
      <c r="C26" s="43">
        <v>4260.0</v>
      </c>
      <c r="D26" s="43">
        <v>4349.0</v>
      </c>
      <c r="E26" s="43">
        <v>4445.0</v>
      </c>
      <c r="F26" s="43">
        <v>4516.0</v>
      </c>
      <c r="G26" s="43">
        <v>4563.0</v>
      </c>
      <c r="H26" s="45">
        <v>4601.0</v>
      </c>
      <c r="I26" s="1"/>
      <c r="J26" s="1"/>
      <c r="K26" s="1"/>
      <c r="L26" s="15" t="s">
        <v>86</v>
      </c>
      <c r="M26" s="24">
        <v>15.0</v>
      </c>
      <c r="N26" s="19">
        <f>M26/C7*100000</f>
        <v>63.08882907</v>
      </c>
      <c r="O26" s="24">
        <v>42.0</v>
      </c>
      <c r="P26" s="19">
        <f>O26/D7*100000</f>
        <v>171.9479243</v>
      </c>
      <c r="Q26" s="25">
        <v>34.0</v>
      </c>
      <c r="R26" s="19">
        <f>Q26/E7*100000</f>
        <v>134.8724662</v>
      </c>
      <c r="S26" s="24">
        <v>29.0</v>
      </c>
      <c r="T26" s="19">
        <f>S26/F7*100000</f>
        <v>111.3030129</v>
      </c>
      <c r="U26" s="24">
        <v>18.0</v>
      </c>
      <c r="V26" s="19" t="str">
        <f>U26/G7*100000</f>
        <v>#VALUE!</v>
      </c>
      <c r="W26" s="24">
        <v>16.0</v>
      </c>
      <c r="X26" s="19">
        <f>W26/H7*100000</f>
        <v>57.77216104</v>
      </c>
      <c r="Y26" s="19">
        <f t="shared" ref="Y26:Z26" si="33">((M26+O26+Q26+S26)/4)</f>
        <v>30</v>
      </c>
      <c r="Z26" s="19">
        <f t="shared" si="33"/>
        <v>120.3030581</v>
      </c>
      <c r="AA26" s="19">
        <f t="shared" si="3"/>
        <v>23.5</v>
      </c>
      <c r="AB26" s="19" t="str">
        <f t="shared" si="4"/>
        <v>#VALUE!</v>
      </c>
      <c r="AC26" s="22" t="s">
        <v>28</v>
      </c>
    </row>
    <row r="27" ht="14.25" customHeight="1">
      <c r="A27" s="1"/>
      <c r="B27" s="62" t="s">
        <v>87</v>
      </c>
      <c r="C27" s="73">
        <v>3289.0</v>
      </c>
      <c r="D27" s="73">
        <v>3446.0</v>
      </c>
      <c r="E27" s="73">
        <v>3602.0</v>
      </c>
      <c r="F27" s="73">
        <v>3808.0</v>
      </c>
      <c r="G27" s="73" t="s">
        <v>97</v>
      </c>
      <c r="H27" s="75" t="s">
        <v>98</v>
      </c>
      <c r="I27" s="1"/>
      <c r="J27" s="1"/>
      <c r="K27" s="1"/>
      <c r="L27" s="15" t="s">
        <v>88</v>
      </c>
      <c r="M27" s="18">
        <v>2.0</v>
      </c>
      <c r="N27" s="19">
        <f>M27/C11*100000</f>
        <v>16.58512314</v>
      </c>
      <c r="O27" s="18">
        <v>2.0</v>
      </c>
      <c r="P27" s="19">
        <f>O27/D11*100000</f>
        <v>16.14595947</v>
      </c>
      <c r="Q27" s="21">
        <v>0.0</v>
      </c>
      <c r="R27" s="19">
        <f>Q27/E11*100000</f>
        <v>0</v>
      </c>
      <c r="S27" s="18">
        <v>0.0</v>
      </c>
      <c r="T27" s="19">
        <f>S27/F11*100000</f>
        <v>0</v>
      </c>
      <c r="U27" s="18">
        <v>0.0</v>
      </c>
      <c r="V27" s="19">
        <f>U27/G11*100000</f>
        <v>0</v>
      </c>
      <c r="W27" s="18">
        <v>0.0</v>
      </c>
      <c r="X27" s="19">
        <f>W27/H11*100000</f>
        <v>0</v>
      </c>
      <c r="Y27" s="19">
        <f t="shared" ref="Y27:Z27" si="34">((M27+O27+Q27+S27)/4)</f>
        <v>1</v>
      </c>
      <c r="Z27" s="19">
        <f t="shared" si="34"/>
        <v>8.182770655</v>
      </c>
      <c r="AA27" s="19">
        <f t="shared" si="3"/>
        <v>0</v>
      </c>
      <c r="AB27" s="19">
        <f t="shared" si="4"/>
        <v>0</v>
      </c>
      <c r="AC27" s="22" t="s">
        <v>28</v>
      </c>
    </row>
    <row r="28" ht="14.25" customHeight="1">
      <c r="A28" s="1"/>
      <c r="B28" s="76"/>
      <c r="C28" s="77"/>
      <c r="D28" s="77"/>
      <c r="E28" s="76"/>
      <c r="F28" s="76"/>
      <c r="G28" s="76"/>
      <c r="H28" s="76"/>
      <c r="I28" s="1"/>
      <c r="J28" s="1"/>
      <c r="K28" s="1"/>
      <c r="L28" s="15" t="s">
        <v>89</v>
      </c>
      <c r="M28" s="24">
        <v>3.0</v>
      </c>
      <c r="N28" s="19">
        <f>M28/C11*100000</f>
        <v>24.87768472</v>
      </c>
      <c r="O28" s="24">
        <v>1.0</v>
      </c>
      <c r="P28" s="19">
        <f>O28/D11*100000</f>
        <v>8.072979737</v>
      </c>
      <c r="Q28" s="25">
        <v>0.0</v>
      </c>
      <c r="R28" s="19">
        <f>Q28/E11*100000</f>
        <v>0</v>
      </c>
      <c r="S28" s="24">
        <v>1.0</v>
      </c>
      <c r="T28" s="19">
        <f>S28/F11*100000</f>
        <v>7.582075972</v>
      </c>
      <c r="U28" s="24">
        <v>1.0</v>
      </c>
      <c r="V28" s="19">
        <f>U28/G11*100000</f>
        <v>7.352941176</v>
      </c>
      <c r="W28" s="24">
        <v>0.0</v>
      </c>
      <c r="X28" s="19">
        <f>W28/H11*100000</f>
        <v>0</v>
      </c>
      <c r="Y28" s="19">
        <f t="shared" ref="Y28:Z28" si="35">((M28+O28+Q28+S28)/4)</f>
        <v>1.25</v>
      </c>
      <c r="Z28" s="19">
        <f t="shared" si="35"/>
        <v>10.13318511</v>
      </c>
      <c r="AA28" s="19">
        <f t="shared" si="3"/>
        <v>1</v>
      </c>
      <c r="AB28" s="19">
        <f t="shared" si="4"/>
        <v>3.676470588</v>
      </c>
      <c r="AC28" s="22" t="s">
        <v>28</v>
      </c>
    </row>
    <row r="29" ht="14.25" customHeight="1">
      <c r="A29" s="1"/>
      <c r="B29" s="76"/>
      <c r="C29" s="76"/>
      <c r="D29" s="76"/>
      <c r="E29" s="76"/>
      <c r="F29" s="76"/>
      <c r="G29" s="76"/>
      <c r="H29" s="76"/>
      <c r="I29" s="1"/>
      <c r="J29" s="1"/>
      <c r="K29" s="1"/>
      <c r="L29" s="15" t="s">
        <v>90</v>
      </c>
      <c r="M29" s="18">
        <v>3.0</v>
      </c>
      <c r="N29" s="19">
        <f>M29/C10*100000</f>
        <v>25.6038235</v>
      </c>
      <c r="O29" s="18">
        <v>0.0</v>
      </c>
      <c r="P29" s="19">
        <f>O29/D10*100000</f>
        <v>0</v>
      </c>
      <c r="Q29" s="21">
        <v>1.0</v>
      </c>
      <c r="R29" s="19" t="str">
        <f>Q29/E10*100000</f>
        <v>#VALUE!</v>
      </c>
      <c r="S29" s="18">
        <v>3.0</v>
      </c>
      <c r="T29" s="19">
        <f>S29/F10*100000</f>
        <v>23.31727032</v>
      </c>
      <c r="U29" s="18">
        <v>1.0</v>
      </c>
      <c r="V29" s="19">
        <f>U29/G10*100000</f>
        <v>7.535795026</v>
      </c>
      <c r="W29" s="18">
        <v>0.0</v>
      </c>
      <c r="X29" s="19">
        <f>W29/H10*100000</f>
        <v>0</v>
      </c>
      <c r="Y29" s="19">
        <f t="shared" ref="Y29:Z29" si="36">((M29+O29+Q29+S29)/4)</f>
        <v>1.75</v>
      </c>
      <c r="Z29" s="19" t="str">
        <f t="shared" si="36"/>
        <v>#VALUE!</v>
      </c>
      <c r="AA29" s="19">
        <f t="shared" si="3"/>
        <v>2</v>
      </c>
      <c r="AB29" s="19">
        <f t="shared" si="4"/>
        <v>3.767897513</v>
      </c>
      <c r="AC29" s="22" t="s">
        <v>28</v>
      </c>
    </row>
    <row r="30" ht="14.25" customHeight="1">
      <c r="A30" s="1"/>
      <c r="B30" s="78" t="s">
        <v>91</v>
      </c>
      <c r="C30" s="79" t="s">
        <v>32</v>
      </c>
      <c r="D30" s="79" t="s">
        <v>33</v>
      </c>
      <c r="E30" s="79" t="s">
        <v>34</v>
      </c>
      <c r="F30" s="79" t="s">
        <v>35</v>
      </c>
      <c r="G30" s="79" t="s">
        <v>36</v>
      </c>
      <c r="H30" s="79" t="s">
        <v>37</v>
      </c>
      <c r="I30" s="1"/>
      <c r="J30" s="1"/>
      <c r="K30" s="1"/>
      <c r="L30" s="15" t="s">
        <v>92</v>
      </c>
      <c r="M30" s="24">
        <v>37.0</v>
      </c>
      <c r="N30" s="19">
        <f>M30/C7*100000</f>
        <v>155.6191117</v>
      </c>
      <c r="O30" s="24">
        <v>40.0</v>
      </c>
      <c r="P30" s="19">
        <f>O30/D7*100000</f>
        <v>163.7599279</v>
      </c>
      <c r="Q30" s="25">
        <v>14.0</v>
      </c>
      <c r="R30" s="19">
        <f>Q30/E7*100000</f>
        <v>55.53572137</v>
      </c>
      <c r="S30" s="24">
        <v>6.0</v>
      </c>
      <c r="T30" s="19">
        <f>S30/F7*100000</f>
        <v>23.02820956</v>
      </c>
      <c r="U30" s="24">
        <v>6.0</v>
      </c>
      <c r="V30" s="19" t="str">
        <f>U30/G7*100000</f>
        <v>#VALUE!</v>
      </c>
      <c r="W30" s="55"/>
      <c r="X30" s="19">
        <f>W30/H7*100000</f>
        <v>0</v>
      </c>
      <c r="Y30" s="19">
        <f t="shared" ref="Y30:Z30" si="37">((M30+O30+Q30+S30)/4)</f>
        <v>24.25</v>
      </c>
      <c r="Z30" s="19">
        <f t="shared" si="37"/>
        <v>99.48574265</v>
      </c>
      <c r="AA30" s="19">
        <f t="shared" si="3"/>
        <v>6</v>
      </c>
      <c r="AB30" s="19" t="str">
        <f t="shared" si="4"/>
        <v>#VALUE!</v>
      </c>
      <c r="AC30" s="22" t="s">
        <v>28</v>
      </c>
    </row>
    <row r="31" ht="14.25" customHeight="1">
      <c r="A31" s="1"/>
      <c r="B31" s="83" t="s">
        <v>93</v>
      </c>
      <c r="C31" s="84">
        <v>1894.0</v>
      </c>
      <c r="D31" s="84">
        <v>2271.0</v>
      </c>
      <c r="E31" s="84">
        <v>2289.0</v>
      </c>
      <c r="F31" s="84">
        <v>2310.0</v>
      </c>
      <c r="G31" s="84">
        <v>2316.0</v>
      </c>
      <c r="H31" s="45">
        <v>2321.0</v>
      </c>
      <c r="I31" s="1"/>
      <c r="J31" s="1"/>
      <c r="K31" s="1"/>
      <c r="L31" s="15" t="s">
        <v>94</v>
      </c>
      <c r="M31" s="18">
        <v>0.0</v>
      </c>
      <c r="N31" s="19">
        <f>M31/C7*100000</f>
        <v>0</v>
      </c>
      <c r="O31" s="18">
        <v>0.0</v>
      </c>
      <c r="P31" s="19">
        <f>O31/D7*100000</f>
        <v>0</v>
      </c>
      <c r="Q31" s="21">
        <v>0.0</v>
      </c>
      <c r="R31" s="19">
        <f>Q31/E7*100000</f>
        <v>0</v>
      </c>
      <c r="S31" s="18">
        <v>0.0</v>
      </c>
      <c r="T31" s="19">
        <f>S31/F7*100000</f>
        <v>0</v>
      </c>
      <c r="U31" s="18">
        <v>0.0</v>
      </c>
      <c r="V31" s="19" t="str">
        <f>U31/G7*100000</f>
        <v>#VALUE!</v>
      </c>
      <c r="W31" s="18">
        <v>0.0</v>
      </c>
      <c r="X31" s="19">
        <f>W31/H7*100000</f>
        <v>0</v>
      </c>
      <c r="Y31" s="19">
        <f t="shared" ref="Y31:Z31" si="38">((M31+O31+Q31+S31)/4)</f>
        <v>0</v>
      </c>
      <c r="Z31" s="19">
        <f t="shared" si="38"/>
        <v>0</v>
      </c>
      <c r="AA31" s="19">
        <f t="shared" si="3"/>
        <v>0</v>
      </c>
      <c r="AB31" s="19" t="str">
        <f t="shared" si="4"/>
        <v>#VALUE!</v>
      </c>
      <c r="AC31" s="22" t="s">
        <v>28</v>
      </c>
    </row>
    <row r="32" ht="14.25" customHeight="1">
      <c r="A32" s="1"/>
      <c r="B32" s="83" t="s">
        <v>95</v>
      </c>
      <c r="C32" s="85">
        <v>2147.0</v>
      </c>
      <c r="D32" s="85">
        <v>2185.0</v>
      </c>
      <c r="E32" s="85">
        <v>2243.0</v>
      </c>
      <c r="F32" s="85">
        <v>2312.0</v>
      </c>
      <c r="G32" s="85">
        <v>2372.0</v>
      </c>
      <c r="H32" s="42">
        <v>2435.0</v>
      </c>
      <c r="I32" s="1"/>
      <c r="J32" s="1"/>
      <c r="K32" s="1"/>
      <c r="L32" s="15" t="s">
        <v>96</v>
      </c>
      <c r="M32" s="58">
        <v>2.0</v>
      </c>
      <c r="N32" s="72">
        <f>M32/C7*100</f>
        <v>0.008411843876</v>
      </c>
      <c r="O32" s="24">
        <v>3.0</v>
      </c>
      <c r="P32" s="72">
        <f>O32/D7*100</f>
        <v>0.0122819946</v>
      </c>
      <c r="Q32" s="25">
        <v>4.0</v>
      </c>
      <c r="R32" s="72">
        <f>Q32/E7*100</f>
        <v>0.01586734896</v>
      </c>
      <c r="S32" s="58">
        <v>6.0</v>
      </c>
      <c r="T32" s="72">
        <f>S32/F7*100</f>
        <v>0.02302820956</v>
      </c>
      <c r="U32" s="58">
        <v>3.0</v>
      </c>
      <c r="V32" s="72" t="str">
        <f>U32/G7*100</f>
        <v>#VALUE!</v>
      </c>
      <c r="W32" s="58">
        <v>0.0</v>
      </c>
      <c r="X32" s="72">
        <f>W32/H7*100</f>
        <v>0</v>
      </c>
      <c r="Y32" s="19">
        <f t="shared" ref="Y32:Z32" si="39">((M32+O32+Q32+S32)/4)</f>
        <v>3.75</v>
      </c>
      <c r="Z32" s="74">
        <f t="shared" si="39"/>
        <v>0.01489734925</v>
      </c>
      <c r="AA32" s="19">
        <f t="shared" si="3"/>
        <v>4.5</v>
      </c>
      <c r="AB32" s="19" t="str">
        <f t="shared" si="4"/>
        <v>#VALUE!</v>
      </c>
      <c r="AC32" s="22" t="s">
        <v>57</v>
      </c>
    </row>
    <row r="33" ht="14.25" customHeight="1">
      <c r="A33" s="1"/>
      <c r="B33" s="83" t="s">
        <v>99</v>
      </c>
      <c r="C33" s="84">
        <v>2231.0</v>
      </c>
      <c r="D33" s="84">
        <v>2240.0</v>
      </c>
      <c r="E33" s="84">
        <v>2272.0</v>
      </c>
      <c r="F33" s="84">
        <v>2311.0</v>
      </c>
      <c r="G33" s="84">
        <v>2356.0</v>
      </c>
      <c r="H33" s="45">
        <v>2403.0</v>
      </c>
      <c r="I33" s="1"/>
      <c r="J33" s="1"/>
      <c r="K33" s="1"/>
      <c r="L33" s="15" t="s">
        <v>100</v>
      </c>
      <c r="M33" s="18">
        <v>171.0</v>
      </c>
      <c r="N33" s="19">
        <f>M33/C7*10000</f>
        <v>71.92126514</v>
      </c>
      <c r="O33" s="18">
        <v>123.0</v>
      </c>
      <c r="P33" s="19">
        <f>O33/D7*10000</f>
        <v>50.35617784</v>
      </c>
      <c r="Q33" s="21">
        <v>254.0</v>
      </c>
      <c r="R33" s="19">
        <f>Q33/E7*10000</f>
        <v>100.7576659</v>
      </c>
      <c r="S33" s="18">
        <v>103.0</v>
      </c>
      <c r="T33" s="19">
        <f>S33/F7*10000</f>
        <v>39.53175974</v>
      </c>
      <c r="U33" s="18">
        <v>239.0</v>
      </c>
      <c r="V33" s="19" t="str">
        <f>U33/G7*10000</f>
        <v>#VALUE!</v>
      </c>
      <c r="W33" s="18">
        <v>136.0</v>
      </c>
      <c r="X33" s="19">
        <f>W33/H7*10000</f>
        <v>49.10633688</v>
      </c>
      <c r="Y33" s="19">
        <f t="shared" ref="Y33:Z33" si="40">((M33+O33+Q33+S33)/4)</f>
        <v>162.75</v>
      </c>
      <c r="Z33" s="19">
        <f t="shared" si="40"/>
        <v>65.64171716</v>
      </c>
      <c r="AA33" s="19">
        <f t="shared" si="3"/>
        <v>171</v>
      </c>
      <c r="AB33" s="19" t="str">
        <f t="shared" si="4"/>
        <v>#VALUE!</v>
      </c>
      <c r="AC33" s="22" t="s">
        <v>57</v>
      </c>
    </row>
    <row r="34" ht="14.25" customHeight="1">
      <c r="A34" s="1"/>
      <c r="B34" s="83" t="s">
        <v>101</v>
      </c>
      <c r="C34" s="85">
        <v>4260.0</v>
      </c>
      <c r="D34" s="85">
        <v>4349.0</v>
      </c>
      <c r="E34" s="85">
        <v>4445.0</v>
      </c>
      <c r="F34" s="85">
        <v>4516.0</v>
      </c>
      <c r="G34" s="85">
        <v>4563.0</v>
      </c>
      <c r="H34" s="42">
        <v>4601.0</v>
      </c>
      <c r="I34" s="1"/>
      <c r="J34" s="1"/>
      <c r="K34" s="1"/>
      <c r="L34" s="15" t="s">
        <v>102</v>
      </c>
      <c r="M34" s="24">
        <v>141.0</v>
      </c>
      <c r="N34" s="19">
        <f>M34/C7*10000</f>
        <v>59.30349933</v>
      </c>
      <c r="O34" s="24">
        <v>121.0</v>
      </c>
      <c r="P34" s="19">
        <f>O34/D7*10000</f>
        <v>49.5373782</v>
      </c>
      <c r="Q34" s="25">
        <v>231.0</v>
      </c>
      <c r="R34" s="19">
        <f>Q34/E7*10000</f>
        <v>91.63394026</v>
      </c>
      <c r="S34" s="24">
        <v>114.0</v>
      </c>
      <c r="T34" s="19">
        <f>S34/F7*10000</f>
        <v>43.75359816</v>
      </c>
      <c r="U34" s="24">
        <v>214.0</v>
      </c>
      <c r="V34" s="19" t="str">
        <f>U34/G7*10000</f>
        <v>#VALUE!</v>
      </c>
      <c r="W34" s="24">
        <v>106.0</v>
      </c>
      <c r="X34" s="19">
        <f>W34/H7*10000</f>
        <v>38.27405669</v>
      </c>
      <c r="Y34" s="19">
        <f t="shared" ref="Y34:Z34" si="41">((M34+O34+Q34+S34)/4)</f>
        <v>151.75</v>
      </c>
      <c r="Z34" s="19">
        <f t="shared" si="41"/>
        <v>61.05710399</v>
      </c>
      <c r="AA34" s="19">
        <f t="shared" si="3"/>
        <v>164</v>
      </c>
      <c r="AB34" s="19" t="str">
        <f t="shared" si="4"/>
        <v>#VALUE!</v>
      </c>
      <c r="AC34" s="22" t="s">
        <v>57</v>
      </c>
    </row>
    <row r="35" ht="14.25" customHeight="1">
      <c r="A35" s="1"/>
      <c r="B35" s="83" t="s">
        <v>103</v>
      </c>
      <c r="C35" s="87">
        <v>9588.0</v>
      </c>
      <c r="D35" s="87">
        <v>9935.0</v>
      </c>
      <c r="E35" s="87">
        <v>10358.0</v>
      </c>
      <c r="F35" s="87">
        <v>10798.0</v>
      </c>
      <c r="G35" s="87">
        <v>11253.0</v>
      </c>
      <c r="H35" s="87">
        <v>11695.0</v>
      </c>
      <c r="I35" s="1"/>
      <c r="J35" s="1"/>
      <c r="K35" s="1"/>
      <c r="L35" s="15" t="s">
        <v>104</v>
      </c>
      <c r="M35" s="18">
        <v>11.0</v>
      </c>
      <c r="N35" s="19">
        <f>M35/M4*1000</f>
        <v>44</v>
      </c>
      <c r="O35" s="18">
        <v>16.0</v>
      </c>
      <c r="P35" s="19">
        <f>O35/O4*1000</f>
        <v>64.77732794</v>
      </c>
      <c r="Q35" s="21">
        <v>13.0</v>
      </c>
      <c r="R35" s="19">
        <f>Q35/Q4*1000</f>
        <v>60.18518519</v>
      </c>
      <c r="S35" s="18">
        <v>4.0</v>
      </c>
      <c r="T35" s="19">
        <f>S35/S4*1000</f>
        <v>20.94240838</v>
      </c>
      <c r="U35" s="18">
        <v>11.0</v>
      </c>
      <c r="V35" s="19">
        <f>U35/U4*1000</f>
        <v>58.5106383</v>
      </c>
      <c r="W35" s="18">
        <v>9.0</v>
      </c>
      <c r="X35" s="19">
        <f>W35/W4*1000</f>
        <v>87.37864078</v>
      </c>
      <c r="Y35" s="19">
        <f t="shared" ref="Y35:Z35" si="42">((M35+O35+Q35+S35)/4)</f>
        <v>11</v>
      </c>
      <c r="Z35" s="19">
        <f t="shared" si="42"/>
        <v>47.47623037</v>
      </c>
      <c r="AA35" s="19">
        <f t="shared" si="3"/>
        <v>7.5</v>
      </c>
      <c r="AB35" s="19">
        <f t="shared" si="4"/>
        <v>72.94463954</v>
      </c>
      <c r="AC35" s="22" t="s">
        <v>57</v>
      </c>
    </row>
    <row r="36" ht="14.25" customHeight="1">
      <c r="A36" s="1"/>
      <c r="B36" s="83" t="s">
        <v>105</v>
      </c>
      <c r="C36" s="90">
        <v>3289.0</v>
      </c>
      <c r="D36" s="90">
        <v>3446.0</v>
      </c>
      <c r="E36" s="73">
        <v>3602.0</v>
      </c>
      <c r="F36" s="73">
        <v>3808.0</v>
      </c>
      <c r="G36" s="90" t="s">
        <v>97</v>
      </c>
      <c r="H36" s="91" t="s">
        <v>98</v>
      </c>
      <c r="I36" s="1"/>
      <c r="J36" s="1"/>
      <c r="K36" s="1"/>
      <c r="L36" s="15" t="s">
        <v>106</v>
      </c>
      <c r="M36" s="24">
        <v>1.0</v>
      </c>
      <c r="N36" s="19">
        <f>M36/M4*1000</f>
        <v>4</v>
      </c>
      <c r="O36" s="24">
        <v>0.0</v>
      </c>
      <c r="P36" s="19">
        <f>O36/O4*1000</f>
        <v>0</v>
      </c>
      <c r="Q36" s="25">
        <v>0.0</v>
      </c>
      <c r="R36" s="19">
        <f>Q36/Q4*1000</f>
        <v>0</v>
      </c>
      <c r="S36" s="24">
        <v>0.0</v>
      </c>
      <c r="T36" s="19">
        <f>S36/S4*1000</f>
        <v>0</v>
      </c>
      <c r="U36" s="24">
        <v>2.0</v>
      </c>
      <c r="V36" s="19">
        <f>U36/U4*1000</f>
        <v>10.63829787</v>
      </c>
      <c r="W36" s="24">
        <v>0.0</v>
      </c>
      <c r="X36" s="19">
        <f>W36/W4*1000</f>
        <v>0</v>
      </c>
      <c r="Y36" s="19">
        <f t="shared" ref="Y36:Z36" si="43">((M36+O36+Q36+S36)/4)</f>
        <v>0.25</v>
      </c>
      <c r="Z36" s="19">
        <f t="shared" si="43"/>
        <v>1</v>
      </c>
      <c r="AA36" s="19">
        <f t="shared" si="3"/>
        <v>1</v>
      </c>
      <c r="AB36" s="19">
        <f t="shared" si="4"/>
        <v>5.319148936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8">
        <v>0.0</v>
      </c>
      <c r="N37" s="36"/>
      <c r="O37" s="18">
        <v>0.0</v>
      </c>
      <c r="P37" s="36"/>
      <c r="Q37" s="21">
        <v>0.0</v>
      </c>
      <c r="R37" s="36"/>
      <c r="S37" s="18">
        <v>0.0</v>
      </c>
      <c r="T37" s="36"/>
      <c r="U37" s="18">
        <v>0.0</v>
      </c>
      <c r="V37" s="36"/>
      <c r="W37" s="18">
        <v>0.0</v>
      </c>
      <c r="X37" s="36"/>
      <c r="Y37" s="19">
        <f t="shared" ref="Y37:Z37" si="44">((M37+O37+Q37+S37)/4)</f>
        <v>0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24">
        <v>0.0</v>
      </c>
      <c r="N38" s="19">
        <f>M38/C7*10000</f>
        <v>0</v>
      </c>
      <c r="O38" s="24">
        <v>0.0</v>
      </c>
      <c r="P38" s="19">
        <f>O38/E7*10000</f>
        <v>0</v>
      </c>
      <c r="Q38" s="25">
        <v>0.0</v>
      </c>
      <c r="R38" s="19">
        <f>Q38/E7*10000</f>
        <v>0</v>
      </c>
      <c r="S38" s="24">
        <v>0.0</v>
      </c>
      <c r="T38" s="19">
        <f>S38/F7*10000</f>
        <v>0</v>
      </c>
      <c r="U38" s="24">
        <v>4.0</v>
      </c>
      <c r="V38" s="19" t="str">
        <f>U38/G7*10000</f>
        <v>#VALUE!</v>
      </c>
      <c r="W38" s="24">
        <v>2.0</v>
      </c>
      <c r="X38" s="19">
        <f>W38/H7*10000</f>
        <v>0.722152013</v>
      </c>
      <c r="Y38" s="19">
        <f t="shared" ref="Y38:Z38" si="45">((M38+O38+Q38+S38)/4)</f>
        <v>0</v>
      </c>
      <c r="Z38" s="19">
        <f t="shared" si="45"/>
        <v>0</v>
      </c>
      <c r="AA38" s="19">
        <f t="shared" si="3"/>
        <v>2</v>
      </c>
      <c r="AB38" s="19" t="str">
        <f t="shared" si="4"/>
        <v>#VALUE!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8">
        <v>30.0</v>
      </c>
      <c r="N39" s="19">
        <f>M39/C17*10000</f>
        <v>40.47490556</v>
      </c>
      <c r="O39" s="18">
        <v>16.0</v>
      </c>
      <c r="P39" s="19">
        <f>O39/D17*10000</f>
        <v>21.41900937</v>
      </c>
      <c r="Q39" s="21">
        <v>25.0</v>
      </c>
      <c r="R39" s="19">
        <f>Q39/E17*100000</f>
        <v>329.5978906</v>
      </c>
      <c r="S39" s="18">
        <v>53.0</v>
      </c>
      <c r="T39" s="19">
        <f>S39/F17*100000</f>
        <v>686.7953868</v>
      </c>
      <c r="U39" s="18">
        <v>51.0</v>
      </c>
      <c r="V39" s="19">
        <f>U39/G17*100000</f>
        <v>651.174668</v>
      </c>
      <c r="W39" s="18">
        <v>35.0</v>
      </c>
      <c r="X39" s="19">
        <f>W39/H17*100000</f>
        <v>440.0855023</v>
      </c>
      <c r="Y39" s="19">
        <f t="shared" ref="Y39:Z39" si="46">((M39+O39+Q39+S39)/4)</f>
        <v>31</v>
      </c>
      <c r="Z39" s="19">
        <f t="shared" si="46"/>
        <v>269.5717981</v>
      </c>
      <c r="AA39" s="19">
        <f t="shared" si="3"/>
        <v>52</v>
      </c>
      <c r="AB39" s="19">
        <f t="shared" si="4"/>
        <v>545.6300852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24">
        <v>12.0</v>
      </c>
      <c r="N40" s="19">
        <f>M40/C7*100000</f>
        <v>50.47106326</v>
      </c>
      <c r="O40" s="24">
        <v>8.0</v>
      </c>
      <c r="P40" s="19">
        <f>O40/D7*100000</f>
        <v>32.75198559</v>
      </c>
      <c r="Q40" s="25">
        <v>8.0</v>
      </c>
      <c r="R40" s="19">
        <f>Q40/E7*100000</f>
        <v>31.73469793</v>
      </c>
      <c r="S40" s="24">
        <v>28.0</v>
      </c>
      <c r="T40" s="19">
        <f>S40/F7*100000</f>
        <v>107.4649779</v>
      </c>
      <c r="U40" s="24">
        <v>29.0</v>
      </c>
      <c r="V40" s="19" t="str">
        <f>U40/G7*100000</f>
        <v>#VALUE!</v>
      </c>
      <c r="W40" s="24">
        <v>19.0</v>
      </c>
      <c r="X40" s="19">
        <f>W40/H7*100000</f>
        <v>68.60444123</v>
      </c>
      <c r="Y40" s="19">
        <f t="shared" ref="Y40:Z40" si="47">((M40+O40+Q40+S40)/4)</f>
        <v>14</v>
      </c>
      <c r="Z40" s="19">
        <f t="shared" si="47"/>
        <v>55.60568118</v>
      </c>
      <c r="AA40" s="19">
        <f t="shared" si="3"/>
        <v>28.5</v>
      </c>
      <c r="AB40" s="19" t="str">
        <f t="shared" si="4"/>
        <v>#VALUE!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67">
        <v>76.0</v>
      </c>
      <c r="N41" s="57">
        <f>M41/C7*10000</f>
        <v>31.96500673</v>
      </c>
      <c r="O41" s="18">
        <v>69.0</v>
      </c>
      <c r="P41" s="57">
        <f>O41/D7*10000</f>
        <v>28.24858757</v>
      </c>
      <c r="Q41" s="21">
        <v>69.0</v>
      </c>
      <c r="R41" s="57">
        <f>Q41/E7*10000</f>
        <v>27.37117696</v>
      </c>
      <c r="S41" s="67">
        <v>52.0</v>
      </c>
      <c r="T41" s="57">
        <f>S41/F7*10000</f>
        <v>19.95778162</v>
      </c>
      <c r="U41" s="67">
        <v>83.0</v>
      </c>
      <c r="V41" s="57" t="str">
        <f>U41/G7*10000</f>
        <v>#VALUE!</v>
      </c>
      <c r="W41" s="67">
        <v>68.0</v>
      </c>
      <c r="X41" s="57">
        <f>W41/H7*10000</f>
        <v>24.55316844</v>
      </c>
      <c r="Y41" s="19">
        <f t="shared" ref="Y41:Z41" si="48">((M41+O41+Q41+S41)/4)</f>
        <v>66.5</v>
      </c>
      <c r="Z41" s="19">
        <f t="shared" si="48"/>
        <v>26.88563822</v>
      </c>
      <c r="AA41" s="19">
        <f t="shared" si="3"/>
        <v>67.5</v>
      </c>
      <c r="AB41" s="19" t="str">
        <f t="shared" si="4"/>
        <v>#VALUE!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58">
        <v>5.0</v>
      </c>
      <c r="N42" s="57">
        <f>M42/C7*10000</f>
        <v>2.102960969</v>
      </c>
      <c r="O42" s="24">
        <v>6.0</v>
      </c>
      <c r="P42" s="57">
        <f>O42/D7*10000</f>
        <v>2.456398919</v>
      </c>
      <c r="Q42" s="25">
        <v>11.0</v>
      </c>
      <c r="R42" s="57">
        <f>Q42/E7*10000</f>
        <v>4.363520965</v>
      </c>
      <c r="S42" s="58">
        <v>6.0</v>
      </c>
      <c r="T42" s="57">
        <f>S42/F7*10000</f>
        <v>2.302820956</v>
      </c>
      <c r="U42" s="58">
        <v>19.0</v>
      </c>
      <c r="V42" s="57" t="str">
        <f>U42/G7*10000</f>
        <v>#VALUE!</v>
      </c>
      <c r="W42" s="58">
        <v>11.0</v>
      </c>
      <c r="X42" s="57">
        <f>W42/H7*10000</f>
        <v>3.971836071</v>
      </c>
      <c r="Y42" s="19">
        <f t="shared" ref="Y42:Z42" si="49">((M42+O42+Q42+S42)/4)</f>
        <v>7</v>
      </c>
      <c r="Z42" s="19">
        <f t="shared" si="49"/>
        <v>2.806425452</v>
      </c>
      <c r="AA42" s="19">
        <f t="shared" si="3"/>
        <v>12.5</v>
      </c>
      <c r="AB42" s="19" t="str">
        <f t="shared" si="4"/>
        <v>#VALUE!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67">
        <v>39.0</v>
      </c>
      <c r="N43" s="57">
        <f>M43/C16*10000</f>
        <v>21.3359593</v>
      </c>
      <c r="O43" s="18">
        <v>28.0</v>
      </c>
      <c r="P43" s="57">
        <f>O43/D16*10000</f>
        <v>14.83600911</v>
      </c>
      <c r="Q43" s="21">
        <v>36.0</v>
      </c>
      <c r="R43" s="57">
        <f>Q43/E16*100000</f>
        <v>184.0584897</v>
      </c>
      <c r="S43" s="67">
        <v>36.0</v>
      </c>
      <c r="T43" s="57">
        <f>S43/F16*100000</f>
        <v>177.4098167</v>
      </c>
      <c r="U43" s="67">
        <v>37.0</v>
      </c>
      <c r="V43" s="57">
        <f>U43/G16*100000</f>
        <v>176.0898534</v>
      </c>
      <c r="W43" s="67">
        <v>9.0</v>
      </c>
      <c r="X43" s="57">
        <f>W43/H16*100000</f>
        <v>41.39263211</v>
      </c>
      <c r="Y43" s="19">
        <f t="shared" ref="Y43:Z43" si="50">((M43+O43+Q43+S43)/4)</f>
        <v>34.75</v>
      </c>
      <c r="Z43" s="19">
        <f t="shared" si="50"/>
        <v>99.4100687</v>
      </c>
      <c r="AA43" s="19">
        <f t="shared" si="3"/>
        <v>36.5</v>
      </c>
      <c r="AB43" s="19">
        <f t="shared" si="4"/>
        <v>108.7412428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94">
        <v>37.0</v>
      </c>
      <c r="N44" s="57">
        <f>M44/C7*100000</f>
        <v>155.6191117</v>
      </c>
      <c r="O44" s="24">
        <v>39.0</v>
      </c>
      <c r="P44" s="57">
        <f>O44/D7*100000</f>
        <v>159.6659297</v>
      </c>
      <c r="Q44" s="24">
        <v>49.0</v>
      </c>
      <c r="R44" s="19">
        <f>Q44/E7*100000</f>
        <v>194.3750248</v>
      </c>
      <c r="S44" s="24">
        <v>56.0</v>
      </c>
      <c r="T44" s="19">
        <f>S44/F7*100000</f>
        <v>214.9299559</v>
      </c>
      <c r="U44" s="24">
        <v>44.0</v>
      </c>
      <c r="V44" s="19" t="str">
        <f>U44/G7*100000</f>
        <v>#VALUE!</v>
      </c>
      <c r="W44" s="55"/>
      <c r="X44" s="19">
        <f>W44/H7*100000</f>
        <v>0</v>
      </c>
      <c r="Y44" s="19">
        <f t="shared" ref="Y44:Z44" si="51">((M44+O44+Q44+S44)/4)</f>
        <v>45.25</v>
      </c>
      <c r="Z44" s="19">
        <f t="shared" si="51"/>
        <v>181.1475055</v>
      </c>
      <c r="AA44" s="19">
        <f t="shared" si="3"/>
        <v>50</v>
      </c>
      <c r="AB44" s="19" t="str">
        <f t="shared" si="4"/>
        <v>#VALUE!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96">
        <v>250.0</v>
      </c>
      <c r="N45" s="57">
        <f>M45/M4*100</f>
        <v>100</v>
      </c>
      <c r="O45" s="18">
        <v>246.0</v>
      </c>
      <c r="P45" s="57">
        <f>O45/O4*100</f>
        <v>99.5951417</v>
      </c>
      <c r="Q45" s="18">
        <v>215.0</v>
      </c>
      <c r="R45" s="19">
        <f>Q45/Q4*100</f>
        <v>99.53703704</v>
      </c>
      <c r="S45" s="18">
        <v>190.0</v>
      </c>
      <c r="T45" s="19">
        <f>S45/S4*100</f>
        <v>99.47643979</v>
      </c>
      <c r="U45" s="18">
        <v>188.0</v>
      </c>
      <c r="V45" s="19">
        <f>U45/U4*100</f>
        <v>100</v>
      </c>
      <c r="W45" s="18">
        <v>103.0</v>
      </c>
      <c r="X45" s="19">
        <f>W45/W4*100</f>
        <v>100</v>
      </c>
      <c r="Y45" s="19">
        <f t="shared" ref="Y45:Z45" si="52">((M45+O45+Q45+S45)/4)</f>
        <v>225.25</v>
      </c>
      <c r="Z45" s="19">
        <f t="shared" si="52"/>
        <v>99.65215463</v>
      </c>
      <c r="AA45" s="19">
        <f t="shared" si="3"/>
        <v>189</v>
      </c>
      <c r="AB45" s="19">
        <f t="shared" si="4"/>
        <v>100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94">
        <v>221.0</v>
      </c>
      <c r="N46" s="57">
        <f>M46/M4*100</f>
        <v>88.4</v>
      </c>
      <c r="O46" s="24">
        <v>216.0</v>
      </c>
      <c r="P46" s="57">
        <f>O46/O4*100</f>
        <v>87.44939271</v>
      </c>
      <c r="Q46" s="24">
        <v>199.0</v>
      </c>
      <c r="R46" s="19">
        <f>Q46/Q4*100</f>
        <v>92.12962963</v>
      </c>
      <c r="S46" s="24">
        <v>173.0</v>
      </c>
      <c r="T46" s="19">
        <f>S46/S4*100</f>
        <v>90.57591623</v>
      </c>
      <c r="U46" s="24">
        <v>176.0</v>
      </c>
      <c r="V46" s="19">
        <f>U46/U4*100</f>
        <v>93.61702128</v>
      </c>
      <c r="W46" s="24">
        <v>98.0</v>
      </c>
      <c r="X46" s="19">
        <f>W46/W4*100</f>
        <v>95.14563107</v>
      </c>
      <c r="Y46" s="19">
        <f t="shared" ref="Y46:Z46" si="53">((M46+O46+Q46+S46)/4)</f>
        <v>202.25</v>
      </c>
      <c r="Z46" s="19">
        <f t="shared" si="53"/>
        <v>89.63873464</v>
      </c>
      <c r="AA46" s="19">
        <f t="shared" si="3"/>
        <v>174.5</v>
      </c>
      <c r="AB46" s="19">
        <f t="shared" si="4"/>
        <v>94.38132617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21">
        <v>5.0</v>
      </c>
      <c r="N47" s="19">
        <f>M47/C7*100000</f>
        <v>21.02960969</v>
      </c>
      <c r="O47" s="21">
        <v>1.0</v>
      </c>
      <c r="P47" s="19">
        <f>O47/D7*100000</f>
        <v>4.093998199</v>
      </c>
      <c r="Q47" s="21">
        <v>3.0</v>
      </c>
      <c r="R47" s="19">
        <f>Q47/E7*100000</f>
        <v>11.90051172</v>
      </c>
      <c r="S47" s="18">
        <v>0.0</v>
      </c>
      <c r="T47" s="19">
        <f>S47/F7*100000</f>
        <v>0</v>
      </c>
      <c r="U47" s="18">
        <v>4.0</v>
      </c>
      <c r="V47" s="19" t="str">
        <f>U47/G7*100000</f>
        <v>#VALUE!</v>
      </c>
      <c r="W47" s="18">
        <v>6.0</v>
      </c>
      <c r="X47" s="19">
        <f>W47/H7*100000</f>
        <v>21.66456039</v>
      </c>
      <c r="Y47" s="19">
        <f t="shared" ref="Y47:Z47" si="54">((M47+O47+Q47+S47)/4)</f>
        <v>2.25</v>
      </c>
      <c r="Z47" s="19">
        <f t="shared" si="54"/>
        <v>9.256029903</v>
      </c>
      <c r="AA47" s="19">
        <f t="shared" si="3"/>
        <v>2</v>
      </c>
      <c r="AB47" s="19" t="str">
        <f t="shared" si="4"/>
        <v>#VALUE!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25">
        <v>7.0</v>
      </c>
      <c r="N48" s="19">
        <f>M48/C7*100000</f>
        <v>29.44145357</v>
      </c>
      <c r="O48" s="24">
        <v>3.0</v>
      </c>
      <c r="P48" s="19">
        <f>O48/D7*100000</f>
        <v>12.2819946</v>
      </c>
      <c r="Q48" s="25">
        <v>8.0</v>
      </c>
      <c r="R48" s="19">
        <f>Q48/E7*100000</f>
        <v>31.73469793</v>
      </c>
      <c r="S48" s="24">
        <v>10.0</v>
      </c>
      <c r="T48" s="19">
        <f>S48/F7*100000</f>
        <v>38.38034926</v>
      </c>
      <c r="U48" s="24">
        <v>5.0</v>
      </c>
      <c r="V48" s="19" t="str">
        <f>U48/G7*100000</f>
        <v>#VALUE!</v>
      </c>
      <c r="W48" s="55"/>
      <c r="X48" s="19">
        <f>W48/H7*100000</f>
        <v>0</v>
      </c>
      <c r="Y48" s="19">
        <f t="shared" ref="Y48:Z48" si="55">((M48+O48+Q48+S48)/4)</f>
        <v>7</v>
      </c>
      <c r="Z48" s="19">
        <f t="shared" si="55"/>
        <v>27.95962384</v>
      </c>
      <c r="AA48" s="19">
        <f t="shared" si="3"/>
        <v>7.5</v>
      </c>
      <c r="AB48" s="19" t="str">
        <f t="shared" si="4"/>
        <v>#VALUE!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21">
        <v>3.0</v>
      </c>
      <c r="N49" s="19">
        <f>M49/C7*100000</f>
        <v>12.61776581</v>
      </c>
      <c r="O49" s="18">
        <v>3.0</v>
      </c>
      <c r="P49" s="19">
        <f>O49/D7*100000</f>
        <v>12.2819946</v>
      </c>
      <c r="Q49" s="21">
        <v>5.0</v>
      </c>
      <c r="R49" s="19">
        <f>Q49/E7*100000</f>
        <v>19.8341862</v>
      </c>
      <c r="S49" s="18">
        <v>10.0</v>
      </c>
      <c r="T49" s="19">
        <f>S49/F7*100000</f>
        <v>38.38034926</v>
      </c>
      <c r="U49" s="18">
        <v>2.0</v>
      </c>
      <c r="V49" s="19" t="str">
        <f>U49/G7*100000</f>
        <v>#VALUE!</v>
      </c>
      <c r="W49" s="102"/>
      <c r="X49" s="19">
        <f>W49/H7*100000</f>
        <v>0</v>
      </c>
      <c r="Y49" s="19">
        <f t="shared" ref="Y49:Z49" si="56">((M49+O49+Q49+S49)/4)</f>
        <v>5.25</v>
      </c>
      <c r="Z49" s="19">
        <f t="shared" si="56"/>
        <v>20.77857397</v>
      </c>
      <c r="AA49" s="19">
        <f t="shared" si="3"/>
        <v>6</v>
      </c>
      <c r="AB49" s="19" t="str">
        <f t="shared" si="4"/>
        <v>#VALUE!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25">
        <v>0.0</v>
      </c>
      <c r="N50" s="19">
        <f>M50/C7*100000</f>
        <v>0</v>
      </c>
      <c r="O50" s="25">
        <v>1.0</v>
      </c>
      <c r="P50" s="19">
        <f>O50/D7*100000</f>
        <v>4.093998199</v>
      </c>
      <c r="Q50" s="25">
        <v>1.0</v>
      </c>
      <c r="R50" s="19">
        <f>Q50/E7*100000</f>
        <v>3.966837241</v>
      </c>
      <c r="S50" s="24">
        <v>1.0</v>
      </c>
      <c r="T50" s="19">
        <f>S50/F7*100000</f>
        <v>3.838034926</v>
      </c>
      <c r="U50" s="24">
        <v>2.0</v>
      </c>
      <c r="V50" s="19" t="str">
        <f>U50/G7*100000</f>
        <v>#VALUE!</v>
      </c>
      <c r="W50" s="24">
        <v>0.0</v>
      </c>
      <c r="X50" s="19">
        <f>W50/H7*100000</f>
        <v>0</v>
      </c>
      <c r="Y50" s="19">
        <f t="shared" ref="Y50:Z50" si="57">((M50+O50+Q50+S50)/4)</f>
        <v>0.75</v>
      </c>
      <c r="Z50" s="19">
        <f t="shared" si="57"/>
        <v>2.974717591</v>
      </c>
      <c r="AA50" s="19">
        <f t="shared" si="3"/>
        <v>1.5</v>
      </c>
      <c r="AB50" s="19" t="str">
        <f t="shared" si="4"/>
        <v>#VALUE!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21">
        <v>0.0</v>
      </c>
      <c r="N51" s="19">
        <f>M51/C7*100000</f>
        <v>0</v>
      </c>
      <c r="O51" s="21">
        <v>0.0</v>
      </c>
      <c r="P51" s="19">
        <f>O51/D7*100000</f>
        <v>0</v>
      </c>
      <c r="Q51" s="21">
        <v>0.0</v>
      </c>
      <c r="R51" s="19">
        <f>Q51/E7*100000</f>
        <v>0</v>
      </c>
      <c r="S51" s="18">
        <v>0.0</v>
      </c>
      <c r="T51" s="19">
        <f>S51/F7*100000</f>
        <v>0</v>
      </c>
      <c r="U51" s="18">
        <v>1.0</v>
      </c>
      <c r="V51" s="19" t="str">
        <f>U51/G7*100000</f>
        <v>#VALUE!</v>
      </c>
      <c r="W51" s="18">
        <v>0.0</v>
      </c>
      <c r="X51" s="19">
        <f>W51/H7*100000</f>
        <v>0</v>
      </c>
      <c r="Y51" s="19">
        <f t="shared" ref="Y51:Z51" si="58">((M51+O51+Q51+S51)/4)</f>
        <v>0</v>
      </c>
      <c r="Z51" s="19">
        <f t="shared" si="58"/>
        <v>0</v>
      </c>
      <c r="AA51" s="19">
        <f t="shared" si="3"/>
        <v>0.5</v>
      </c>
      <c r="AB51" s="19" t="str">
        <f t="shared" si="4"/>
        <v>#VALUE!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25">
        <v>3.0</v>
      </c>
      <c r="N52" s="19">
        <f>M52/C7*100000</f>
        <v>12.61776581</v>
      </c>
      <c r="O52" s="25">
        <v>1.0</v>
      </c>
      <c r="P52" s="19">
        <f>O52/D7*100000</f>
        <v>4.093998199</v>
      </c>
      <c r="Q52" s="25">
        <v>0.0</v>
      </c>
      <c r="R52" s="19">
        <f>Q52/E7*100000</f>
        <v>0</v>
      </c>
      <c r="S52" s="24">
        <v>0.0</v>
      </c>
      <c r="T52" s="19">
        <f>S52/F7*100000</f>
        <v>0</v>
      </c>
      <c r="U52" s="24">
        <v>1.0</v>
      </c>
      <c r="V52" s="19" t="str">
        <f>U52/G7*100000</f>
        <v>#VALUE!</v>
      </c>
      <c r="W52" s="24">
        <v>0.0</v>
      </c>
      <c r="X52" s="19">
        <f>W52/H7*100000</f>
        <v>0</v>
      </c>
      <c r="Y52" s="19">
        <f t="shared" ref="Y52:Z52" si="59">((M52+O52+Q52+S52)/4)</f>
        <v>1</v>
      </c>
      <c r="Z52" s="19">
        <f t="shared" si="59"/>
        <v>4.177941003</v>
      </c>
      <c r="AA52" s="19">
        <f t="shared" si="3"/>
        <v>0.5</v>
      </c>
      <c r="AB52" s="19" t="str">
        <f t="shared" si="4"/>
        <v>#VALUE!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21">
        <v>0.0</v>
      </c>
      <c r="N53" s="19">
        <f>M53/C17*100000</f>
        <v>0</v>
      </c>
      <c r="O53" s="21">
        <v>0.0</v>
      </c>
      <c r="P53" s="19">
        <f>O53/D17*100000</f>
        <v>0</v>
      </c>
      <c r="Q53" s="21">
        <v>0.0</v>
      </c>
      <c r="R53" s="19">
        <f>Q53/E17*100000</f>
        <v>0</v>
      </c>
      <c r="S53" s="18">
        <v>1.0</v>
      </c>
      <c r="T53" s="19">
        <f>S53/F17*100000</f>
        <v>12.95840352</v>
      </c>
      <c r="U53" s="18">
        <v>0.0</v>
      </c>
      <c r="V53" s="19">
        <f>U53/G17*100000</f>
        <v>0</v>
      </c>
      <c r="W53" s="18">
        <v>0.0</v>
      </c>
      <c r="X53" s="19">
        <f>W53/H17*100000</f>
        <v>0</v>
      </c>
      <c r="Y53" s="19">
        <f t="shared" ref="Y53:Z53" si="60">((M53+O53+Q53+S53)/4)</f>
        <v>0.25</v>
      </c>
      <c r="Z53" s="19">
        <f t="shared" si="60"/>
        <v>3.239600881</v>
      </c>
      <c r="AA53" s="19">
        <f t="shared" si="3"/>
        <v>0.5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25">
        <v>0.0</v>
      </c>
      <c r="N54" s="19">
        <f>M54/C19*100000</f>
        <v>0</v>
      </c>
      <c r="O54" s="25">
        <v>0.0</v>
      </c>
      <c r="P54" s="19">
        <f>O54/D19*100000</f>
        <v>0</v>
      </c>
      <c r="Q54" s="25">
        <v>0.0</v>
      </c>
      <c r="R54" s="19">
        <f>Q54/E19*100000</f>
        <v>0</v>
      </c>
      <c r="S54" s="24">
        <v>0.0</v>
      </c>
      <c r="T54" s="19">
        <f>S54/F19*100000</f>
        <v>0</v>
      </c>
      <c r="U54" s="24">
        <v>1.0</v>
      </c>
      <c r="V54" s="19">
        <f>U54/G19*100000</f>
        <v>6.098676587</v>
      </c>
      <c r="W54" s="24">
        <v>0.0</v>
      </c>
      <c r="X54" s="19">
        <f>W54/H19*100000</f>
        <v>0</v>
      </c>
      <c r="Y54" s="19">
        <f t="shared" ref="Y54:Z54" si="61">((M54+O54+Q54+S54)/4)</f>
        <v>0</v>
      </c>
      <c r="Z54" s="19">
        <f t="shared" si="61"/>
        <v>0</v>
      </c>
      <c r="AA54" s="19">
        <f t="shared" si="3"/>
        <v>0.5</v>
      </c>
      <c r="AB54" s="19">
        <f t="shared" si="4"/>
        <v>3.049338294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21">
        <v>5.0</v>
      </c>
      <c r="N55" s="19">
        <f>M55/C19*100000</f>
        <v>35.20383018</v>
      </c>
      <c r="O55" s="21">
        <v>3.0</v>
      </c>
      <c r="P55" s="19">
        <f>O55/D19*100000</f>
        <v>20.4248366</v>
      </c>
      <c r="Q55" s="21">
        <v>1.0</v>
      </c>
      <c r="R55" s="19">
        <f>Q55/E19*100000</f>
        <v>6.553938917</v>
      </c>
      <c r="S55" s="18">
        <v>0.0</v>
      </c>
      <c r="T55" s="19">
        <f>S55/F19*100000</f>
        <v>0</v>
      </c>
      <c r="U55" s="18">
        <v>1.0</v>
      </c>
      <c r="V55" s="19">
        <f>U55/G19*100000</f>
        <v>6.098676587</v>
      </c>
      <c r="W55" s="18">
        <v>0.0</v>
      </c>
      <c r="X55" s="19">
        <f>W55/H19*100000</f>
        <v>0</v>
      </c>
      <c r="Y55" s="19">
        <f t="shared" ref="Y55:Z55" si="62">((M55+O55+Q55+S55)/4)</f>
        <v>2.25</v>
      </c>
      <c r="Z55" s="19">
        <f t="shared" si="62"/>
        <v>15.54565142</v>
      </c>
      <c r="AA55" s="19">
        <f t="shared" si="3"/>
        <v>0.5</v>
      </c>
      <c r="AB55" s="19">
        <f t="shared" si="4"/>
        <v>3.049338294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25">
        <v>0.0</v>
      </c>
      <c r="N56" s="19">
        <f>M56/C7*100000</f>
        <v>0</v>
      </c>
      <c r="O56" s="25">
        <v>0.0</v>
      </c>
      <c r="P56" s="19">
        <f>O56/D7*100000</f>
        <v>0</v>
      </c>
      <c r="Q56" s="25">
        <v>0.0</v>
      </c>
      <c r="R56" s="19">
        <f>Q56/E7*100000</f>
        <v>0</v>
      </c>
      <c r="S56" s="24">
        <v>0.0</v>
      </c>
      <c r="T56" s="19">
        <f>S56/F7*100000</f>
        <v>0</v>
      </c>
      <c r="U56" s="24">
        <v>0.0</v>
      </c>
      <c r="V56" s="19" t="str">
        <f>U56/G7*100000</f>
        <v>#VALUE!</v>
      </c>
      <c r="W56" s="24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 t="str">
        <f t="shared" si="4"/>
        <v>#VALUE!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21">
        <v>0.0</v>
      </c>
      <c r="N57" s="19">
        <f>M57/M4*100000</f>
        <v>0</v>
      </c>
      <c r="O57" s="21">
        <v>0.0</v>
      </c>
      <c r="P57" s="19">
        <f>O57/O4*100000</f>
        <v>0</v>
      </c>
      <c r="Q57" s="21">
        <v>0.0</v>
      </c>
      <c r="R57" s="19">
        <f>Q57/Q4*100000</f>
        <v>0</v>
      </c>
      <c r="S57" s="18">
        <v>0.0</v>
      </c>
      <c r="T57" s="19">
        <f>S57/S4*100000</f>
        <v>0</v>
      </c>
      <c r="U57" s="18">
        <v>0.0</v>
      </c>
      <c r="V57" s="19">
        <f>U57/U4*100000</f>
        <v>0</v>
      </c>
      <c r="W57" s="18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94">
        <v>31.0</v>
      </c>
      <c r="N58" s="57">
        <f>M58/C7*100000</f>
        <v>130.3835801</v>
      </c>
      <c r="O58" s="94">
        <v>16.0</v>
      </c>
      <c r="P58" s="57">
        <f>O58/D7*100000</f>
        <v>65.50397118</v>
      </c>
      <c r="Q58" s="94">
        <v>17.0</v>
      </c>
      <c r="R58" s="57">
        <f>Q58/E7*100000</f>
        <v>67.43623309</v>
      </c>
      <c r="S58" s="58">
        <v>30.0</v>
      </c>
      <c r="T58" s="57">
        <f>S58/F7*100000</f>
        <v>115.1410478</v>
      </c>
      <c r="U58" s="58">
        <v>25.0</v>
      </c>
      <c r="V58" s="57" t="str">
        <f>U58/G7*100000</f>
        <v>#VALUE!</v>
      </c>
      <c r="W58" s="59"/>
      <c r="X58" s="57">
        <f>W58/H7*100000</f>
        <v>0</v>
      </c>
      <c r="Y58" s="19">
        <f t="shared" ref="Y58:Z58" si="65">((M58+O58+Q58+S58)/4)</f>
        <v>23.5</v>
      </c>
      <c r="Z58" s="19">
        <f t="shared" si="65"/>
        <v>94.61620803</v>
      </c>
      <c r="AA58" s="19">
        <f t="shared" si="3"/>
        <v>27.5</v>
      </c>
      <c r="AB58" s="19" t="str">
        <f t="shared" si="4"/>
        <v>#VALUE!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96">
        <v>0.0</v>
      </c>
      <c r="N59" s="57">
        <f>M59/C7*100000</f>
        <v>0</v>
      </c>
      <c r="O59" s="96">
        <v>0.0</v>
      </c>
      <c r="P59" s="57">
        <f>O59/D7*100000</f>
        <v>0</v>
      </c>
      <c r="Q59" s="96">
        <v>0.0</v>
      </c>
      <c r="R59" s="57">
        <f>Q59/E7*100000</f>
        <v>0</v>
      </c>
      <c r="S59" s="106">
        <v>0.0</v>
      </c>
      <c r="T59" s="98">
        <f>S59/F7*100000</f>
        <v>0</v>
      </c>
      <c r="U59" s="106">
        <v>0.0</v>
      </c>
      <c r="V59" s="98" t="str">
        <f>U59/G7*100000</f>
        <v>#VALUE!</v>
      </c>
      <c r="W59" s="106">
        <v>0.0</v>
      </c>
      <c r="X59" s="98">
        <f>W59/H7*100000</f>
        <v>0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 t="str">
        <f t="shared" si="4"/>
        <v>#VALUE!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94">
        <v>0.0</v>
      </c>
      <c r="N60" s="57">
        <f>M60/C17*100000</f>
        <v>0</v>
      </c>
      <c r="O60" s="94">
        <v>0.0</v>
      </c>
      <c r="P60" s="57">
        <f>O60/D17*100000</f>
        <v>0</v>
      </c>
      <c r="Q60" s="94">
        <v>0.0</v>
      </c>
      <c r="R60" s="57">
        <f>Q60/E17*100000</f>
        <v>0</v>
      </c>
      <c r="S60" s="58">
        <v>1.0</v>
      </c>
      <c r="T60" s="57">
        <f>S60/F17*100000</f>
        <v>12.95840352</v>
      </c>
      <c r="U60" s="58">
        <v>0.0</v>
      </c>
      <c r="V60" s="57">
        <f>U60/G17*100000</f>
        <v>0</v>
      </c>
      <c r="W60" s="58">
        <v>1.0</v>
      </c>
      <c r="X60" s="57">
        <f>W60/H17*100000</f>
        <v>12.5738715</v>
      </c>
      <c r="Y60" s="99">
        <f>((M60+O60+Q60+S60)/4)</f>
        <v>0.25</v>
      </c>
      <c r="Z60" s="99">
        <f>((N60+P60+R60+T60)/1)</f>
        <v>12.95840352</v>
      </c>
      <c r="AA60" s="19">
        <f t="shared" si="3"/>
        <v>0.5</v>
      </c>
      <c r="AB60" s="19">
        <f t="shared" si="4"/>
        <v>6.286935748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96">
        <v>22.0</v>
      </c>
      <c r="N61" s="57">
        <f>M61/C15*1000</f>
        <v>11.6156283</v>
      </c>
      <c r="O61" s="96">
        <v>31.0</v>
      </c>
      <c r="P61" s="57">
        <f>O61/D15*1000</f>
        <v>13.65037428</v>
      </c>
      <c r="Q61" s="96">
        <v>44.0</v>
      </c>
      <c r="R61" s="57">
        <f>Q61/E15*1000</f>
        <v>19.22236785</v>
      </c>
      <c r="S61" s="67">
        <v>17.0</v>
      </c>
      <c r="T61" s="57">
        <f>S61/F15*1000</f>
        <v>7.359307359</v>
      </c>
      <c r="U61" s="67">
        <v>20.0</v>
      </c>
      <c r="V61" s="57">
        <f>U61/G15*1000</f>
        <v>8.635578584</v>
      </c>
      <c r="W61" s="67">
        <v>11.0</v>
      </c>
      <c r="X61" s="57">
        <f>W61/H23*1000</f>
        <v>4.739336493</v>
      </c>
      <c r="Y61" s="99">
        <f t="shared" ref="Y61:Z61" si="67">((M61+O61+Q61+S61)/1)</f>
        <v>114</v>
      </c>
      <c r="Z61" s="99">
        <f t="shared" si="67"/>
        <v>51.84767779</v>
      </c>
      <c r="AA61" s="19">
        <f t="shared" si="3"/>
        <v>18.5</v>
      </c>
      <c r="AB61" s="19">
        <f t="shared" si="4"/>
        <v>6.687457538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94">
        <v>27.0</v>
      </c>
      <c r="N62" s="57">
        <f>M62/C15*1000</f>
        <v>14.25554382</v>
      </c>
      <c r="O62" s="94">
        <v>60.0</v>
      </c>
      <c r="P62" s="57">
        <f>O62/D15*1000</f>
        <v>26.42007926</v>
      </c>
      <c r="Q62" s="94">
        <v>66.0</v>
      </c>
      <c r="R62" s="57">
        <f>Q62/E15*1000</f>
        <v>28.83355177</v>
      </c>
      <c r="S62" s="58">
        <v>57.0</v>
      </c>
      <c r="T62" s="57">
        <f>S62/F15*1000</f>
        <v>24.67532468</v>
      </c>
      <c r="U62" s="58">
        <v>37.0</v>
      </c>
      <c r="V62" s="57">
        <f>U62/G15*1000</f>
        <v>15.97582038</v>
      </c>
      <c r="W62" s="58">
        <v>29.0</v>
      </c>
      <c r="X62" s="57">
        <f>W62/H15*1000</f>
        <v>12.49461439</v>
      </c>
      <c r="Y62" s="99">
        <f t="shared" ref="Y62:Z62" si="68">((M62+O62+Q62+S62)/1)</f>
        <v>210</v>
      </c>
      <c r="Z62" s="99">
        <f t="shared" si="68"/>
        <v>94.18449953</v>
      </c>
      <c r="AA62" s="19">
        <f t="shared" si="3"/>
        <v>47</v>
      </c>
      <c r="AB62" s="19">
        <f t="shared" si="4"/>
        <v>14.23521739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96">
        <v>15.0</v>
      </c>
      <c r="N63" s="57">
        <f>M63/C17*100000</f>
        <v>202.3745278</v>
      </c>
      <c r="O63" s="96">
        <v>8.0</v>
      </c>
      <c r="P63" s="57">
        <f>O63/D17*100000</f>
        <v>107.0950469</v>
      </c>
      <c r="Q63" s="96">
        <v>8.0</v>
      </c>
      <c r="R63" s="57">
        <f>Q63/E17*100000</f>
        <v>105.471325</v>
      </c>
      <c r="S63" s="67">
        <v>12.0</v>
      </c>
      <c r="T63" s="57">
        <f>S63/F17*100000</f>
        <v>155.5008423</v>
      </c>
      <c r="U63" s="67">
        <v>13.0</v>
      </c>
      <c r="V63" s="57">
        <f>U63/G17*100000</f>
        <v>165.9856997</v>
      </c>
      <c r="W63" s="67">
        <v>3.0</v>
      </c>
      <c r="X63" s="57">
        <f>W63/H17*100000</f>
        <v>37.72161449</v>
      </c>
      <c r="Y63" s="99">
        <f t="shared" ref="Y63:Z63" si="69">((M63+O63+Q63+S63)/1)</f>
        <v>43</v>
      </c>
      <c r="Z63" s="99">
        <f t="shared" si="69"/>
        <v>570.4417419</v>
      </c>
      <c r="AA63" s="19">
        <f t="shared" si="3"/>
        <v>12.5</v>
      </c>
      <c r="AB63" s="19">
        <f t="shared" si="4"/>
        <v>101.8536571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94">
        <v>1.0</v>
      </c>
      <c r="N64" s="57">
        <f>M64/C17*100000</f>
        <v>13.49163519</v>
      </c>
      <c r="O64" s="94">
        <v>0.0</v>
      </c>
      <c r="P64" s="57">
        <f>O64/D17*100000</f>
        <v>0</v>
      </c>
      <c r="Q64" s="94">
        <v>0.0</v>
      </c>
      <c r="R64" s="57">
        <f>Q64/E17*100000</f>
        <v>0</v>
      </c>
      <c r="S64" s="58">
        <v>0.0</v>
      </c>
      <c r="T64" s="57">
        <f>S64/F17*100000</f>
        <v>0</v>
      </c>
      <c r="U64" s="107" t="s">
        <v>143</v>
      </c>
      <c r="V64" s="57" t="str">
        <f>U64/G17*100000</f>
        <v>#VALUE!</v>
      </c>
      <c r="W64" s="58">
        <v>0.0</v>
      </c>
      <c r="X64" s="57">
        <f>W64/H17*100000</f>
        <v>0</v>
      </c>
      <c r="Y64" s="99">
        <f t="shared" ref="Y64:Z64" si="70">((M64+O64+Q64+S64)/1)</f>
        <v>1</v>
      </c>
      <c r="Z64" s="99">
        <f t="shared" si="70"/>
        <v>13.49163519</v>
      </c>
      <c r="AA64" s="19" t="str">
        <f t="shared" si="3"/>
        <v>#VALUE!</v>
      </c>
      <c r="AB64" s="19" t="str">
        <f t="shared" si="4"/>
        <v>#VALUE!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96">
        <v>4.0</v>
      </c>
      <c r="N65" s="57">
        <f>M65/C17*100000</f>
        <v>53.96654074</v>
      </c>
      <c r="O65" s="96">
        <v>1.0</v>
      </c>
      <c r="P65" s="57">
        <f>O65/D17*100000</f>
        <v>13.38688086</v>
      </c>
      <c r="Q65" s="96">
        <v>9.0</v>
      </c>
      <c r="R65" s="57">
        <f>Q65/E17*100000</f>
        <v>118.6552406</v>
      </c>
      <c r="S65" s="96">
        <v>0.0</v>
      </c>
      <c r="T65" s="57">
        <f>S65/F17*100000</f>
        <v>0</v>
      </c>
      <c r="U65" s="96">
        <v>16.0</v>
      </c>
      <c r="V65" s="57">
        <f>U65/G17*100000</f>
        <v>204.2900919</v>
      </c>
      <c r="W65" s="67">
        <v>4.0</v>
      </c>
      <c r="X65" s="57">
        <f>W65/H17*100000</f>
        <v>50.29548598</v>
      </c>
      <c r="Y65" s="99">
        <f t="shared" ref="Y65:Z65" si="71">((M65+O65+Q65+S65)/1)</f>
        <v>14</v>
      </c>
      <c r="Z65" s="99">
        <f t="shared" si="71"/>
        <v>186.0086622</v>
      </c>
      <c r="AA65" s="19">
        <f t="shared" si="3"/>
        <v>8</v>
      </c>
      <c r="AB65" s="19">
        <f t="shared" si="4"/>
        <v>127.292789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94">
        <v>12.0</v>
      </c>
      <c r="N66" s="57">
        <f>M66/C17*100000</f>
        <v>161.8996222</v>
      </c>
      <c r="O66" s="94">
        <v>7.0</v>
      </c>
      <c r="P66" s="57">
        <f>O66/D17*100000</f>
        <v>93.708166</v>
      </c>
      <c r="Q66" s="94">
        <v>8.0</v>
      </c>
      <c r="R66" s="57">
        <f>Q66/E17*100000</f>
        <v>105.471325</v>
      </c>
      <c r="S66" s="94">
        <v>27.0</v>
      </c>
      <c r="T66" s="57">
        <f>S66/F17*100000</f>
        <v>349.8768952</v>
      </c>
      <c r="U66" s="94">
        <v>29.0</v>
      </c>
      <c r="V66" s="57">
        <f>U66/G17*100000</f>
        <v>370.2757916</v>
      </c>
      <c r="W66" s="58">
        <v>17.0</v>
      </c>
      <c r="X66" s="57">
        <f>W66/H17*100000</f>
        <v>213.7558154</v>
      </c>
      <c r="Y66" s="99">
        <f t="shared" ref="Y66:Z66" si="72">((M66+O66+Q66+S66)/1)</f>
        <v>54</v>
      </c>
      <c r="Z66" s="99">
        <f t="shared" si="72"/>
        <v>710.9560084</v>
      </c>
      <c r="AA66" s="19">
        <f t="shared" si="3"/>
        <v>28</v>
      </c>
      <c r="AB66" s="19">
        <f t="shared" si="4"/>
        <v>292.0158035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96">
        <v>0.0</v>
      </c>
      <c r="N67" s="57">
        <f>M67/C17*100000</f>
        <v>0</v>
      </c>
      <c r="O67" s="96">
        <v>1.0</v>
      </c>
      <c r="P67" s="57">
        <f>O67/D17*100000</f>
        <v>13.38688086</v>
      </c>
      <c r="Q67" s="96">
        <v>1.0</v>
      </c>
      <c r="R67" s="57">
        <f>Q67/E17*100000</f>
        <v>13.18391562</v>
      </c>
      <c r="S67" s="96">
        <v>1.0</v>
      </c>
      <c r="T67" s="57">
        <f>S67/F17*100000</f>
        <v>12.95840352</v>
      </c>
      <c r="U67" s="96">
        <v>4.0</v>
      </c>
      <c r="V67" s="57">
        <f>U67/G17*100000</f>
        <v>51.07252298</v>
      </c>
      <c r="W67" s="67">
        <v>3.0</v>
      </c>
      <c r="X67" s="57">
        <f>W67/H17*100000</f>
        <v>37.72161449</v>
      </c>
      <c r="Y67" s="99">
        <f t="shared" ref="Y67:Z67" si="73">((M67+O67+Q67+S67)/1)</f>
        <v>3</v>
      </c>
      <c r="Z67" s="99">
        <f t="shared" si="73"/>
        <v>39.5292</v>
      </c>
      <c r="AA67" s="19">
        <f t="shared" si="3"/>
        <v>2.5</v>
      </c>
      <c r="AB67" s="19">
        <f t="shared" si="4"/>
        <v>44.39706873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94">
        <v>3.0</v>
      </c>
      <c r="N68" s="57">
        <f>M68/C11*100000</f>
        <v>24.87768472</v>
      </c>
      <c r="O68" s="94">
        <v>2.0</v>
      </c>
      <c r="P68" s="57">
        <f>O68/D11*100000</f>
        <v>16.14595947</v>
      </c>
      <c r="Q68" s="94">
        <v>2.0</v>
      </c>
      <c r="R68" s="57">
        <f>Q68/E11*100000</f>
        <v>15.65067689</v>
      </c>
      <c r="S68" s="94">
        <v>2.0</v>
      </c>
      <c r="T68" s="57">
        <f>S68/F11*100000</f>
        <v>15.16415194</v>
      </c>
      <c r="U68" s="94">
        <v>2.0</v>
      </c>
      <c r="V68" s="57">
        <f>U68/G11*100000</f>
        <v>14.70588235</v>
      </c>
      <c r="W68" s="58">
        <v>2.0</v>
      </c>
      <c r="X68" s="57">
        <f>W68/H11*100000</f>
        <v>14.28163382</v>
      </c>
      <c r="Y68" s="99">
        <f t="shared" ref="Y68:Z68" si="74">((M68+O68+Q68+S68)/2)</f>
        <v>4.5</v>
      </c>
      <c r="Z68" s="99">
        <f t="shared" si="74"/>
        <v>35.91923651</v>
      </c>
      <c r="AA68" s="19">
        <f t="shared" si="3"/>
        <v>2</v>
      </c>
      <c r="AB68" s="19">
        <f t="shared" si="4"/>
        <v>14.49375809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96">
        <v>1.0</v>
      </c>
      <c r="N69" s="57">
        <f>M69/C11*100000</f>
        <v>8.292561572</v>
      </c>
      <c r="O69" s="96">
        <v>0.0</v>
      </c>
      <c r="P69" s="57">
        <f>O69/D11*100000</f>
        <v>0</v>
      </c>
      <c r="Q69" s="96">
        <v>7.0</v>
      </c>
      <c r="R69" s="57">
        <f>Q69/E11*100000</f>
        <v>54.77736912</v>
      </c>
      <c r="S69" s="96">
        <v>2.0</v>
      </c>
      <c r="T69" s="57">
        <f>S69/F11*100000</f>
        <v>15.16415194</v>
      </c>
      <c r="U69" s="96">
        <v>2.0</v>
      </c>
      <c r="V69" s="57">
        <f>U69/G11*100000</f>
        <v>14.70588235</v>
      </c>
      <c r="W69" s="67">
        <v>1.0</v>
      </c>
      <c r="X69" s="57">
        <f>W69/H11*100000</f>
        <v>7.140816909</v>
      </c>
      <c r="Y69" s="19">
        <f t="shared" ref="Y69:Z69" si="75">((M69+O69+Q69+S69)/2)</f>
        <v>5</v>
      </c>
      <c r="Z69" s="19">
        <f t="shared" si="75"/>
        <v>39.11704132</v>
      </c>
      <c r="AA69" s="19">
        <f t="shared" si="3"/>
        <v>2</v>
      </c>
      <c r="AB69" s="19">
        <f t="shared" si="4"/>
        <v>10.92334963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08">
        <v>6.0</v>
      </c>
      <c r="N70" s="98">
        <f>M70/C7*100000</f>
        <v>25.23553163</v>
      </c>
      <c r="O70" s="108">
        <v>0.0</v>
      </c>
      <c r="P70" s="98">
        <f>O70/D7*100000</f>
        <v>0</v>
      </c>
      <c r="Q70" s="108">
        <v>0.0</v>
      </c>
      <c r="R70" s="98">
        <f>Q70/E7*100000</f>
        <v>0</v>
      </c>
      <c r="S70" s="108">
        <v>7.0</v>
      </c>
      <c r="T70" s="98">
        <f>S70/F7*100000</f>
        <v>26.86624448</v>
      </c>
      <c r="U70" s="108">
        <v>3.0</v>
      </c>
      <c r="V70" s="98" t="str">
        <f>U70/G7*100000</f>
        <v>#VALUE!</v>
      </c>
      <c r="W70" s="109"/>
      <c r="X70" s="98">
        <f>W70/H7*100000</f>
        <v>0</v>
      </c>
      <c r="Y70" s="99">
        <f t="shared" ref="Y70:Z70" si="76">((M70+O70+Q70+S70)/1)</f>
        <v>13</v>
      </c>
      <c r="Z70" s="99">
        <f t="shared" si="76"/>
        <v>52.10177611</v>
      </c>
      <c r="AA70" s="99">
        <f t="shared" si="3"/>
        <v>5</v>
      </c>
      <c r="AB70" s="99" t="str">
        <f t="shared" si="4"/>
        <v>#VALUE!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4.43" defaultRowHeight="15.0"/>
  <cols>
    <col customWidth="1" min="1" max="1" width="2.57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0.43"/>
    <col customWidth="1" min="10" max="10" width="1.57"/>
    <col customWidth="1" min="11" max="11" width="1.14"/>
    <col customWidth="1" min="12" max="12" width="36.29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77.25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4"/>
      <c r="AC1" s="114"/>
    </row>
    <row r="2" ht="73.5" customHeight="1">
      <c r="A2" s="1"/>
      <c r="B2" s="12" t="s">
        <v>144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2"/>
      <c r="I3" s="1"/>
      <c r="J3" s="1"/>
      <c r="K3" s="1"/>
      <c r="L3" s="15" t="s">
        <v>26</v>
      </c>
      <c r="M3" s="115">
        <v>137.0</v>
      </c>
      <c r="N3" s="19">
        <f>M3/C7*1000</f>
        <v>3.854919947</v>
      </c>
      <c r="O3" s="116">
        <v>168.0</v>
      </c>
      <c r="P3" s="19">
        <f>O3/D7*1000</f>
        <v>4.585528291</v>
      </c>
      <c r="Q3" s="117">
        <v>132.0</v>
      </c>
      <c r="R3" s="19">
        <f>Q3/E7*1000</f>
        <v>3.49271029</v>
      </c>
      <c r="S3" s="118">
        <v>132.0</v>
      </c>
      <c r="T3" s="19">
        <f>S3/F7*1000</f>
        <v>3.378551318</v>
      </c>
      <c r="U3" s="118">
        <v>147.0</v>
      </c>
      <c r="V3" s="19">
        <f>U3/G7*1000</f>
        <v>3.646195059</v>
      </c>
      <c r="W3" s="118">
        <v>84.0</v>
      </c>
      <c r="X3" s="19">
        <f>W3/H7*1000</f>
        <v>2.025218796</v>
      </c>
      <c r="Y3" s="19">
        <f t="shared" ref="Y3:Z3" si="1">((M3+O3+Q3+S3)/4)</f>
        <v>142.25</v>
      </c>
      <c r="Z3" s="19">
        <f t="shared" si="1"/>
        <v>3.827927462</v>
      </c>
      <c r="AA3" s="19">
        <f t="shared" ref="AA3:AA70" si="3">((S3+U3)/2)</f>
        <v>139.5</v>
      </c>
      <c r="AB3" s="19">
        <f t="shared" ref="AB3:AB70" si="4">(V3+X3)/2</f>
        <v>2.835706927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15">
        <v>345.0</v>
      </c>
      <c r="N4" s="19">
        <f>M4/C7*1000</f>
        <v>9.707645122</v>
      </c>
      <c r="O4" s="116">
        <v>331.0</v>
      </c>
      <c r="P4" s="19">
        <f>O4/D7*1000</f>
        <v>9.034582526</v>
      </c>
      <c r="Q4" s="117">
        <v>319.0</v>
      </c>
      <c r="R4" s="19">
        <f>Q4/E7*1000</f>
        <v>8.440716535</v>
      </c>
      <c r="S4" s="118">
        <v>316.0</v>
      </c>
      <c r="T4" s="19">
        <f>S4/F7*1000</f>
        <v>8.088047095</v>
      </c>
      <c r="U4" s="118">
        <v>272.0</v>
      </c>
      <c r="V4" s="19">
        <f>U4/G7*1000</f>
        <v>6.746701062</v>
      </c>
      <c r="W4" s="118">
        <v>117.0</v>
      </c>
      <c r="X4" s="19">
        <f>W4/H7*1000</f>
        <v>2.820840466</v>
      </c>
      <c r="Y4" s="19">
        <f t="shared" ref="Y4:Z4" si="2">((M4+O4+Q4+S4)/4)</f>
        <v>327.75</v>
      </c>
      <c r="Z4" s="19">
        <f t="shared" si="2"/>
        <v>8.817747819</v>
      </c>
      <c r="AA4" s="19">
        <f t="shared" si="3"/>
        <v>294</v>
      </c>
      <c r="AB4" s="19">
        <f t="shared" si="4"/>
        <v>4.783770764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5">
        <v>0.0</v>
      </c>
      <c r="N5" s="19">
        <f>M5/C12*100000</f>
        <v>0</v>
      </c>
      <c r="O5" s="116">
        <v>0.0</v>
      </c>
      <c r="P5" s="19">
        <f>O5/D12*100000</f>
        <v>0</v>
      </c>
      <c r="Q5" s="117">
        <v>0.0</v>
      </c>
      <c r="R5" s="19">
        <f>Q5/E12*100000</f>
        <v>0</v>
      </c>
      <c r="S5" s="118">
        <v>0.0</v>
      </c>
      <c r="T5" s="19">
        <f>S5/F12*100000</f>
        <v>0</v>
      </c>
      <c r="U5" s="118">
        <v>0.0</v>
      </c>
      <c r="V5" s="19">
        <f>U5/G12*100000</f>
        <v>0</v>
      </c>
      <c r="W5" s="118">
        <v>0.0</v>
      </c>
      <c r="X5" s="19">
        <f>W5/H12*100000</f>
        <v>0</v>
      </c>
      <c r="Y5" s="19">
        <f t="shared" ref="Y5:Z5" si="5">((M5+O5+Q5+S5)/4)</f>
        <v>0</v>
      </c>
      <c r="Z5" s="19">
        <f t="shared" si="5"/>
        <v>0</v>
      </c>
      <c r="AA5" s="19">
        <f t="shared" si="3"/>
        <v>0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5">
        <v>21.0</v>
      </c>
      <c r="N6" s="19">
        <f>M6/M4*1000</f>
        <v>60.86956522</v>
      </c>
      <c r="O6" s="116">
        <v>13.0</v>
      </c>
      <c r="P6" s="19">
        <f>O6/O4*1000</f>
        <v>39.27492447</v>
      </c>
      <c r="Q6" s="117">
        <v>9.0</v>
      </c>
      <c r="R6" s="19">
        <f>Q6/Q4*1000</f>
        <v>28.21316614</v>
      </c>
      <c r="S6" s="118">
        <v>16.0</v>
      </c>
      <c r="T6" s="19">
        <f>S6/S4*1000</f>
        <v>50.63291139</v>
      </c>
      <c r="U6" s="118">
        <v>16.0</v>
      </c>
      <c r="V6" s="19">
        <f>U6/U4*1000</f>
        <v>58.82352941</v>
      </c>
      <c r="W6" s="118">
        <v>4.0</v>
      </c>
      <c r="X6" s="19">
        <f>W6/W4*1000</f>
        <v>34.18803419</v>
      </c>
      <c r="Y6" s="19">
        <f t="shared" ref="Y6:Z6" si="6">((M6+O6+Q6+S6)/4)</f>
        <v>14.75</v>
      </c>
      <c r="Z6" s="19">
        <f t="shared" si="6"/>
        <v>44.74764181</v>
      </c>
      <c r="AA6" s="19">
        <f t="shared" si="3"/>
        <v>16</v>
      </c>
      <c r="AB6" s="19">
        <f t="shared" si="4"/>
        <v>46.5057818</v>
      </c>
      <c r="AC6" s="22" t="s">
        <v>28</v>
      </c>
    </row>
    <row r="7" ht="14.25" customHeight="1">
      <c r="A7" s="1"/>
      <c r="B7" s="32" t="s">
        <v>41</v>
      </c>
      <c r="C7" s="119">
        <v>35539.0</v>
      </c>
      <c r="D7" s="120">
        <v>36637.0</v>
      </c>
      <c r="E7" s="121">
        <v>37793.0</v>
      </c>
      <c r="F7" s="119">
        <v>39070.0</v>
      </c>
      <c r="G7" s="119">
        <v>40316.0</v>
      </c>
      <c r="H7" s="119">
        <v>41477.0</v>
      </c>
      <c r="I7" s="1"/>
      <c r="J7" s="1"/>
      <c r="K7" s="1"/>
      <c r="L7" s="15" t="s">
        <v>42</v>
      </c>
      <c r="M7" s="115">
        <v>9.0</v>
      </c>
      <c r="N7" s="36"/>
      <c r="O7" s="116">
        <v>1.0</v>
      </c>
      <c r="P7" s="36"/>
      <c r="Q7" s="117">
        <v>2.0</v>
      </c>
      <c r="R7" s="36"/>
      <c r="S7" s="118">
        <v>2.0</v>
      </c>
      <c r="T7" s="36"/>
      <c r="U7" s="118">
        <v>7.0</v>
      </c>
      <c r="V7" s="36"/>
      <c r="W7" s="118">
        <v>3.0</v>
      </c>
      <c r="X7" s="36"/>
      <c r="Y7" s="19">
        <f t="shared" ref="Y7:Z7" si="7">((M7+O7+Q7+S7)/4)</f>
        <v>3.5</v>
      </c>
      <c r="Z7" s="19">
        <f t="shared" si="7"/>
        <v>0</v>
      </c>
      <c r="AA7" s="19">
        <f t="shared" si="3"/>
        <v>4.5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120">
        <v>23455.0</v>
      </c>
      <c r="D8" s="120">
        <v>24620.0</v>
      </c>
      <c r="E8" s="120">
        <v>25743.0</v>
      </c>
      <c r="F8" s="120">
        <v>26942.0</v>
      </c>
      <c r="G8" s="120">
        <v>28088.0</v>
      </c>
      <c r="H8" s="120">
        <v>29149.0</v>
      </c>
      <c r="I8" s="1"/>
      <c r="J8" s="1"/>
      <c r="K8" s="1"/>
      <c r="L8" s="15" t="s">
        <v>45</v>
      </c>
      <c r="M8" s="115">
        <v>0.0</v>
      </c>
      <c r="N8" s="19">
        <f>M8/C15*1000</f>
        <v>0</v>
      </c>
      <c r="O8" s="116">
        <v>0.0</v>
      </c>
      <c r="P8" s="19">
        <f>O8/D15*1000</f>
        <v>0</v>
      </c>
      <c r="Q8" s="117">
        <v>0.0</v>
      </c>
      <c r="R8" s="19">
        <f>Q8/E15*1000</f>
        <v>0</v>
      </c>
      <c r="S8" s="118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20">
        <v>12084.0</v>
      </c>
      <c r="D9" s="120">
        <v>12017.0</v>
      </c>
      <c r="E9" s="120">
        <v>12050.0</v>
      </c>
      <c r="F9" s="120">
        <v>12128.0</v>
      </c>
      <c r="G9" s="120">
        <v>12228.0</v>
      </c>
      <c r="H9" s="120">
        <v>12328.0</v>
      </c>
      <c r="I9" s="1"/>
      <c r="J9" s="1"/>
      <c r="K9" s="1"/>
      <c r="L9" s="15" t="s">
        <v>48</v>
      </c>
      <c r="M9" s="115">
        <v>4.0</v>
      </c>
      <c r="N9" s="19">
        <f>M9/C7*100000</f>
        <v>11.25524072</v>
      </c>
      <c r="O9" s="116">
        <v>4.0</v>
      </c>
      <c r="P9" s="19">
        <f>O9/D7*100000</f>
        <v>10.9179245</v>
      </c>
      <c r="Q9" s="117">
        <v>6.0</v>
      </c>
      <c r="R9" s="19">
        <f>Q9/E7*100000</f>
        <v>15.87595586</v>
      </c>
      <c r="S9" s="118">
        <v>8.0</v>
      </c>
      <c r="T9" s="19">
        <f>S9/F7*100000</f>
        <v>20.47606859</v>
      </c>
      <c r="U9" s="118">
        <v>12.0</v>
      </c>
      <c r="V9" s="19">
        <f>U9/G7*100000</f>
        <v>29.76485762</v>
      </c>
      <c r="W9" s="118">
        <v>7.0</v>
      </c>
      <c r="X9" s="19">
        <f>W9/H7*100000</f>
        <v>16.8768233</v>
      </c>
      <c r="Y9" s="19">
        <f t="shared" ref="Y9:Z9" si="9">((M9+O9+Q9+S9)/4)</f>
        <v>5.5</v>
      </c>
      <c r="Z9" s="19">
        <f t="shared" si="9"/>
        <v>14.63129742</v>
      </c>
      <c r="AA9" s="19">
        <f t="shared" si="3"/>
        <v>10</v>
      </c>
      <c r="AB9" s="19">
        <f t="shared" si="4"/>
        <v>23.32084046</v>
      </c>
      <c r="AC9" s="22" t="s">
        <v>28</v>
      </c>
    </row>
    <row r="10" ht="14.25" customHeight="1">
      <c r="A10" s="1"/>
      <c r="B10" s="32" t="s">
        <v>50</v>
      </c>
      <c r="C10" s="121">
        <v>17435.0</v>
      </c>
      <c r="D10" s="121">
        <v>17998.0</v>
      </c>
      <c r="E10" s="121">
        <v>18584.0</v>
      </c>
      <c r="F10" s="122">
        <v>19234.0</v>
      </c>
      <c r="G10" s="123">
        <v>19867.0</v>
      </c>
      <c r="H10" s="123">
        <v>20454.0</v>
      </c>
      <c r="I10" s="1"/>
      <c r="J10" s="1"/>
      <c r="K10" s="1"/>
      <c r="L10" s="15" t="s">
        <v>51</v>
      </c>
      <c r="M10" s="115">
        <v>1.0</v>
      </c>
      <c r="N10" s="19">
        <f>M10/C15*100000</f>
        <v>41.64931279</v>
      </c>
      <c r="O10" s="116">
        <v>0.0</v>
      </c>
      <c r="P10" s="19">
        <f t="shared" ref="P10:P11" si="11">O10/D15*100000</f>
        <v>0</v>
      </c>
      <c r="Q10" s="117">
        <v>0.0</v>
      </c>
      <c r="R10" s="19">
        <f>Q10/E15*100000</f>
        <v>0</v>
      </c>
      <c r="S10" s="118">
        <v>0.0</v>
      </c>
      <c r="T10" s="19">
        <f>S10/F15*100000</f>
        <v>0</v>
      </c>
      <c r="U10" s="118">
        <v>0.0</v>
      </c>
      <c r="V10" s="19">
        <f>U10/G15*100000</f>
        <v>0</v>
      </c>
      <c r="W10" s="118">
        <v>0.0</v>
      </c>
      <c r="X10" s="19">
        <f>W10/H15*100000</f>
        <v>0</v>
      </c>
      <c r="Y10" s="19">
        <f t="shared" ref="Y10:Z10" si="10">((M10+O10+Q10+S10)/4)</f>
        <v>0.25</v>
      </c>
      <c r="Z10" s="19">
        <f t="shared" si="10"/>
        <v>10.4123282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121">
        <v>18104.0</v>
      </c>
      <c r="D11" s="121">
        <v>18639.0</v>
      </c>
      <c r="E11" s="121">
        <v>19209.0</v>
      </c>
      <c r="F11" s="122">
        <v>19386.0</v>
      </c>
      <c r="G11" s="123">
        <v>20449.0</v>
      </c>
      <c r="H11" s="123">
        <v>21023.0</v>
      </c>
      <c r="I11" s="1"/>
      <c r="J11" s="1"/>
      <c r="K11" s="1"/>
      <c r="L11" s="15" t="s">
        <v>53</v>
      </c>
      <c r="M11" s="115">
        <v>0.0</v>
      </c>
      <c r="N11" s="19">
        <f>M11/C15*100000</f>
        <v>0</v>
      </c>
      <c r="O11" s="116">
        <v>0.0</v>
      </c>
      <c r="P11" s="19">
        <f t="shared" si="11"/>
        <v>0</v>
      </c>
      <c r="Q11" s="117">
        <v>0.0</v>
      </c>
      <c r="R11" s="19">
        <f>Q11/F16*100000</f>
        <v>0</v>
      </c>
      <c r="S11" s="118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21">
        <v>345.0</v>
      </c>
      <c r="D12" s="121">
        <v>331.0</v>
      </c>
      <c r="E12" s="121">
        <v>319.0</v>
      </c>
      <c r="F12" s="121">
        <v>316.0</v>
      </c>
      <c r="G12" s="119">
        <v>272.0</v>
      </c>
      <c r="H12" s="119">
        <v>117.0</v>
      </c>
      <c r="I12" s="1"/>
      <c r="J12" s="1"/>
      <c r="K12" s="1"/>
      <c r="L12" s="15" t="s">
        <v>55</v>
      </c>
      <c r="M12" s="115">
        <v>108.0</v>
      </c>
      <c r="N12" s="19">
        <f>M12/C7*100000</f>
        <v>303.8914995</v>
      </c>
      <c r="O12" s="116">
        <v>131.0</v>
      </c>
      <c r="P12" s="19">
        <f>O12/D7*100000</f>
        <v>357.5620275</v>
      </c>
      <c r="Q12" s="117">
        <v>201.0</v>
      </c>
      <c r="R12" s="19">
        <f>Q12/E7*100000</f>
        <v>531.8445215</v>
      </c>
      <c r="S12" s="118">
        <v>233.0</v>
      </c>
      <c r="T12" s="19">
        <f>S12/F7*100000</f>
        <v>596.3654978</v>
      </c>
      <c r="U12" s="118">
        <v>320.0</v>
      </c>
      <c r="V12" s="19">
        <f>U12/G7*100000</f>
        <v>793.7295367</v>
      </c>
      <c r="W12" s="118">
        <v>182.0</v>
      </c>
      <c r="X12" s="19">
        <f>W12/H7*100000</f>
        <v>438.7974058</v>
      </c>
      <c r="Y12" s="19">
        <f t="shared" ref="Y12:Z12" si="13">((M12+O12+Q12+S12)/4)</f>
        <v>168.25</v>
      </c>
      <c r="Z12" s="19">
        <f t="shared" si="13"/>
        <v>447.4158866</v>
      </c>
      <c r="AA12" s="19">
        <f t="shared" si="3"/>
        <v>276.5</v>
      </c>
      <c r="AB12" s="19">
        <f t="shared" si="4"/>
        <v>616.2634712</v>
      </c>
      <c r="AC12" s="22" t="s">
        <v>57</v>
      </c>
    </row>
    <row r="13" ht="14.25" customHeight="1">
      <c r="A13" s="1"/>
      <c r="B13" s="32" t="s">
        <v>58</v>
      </c>
      <c r="C13" s="121">
        <v>137.0</v>
      </c>
      <c r="D13" s="121">
        <v>164.0</v>
      </c>
      <c r="E13" s="121">
        <v>132.0</v>
      </c>
      <c r="F13" s="121">
        <v>132.0</v>
      </c>
      <c r="G13" s="121">
        <v>147.0</v>
      </c>
      <c r="H13" s="121">
        <v>84.0</v>
      </c>
      <c r="I13" s="1"/>
      <c r="J13" s="1"/>
      <c r="K13" s="1"/>
      <c r="L13" s="15" t="s">
        <v>59</v>
      </c>
      <c r="M13" s="115">
        <v>78.0</v>
      </c>
      <c r="N13" s="19">
        <f>M13/C11*100000</f>
        <v>430.8440124</v>
      </c>
      <c r="O13" s="116">
        <v>102.0</v>
      </c>
      <c r="P13" s="19">
        <f>O13/D11*100000</f>
        <v>547.2396588</v>
      </c>
      <c r="Q13" s="117">
        <v>163.0</v>
      </c>
      <c r="R13" s="19">
        <f>Q13/E11*100000</f>
        <v>848.5605706</v>
      </c>
      <c r="S13" s="118">
        <v>185.0</v>
      </c>
      <c r="T13" s="19">
        <f>S13/F11*100000</f>
        <v>954.2969153</v>
      </c>
      <c r="U13" s="118">
        <v>252.0</v>
      </c>
      <c r="V13" s="19">
        <f>U13/G11*100000</f>
        <v>1232.334099</v>
      </c>
      <c r="W13" s="118">
        <v>137.0</v>
      </c>
      <c r="X13" s="19">
        <f>W13/H11*100000</f>
        <v>651.6672216</v>
      </c>
      <c r="Y13" s="19">
        <f t="shared" ref="Y13:Z13" si="14">((M13+O13+Q13+S13)/4)</f>
        <v>132</v>
      </c>
      <c r="Z13" s="19">
        <f t="shared" si="14"/>
        <v>695.2352893</v>
      </c>
      <c r="AA13" s="19">
        <f t="shared" si="3"/>
        <v>218.5</v>
      </c>
      <c r="AB13" s="19">
        <f t="shared" si="4"/>
        <v>942.0006605</v>
      </c>
      <c r="AC13" s="22" t="s">
        <v>57</v>
      </c>
    </row>
    <row r="14" ht="14.25" customHeight="1">
      <c r="A14" s="1"/>
      <c r="B14" s="32" t="s">
        <v>60</v>
      </c>
      <c r="C14" s="121">
        <v>471.0</v>
      </c>
      <c r="D14" s="121">
        <v>465.0</v>
      </c>
      <c r="E14" s="121">
        <v>460.0</v>
      </c>
      <c r="F14" s="121">
        <v>467.0</v>
      </c>
      <c r="G14" s="121">
        <v>475.0</v>
      </c>
      <c r="H14" s="121">
        <v>479.0</v>
      </c>
      <c r="I14" s="1"/>
      <c r="J14" s="1"/>
      <c r="K14" s="1"/>
      <c r="L14" s="15" t="s">
        <v>61</v>
      </c>
      <c r="M14" s="115">
        <v>4.0</v>
      </c>
      <c r="N14" s="19">
        <f>M14/M4*1000</f>
        <v>11.5942029</v>
      </c>
      <c r="O14" s="116">
        <v>1.0</v>
      </c>
      <c r="P14" s="19">
        <f>O14/O4*1000</f>
        <v>3.021148036</v>
      </c>
      <c r="Q14" s="117">
        <v>1.0</v>
      </c>
      <c r="R14" s="19">
        <f>Q14/Q4*1000</f>
        <v>3.134796238</v>
      </c>
      <c r="S14" s="118">
        <v>2.0</v>
      </c>
      <c r="T14" s="19">
        <f>S14/S4*1000</f>
        <v>6.329113924</v>
      </c>
      <c r="U14" s="118">
        <v>3.0</v>
      </c>
      <c r="V14" s="19">
        <f>U14/U4*1000</f>
        <v>11.02941176</v>
      </c>
      <c r="W14" s="118">
        <v>3.0</v>
      </c>
      <c r="X14" s="19">
        <f>W14/W4*1000</f>
        <v>25.64102564</v>
      </c>
      <c r="Y14" s="19">
        <f t="shared" ref="Y14:Z14" si="15">((M14+O14+Q14+S14)/4)</f>
        <v>2</v>
      </c>
      <c r="Z14" s="19">
        <f t="shared" si="15"/>
        <v>6.019815274</v>
      </c>
      <c r="AA14" s="19">
        <f t="shared" si="3"/>
        <v>2.5</v>
      </c>
      <c r="AB14" s="19">
        <f t="shared" si="4"/>
        <v>18.3352187</v>
      </c>
      <c r="AC14" s="22" t="s">
        <v>28</v>
      </c>
    </row>
    <row r="15" ht="14.25" customHeight="1">
      <c r="A15" s="1"/>
      <c r="B15" s="32" t="s">
        <v>62</v>
      </c>
      <c r="C15" s="121">
        <v>2401.0</v>
      </c>
      <c r="D15" s="121">
        <v>2437.0</v>
      </c>
      <c r="E15" s="121">
        <v>2457.0</v>
      </c>
      <c r="F15" s="121">
        <v>2474.0</v>
      </c>
      <c r="G15" s="121">
        <v>2484.0</v>
      </c>
      <c r="H15" s="121">
        <v>2489.0</v>
      </c>
      <c r="I15" s="1"/>
      <c r="J15" s="1"/>
      <c r="K15" s="1"/>
      <c r="L15" s="15" t="s">
        <v>63</v>
      </c>
      <c r="M15" s="115">
        <v>4.0</v>
      </c>
      <c r="N15" s="19">
        <f>M15/C15*100000</f>
        <v>166.5972511</v>
      </c>
      <c r="O15" s="116">
        <v>1.0</v>
      </c>
      <c r="P15" s="19">
        <f>O15/D15*100000</f>
        <v>41.03405827</v>
      </c>
      <c r="Q15" s="117">
        <v>1.0</v>
      </c>
      <c r="R15" s="19">
        <f>Q15/E15*100000</f>
        <v>40.7000407</v>
      </c>
      <c r="S15" s="118">
        <v>2.0</v>
      </c>
      <c r="T15" s="19">
        <f>S15/F15*100000</f>
        <v>80.84074373</v>
      </c>
      <c r="U15" s="118">
        <v>3.0</v>
      </c>
      <c r="V15" s="19">
        <f>U15/G15*100000</f>
        <v>120.7729469</v>
      </c>
      <c r="W15" s="118">
        <v>3.0</v>
      </c>
      <c r="X15" s="19">
        <f>W15/H15*100000</f>
        <v>120.5303335</v>
      </c>
      <c r="Y15" s="19">
        <f t="shared" ref="Y15:Z15" si="16">((M15+O15+Q15+S15)/4)</f>
        <v>2</v>
      </c>
      <c r="Z15" s="19">
        <f t="shared" si="16"/>
        <v>82.29302346</v>
      </c>
      <c r="AA15" s="19">
        <f t="shared" si="3"/>
        <v>2.5</v>
      </c>
      <c r="AB15" s="19">
        <f t="shared" si="4"/>
        <v>120.6516402</v>
      </c>
      <c r="AC15" s="22" t="s">
        <v>28</v>
      </c>
    </row>
    <row r="16" ht="14.25" customHeight="1">
      <c r="A16" s="1"/>
      <c r="B16" s="32" t="s">
        <v>64</v>
      </c>
      <c r="C16" s="121">
        <v>27774.0</v>
      </c>
      <c r="D16" s="121">
        <v>28744.0</v>
      </c>
      <c r="E16" s="121">
        <v>29768.0</v>
      </c>
      <c r="F16" s="121">
        <v>30875.0</v>
      </c>
      <c r="G16" s="121">
        <v>31962.0</v>
      </c>
      <c r="H16" s="121">
        <v>32991.0</v>
      </c>
      <c r="I16" s="1"/>
      <c r="J16" s="1"/>
      <c r="K16" s="1"/>
      <c r="L16" s="15" t="s">
        <v>65</v>
      </c>
      <c r="M16" s="115">
        <v>49.0</v>
      </c>
      <c r="N16" s="19">
        <f>M16/M4*100</f>
        <v>14.20289855</v>
      </c>
      <c r="O16" s="116">
        <v>27.0</v>
      </c>
      <c r="P16" s="19">
        <f>O16/O4*100</f>
        <v>8.157099698</v>
      </c>
      <c r="Q16" s="117">
        <v>41.0</v>
      </c>
      <c r="R16" s="19">
        <f>Q16/Q4*100</f>
        <v>12.85266458</v>
      </c>
      <c r="S16" s="118">
        <v>40.0</v>
      </c>
      <c r="T16" s="19">
        <f>S16/S4*100</f>
        <v>12.65822785</v>
      </c>
      <c r="U16" s="118">
        <v>41.0</v>
      </c>
      <c r="V16" s="19">
        <f>U16/U4*100</f>
        <v>15.07352941</v>
      </c>
      <c r="W16" s="118">
        <v>13.0</v>
      </c>
      <c r="X16" s="19">
        <f>W16/W4*100</f>
        <v>11.11111111</v>
      </c>
      <c r="Y16" s="19">
        <f t="shared" ref="Y16:Z16" si="17">((M16+O16+Q16+S16)/4)</f>
        <v>39.25</v>
      </c>
      <c r="Z16" s="19">
        <f t="shared" si="17"/>
        <v>11.96772267</v>
      </c>
      <c r="AA16" s="19">
        <f t="shared" si="3"/>
        <v>40.5</v>
      </c>
      <c r="AB16" s="19">
        <f t="shared" si="4"/>
        <v>13.09232026</v>
      </c>
      <c r="AC16" s="22" t="s">
        <v>30</v>
      </c>
    </row>
    <row r="17" ht="14.25" customHeight="1">
      <c r="A17" s="1"/>
      <c r="B17" s="32" t="s">
        <v>66</v>
      </c>
      <c r="C17" s="121">
        <v>10770.0</v>
      </c>
      <c r="D17" s="121">
        <v>10907.0</v>
      </c>
      <c r="E17" s="121">
        <v>11054.0</v>
      </c>
      <c r="F17" s="121">
        <v>11244.0</v>
      </c>
      <c r="G17" s="121">
        <v>11435.0</v>
      </c>
      <c r="H17" s="121">
        <v>11601.0</v>
      </c>
      <c r="I17" s="1"/>
      <c r="J17" s="1"/>
      <c r="K17" s="1"/>
      <c r="L17" s="15" t="s">
        <v>67</v>
      </c>
      <c r="M17" s="116">
        <v>20.0</v>
      </c>
      <c r="N17" s="19">
        <f>M17/M4*100</f>
        <v>5.797101449</v>
      </c>
      <c r="O17" s="116">
        <v>12.0</v>
      </c>
      <c r="P17" s="19">
        <f>O17/O4*100</f>
        <v>3.625377644</v>
      </c>
      <c r="Q17" s="117">
        <v>17.0</v>
      </c>
      <c r="R17" s="19">
        <f>Q17/Q4*100</f>
        <v>5.329153605</v>
      </c>
      <c r="S17" s="118">
        <v>15.0</v>
      </c>
      <c r="T17" s="19">
        <f>S17/S4*100</f>
        <v>4.746835443</v>
      </c>
      <c r="U17" s="118">
        <v>14.0</v>
      </c>
      <c r="V17" s="19">
        <f>U17/U4*100</f>
        <v>5.147058824</v>
      </c>
      <c r="W17" s="118">
        <v>9.0</v>
      </c>
      <c r="X17" s="19">
        <f>W17/W4*100</f>
        <v>7.692307692</v>
      </c>
      <c r="Y17" s="19">
        <f t="shared" ref="Y17:Z17" si="18">((M17+O17+Q17+S17)/4)</f>
        <v>16</v>
      </c>
      <c r="Z17" s="19">
        <f t="shared" si="18"/>
        <v>4.874617035</v>
      </c>
      <c r="AA17" s="19">
        <f t="shared" si="3"/>
        <v>14.5</v>
      </c>
      <c r="AB17" s="19">
        <f t="shared" si="4"/>
        <v>6.419683258</v>
      </c>
      <c r="AC17" s="22" t="s">
        <v>30</v>
      </c>
    </row>
    <row r="18" ht="14.25" customHeight="1">
      <c r="A18" s="1"/>
      <c r="B18" s="32" t="s">
        <v>68</v>
      </c>
      <c r="C18" s="121">
        <v>33126.0</v>
      </c>
      <c r="D18" s="121">
        <v>34090.0</v>
      </c>
      <c r="E18" s="121">
        <v>35116.0</v>
      </c>
      <c r="F18" s="121">
        <v>36235.0</v>
      </c>
      <c r="G18" s="121">
        <v>37305.0</v>
      </c>
      <c r="H18" s="121">
        <v>38300.0</v>
      </c>
      <c r="I18" s="1"/>
      <c r="J18" s="1"/>
      <c r="K18" s="1"/>
      <c r="L18" s="15" t="s">
        <v>69</v>
      </c>
      <c r="M18" s="116">
        <v>3.0</v>
      </c>
      <c r="N18" s="57">
        <f>M18/C15*1000</f>
        <v>1.249479384</v>
      </c>
      <c r="O18" s="116">
        <v>9.0</v>
      </c>
      <c r="P18" s="57">
        <f>O18/D15*1000</f>
        <v>3.693065244</v>
      </c>
      <c r="Q18" s="117">
        <v>5.0</v>
      </c>
      <c r="R18" s="57">
        <f>Q18/E15*1000</f>
        <v>2.035002035</v>
      </c>
      <c r="S18" s="124">
        <v>6.0</v>
      </c>
      <c r="T18" s="57">
        <f>S18/F15*1000</f>
        <v>2.425222312</v>
      </c>
      <c r="U18" s="124">
        <v>15.0</v>
      </c>
      <c r="V18" s="57">
        <f>U18/G15*1000</f>
        <v>6.038647343</v>
      </c>
      <c r="W18" s="124">
        <v>8.0</v>
      </c>
      <c r="X18" s="57">
        <f>W18/H15*1000</f>
        <v>3.214142226</v>
      </c>
      <c r="Y18" s="19">
        <f t="shared" ref="Y18:Z18" si="19">((M18+O18+Q18+S18)/4)</f>
        <v>5.75</v>
      </c>
      <c r="Z18" s="19">
        <f t="shared" si="19"/>
        <v>2.350692244</v>
      </c>
      <c r="AA18" s="19">
        <f t="shared" si="3"/>
        <v>10.5</v>
      </c>
      <c r="AB18" s="19">
        <f t="shared" si="4"/>
        <v>4.626394784</v>
      </c>
      <c r="AC18" s="22" t="s">
        <v>57</v>
      </c>
    </row>
    <row r="19" ht="14.25" customHeight="1">
      <c r="A19" s="1"/>
      <c r="B19" s="32" t="s">
        <v>70</v>
      </c>
      <c r="C19" s="121">
        <v>22356.0</v>
      </c>
      <c r="D19" s="121">
        <v>23183.0</v>
      </c>
      <c r="E19" s="121">
        <v>24062.0</v>
      </c>
      <c r="F19" s="121">
        <v>24991.0</v>
      </c>
      <c r="G19" s="121">
        <v>25870.0</v>
      </c>
      <c r="H19" s="121">
        <v>26699.0</v>
      </c>
      <c r="I19" s="1"/>
      <c r="J19" s="1"/>
      <c r="K19" s="1"/>
      <c r="L19" s="15" t="s">
        <v>71</v>
      </c>
      <c r="M19" s="115">
        <v>48.0</v>
      </c>
      <c r="N19" s="19">
        <f>M19/M4*100</f>
        <v>13.91304348</v>
      </c>
      <c r="O19" s="116">
        <v>27.0</v>
      </c>
      <c r="P19" s="19">
        <f>O19/O4*100</f>
        <v>8.157099698</v>
      </c>
      <c r="Q19" s="117">
        <v>22.0</v>
      </c>
      <c r="R19" s="19">
        <f>Q19/Q4*100</f>
        <v>6.896551724</v>
      </c>
      <c r="S19" s="118">
        <v>15.0</v>
      </c>
      <c r="T19" s="19">
        <f>S19/S4*100</f>
        <v>4.746835443</v>
      </c>
      <c r="U19" s="118">
        <v>20.0</v>
      </c>
      <c r="V19" s="19">
        <f>U19/U4*100</f>
        <v>7.352941176</v>
      </c>
      <c r="W19" s="118">
        <v>7.0</v>
      </c>
      <c r="X19" s="19">
        <f>W19/W4*100</f>
        <v>5.982905983</v>
      </c>
      <c r="Y19" s="19">
        <f t="shared" ref="Y19:Z19" si="20">((M19+O19+Q19+S19)/4)</f>
        <v>28</v>
      </c>
      <c r="Z19" s="19">
        <f t="shared" si="20"/>
        <v>8.428382586</v>
      </c>
      <c r="AA19" s="19">
        <f t="shared" si="3"/>
        <v>17.5</v>
      </c>
      <c r="AB19" s="19">
        <f t="shared" si="4"/>
        <v>6.66792358</v>
      </c>
      <c r="AC19" s="22" t="s">
        <v>72</v>
      </c>
    </row>
    <row r="20" ht="14.25" customHeight="1">
      <c r="A20" s="1"/>
      <c r="B20" s="32" t="s">
        <v>73</v>
      </c>
      <c r="C20" s="121">
        <v>1300.0</v>
      </c>
      <c r="D20" s="121">
        <v>1316.0</v>
      </c>
      <c r="E20" s="121">
        <v>1335.0</v>
      </c>
      <c r="F20" s="121">
        <v>1366.0</v>
      </c>
      <c r="G20" s="121">
        <v>1396.0</v>
      </c>
      <c r="H20" s="121">
        <v>1426.0</v>
      </c>
      <c r="I20" s="1"/>
      <c r="J20" s="1"/>
      <c r="K20" s="1"/>
      <c r="L20" s="15" t="s">
        <v>74</v>
      </c>
      <c r="M20" s="115">
        <v>0.0</v>
      </c>
      <c r="N20" s="19">
        <f t="shared" ref="N20:N21" si="22">M20/C20*1000</f>
        <v>0</v>
      </c>
      <c r="O20" s="116">
        <v>1.0</v>
      </c>
      <c r="P20" s="19">
        <f t="shared" ref="P20:P21" si="23">O20/D20*1000</f>
        <v>0.7598784195</v>
      </c>
      <c r="Q20" s="117">
        <v>0.0</v>
      </c>
      <c r="R20" s="19">
        <f t="shared" ref="R20:R21" si="24">Q20/E20*1000</f>
        <v>0</v>
      </c>
      <c r="S20" s="118">
        <v>0.0</v>
      </c>
      <c r="T20" s="19">
        <f t="shared" ref="T20:T21" si="25">S20/F20*1000</f>
        <v>0</v>
      </c>
      <c r="U20" s="118">
        <v>1.0</v>
      </c>
      <c r="V20" s="19">
        <f t="shared" ref="V20:V21" si="26">U20/G20*1000</f>
        <v>0.7163323782</v>
      </c>
      <c r="W20" s="118">
        <v>0.0</v>
      </c>
      <c r="X20" s="19">
        <f t="shared" ref="X20:X21" si="27">W20/H20*1000</f>
        <v>0</v>
      </c>
      <c r="Y20" s="19">
        <f t="shared" ref="Y20:Z20" si="21">((M20+O20+Q20+S20)/4)</f>
        <v>0.25</v>
      </c>
      <c r="Z20" s="19">
        <f t="shared" si="21"/>
        <v>0.1899696049</v>
      </c>
      <c r="AA20" s="19">
        <f t="shared" si="3"/>
        <v>0.5</v>
      </c>
      <c r="AB20" s="19">
        <f t="shared" si="4"/>
        <v>0.3581661891</v>
      </c>
      <c r="AC20" s="22" t="s">
        <v>72</v>
      </c>
    </row>
    <row r="21" ht="14.25" customHeight="1">
      <c r="A21" s="1"/>
      <c r="B21" s="32" t="s">
        <v>75</v>
      </c>
      <c r="C21" s="121">
        <v>1432.0</v>
      </c>
      <c r="D21" s="121">
        <v>1436.0</v>
      </c>
      <c r="E21" s="121">
        <v>1442.0</v>
      </c>
      <c r="F21" s="121">
        <v>1450.0</v>
      </c>
      <c r="G21" s="121">
        <v>1466.0</v>
      </c>
      <c r="H21" s="121">
        <v>1482.0</v>
      </c>
      <c r="I21" s="1"/>
      <c r="J21" s="1"/>
      <c r="K21" s="1"/>
      <c r="L21" s="15" t="s">
        <v>76</v>
      </c>
      <c r="M21" s="115">
        <v>48.0</v>
      </c>
      <c r="N21" s="19">
        <f t="shared" si="22"/>
        <v>33.51955307</v>
      </c>
      <c r="O21" s="116">
        <v>26.0</v>
      </c>
      <c r="P21" s="19">
        <f t="shared" si="23"/>
        <v>18.10584958</v>
      </c>
      <c r="Q21" s="117">
        <v>33.0</v>
      </c>
      <c r="R21" s="19">
        <f t="shared" si="24"/>
        <v>22.88488211</v>
      </c>
      <c r="S21" s="118">
        <v>15.0</v>
      </c>
      <c r="T21" s="19">
        <f t="shared" si="25"/>
        <v>10.34482759</v>
      </c>
      <c r="U21" s="118">
        <v>19.0</v>
      </c>
      <c r="V21" s="19">
        <f t="shared" si="26"/>
        <v>12.96043656</v>
      </c>
      <c r="W21" s="118">
        <v>7.0</v>
      </c>
      <c r="X21" s="19">
        <f t="shared" si="27"/>
        <v>4.723346829</v>
      </c>
      <c r="Y21" s="19">
        <f t="shared" ref="Y21:Z21" si="28">((M21+O21+Q21+S21)/4)</f>
        <v>30.5</v>
      </c>
      <c r="Z21" s="19">
        <f t="shared" si="28"/>
        <v>21.21377809</v>
      </c>
      <c r="AA21" s="19">
        <f t="shared" si="3"/>
        <v>17</v>
      </c>
      <c r="AB21" s="19">
        <f t="shared" si="4"/>
        <v>8.841891695</v>
      </c>
      <c r="AC21" s="22" t="s">
        <v>72</v>
      </c>
    </row>
    <row r="22" ht="14.25" customHeight="1">
      <c r="A22" s="1"/>
      <c r="B22" s="32" t="s">
        <v>77</v>
      </c>
      <c r="C22" s="120">
        <v>12637.0</v>
      </c>
      <c r="D22" s="121">
        <v>12970.0</v>
      </c>
      <c r="E22" s="121">
        <v>13346.0</v>
      </c>
      <c r="F22" s="120">
        <v>13751.0</v>
      </c>
      <c r="G22" s="120">
        <v>14149.0</v>
      </c>
      <c r="H22" s="120">
        <v>14522.0</v>
      </c>
      <c r="I22" s="1"/>
      <c r="J22" s="1"/>
      <c r="K22" s="1"/>
      <c r="L22" s="15" t="s">
        <v>78</v>
      </c>
      <c r="M22" s="116">
        <v>0.0</v>
      </c>
      <c r="N22" s="57">
        <f>M22/C7*100000</f>
        <v>0</v>
      </c>
      <c r="O22" s="116">
        <v>3.0</v>
      </c>
      <c r="P22" s="57">
        <f>O22/D7*100000</f>
        <v>8.188443377</v>
      </c>
      <c r="Q22" s="117">
        <v>4.0</v>
      </c>
      <c r="R22" s="57">
        <f>Q22/E7*100000</f>
        <v>10.58397058</v>
      </c>
      <c r="S22" s="124">
        <v>5.0</v>
      </c>
      <c r="T22" s="57">
        <f>S22/F7*100000</f>
        <v>12.79754287</v>
      </c>
      <c r="U22" s="124">
        <v>6.0</v>
      </c>
      <c r="V22" s="57">
        <f>U22/G7*100000</f>
        <v>14.88242881</v>
      </c>
      <c r="W22" s="124">
        <v>3.0</v>
      </c>
      <c r="X22" s="57">
        <f>W22/H7*100000</f>
        <v>7.232924271</v>
      </c>
      <c r="Y22" s="19">
        <f t="shared" ref="Y22:Z22" si="29">((M22+O22+Q22+S22)/4)</f>
        <v>3</v>
      </c>
      <c r="Z22" s="19">
        <f t="shared" si="29"/>
        <v>7.892489206</v>
      </c>
      <c r="AA22" s="19">
        <f t="shared" si="3"/>
        <v>5.5</v>
      </c>
      <c r="AB22" s="19">
        <f t="shared" si="4"/>
        <v>11.05767654</v>
      </c>
      <c r="AC22" s="22" t="s">
        <v>28</v>
      </c>
    </row>
    <row r="23" ht="14.25" customHeight="1">
      <c r="A23" s="1"/>
      <c r="B23" s="32" t="s">
        <v>79</v>
      </c>
      <c r="C23" s="121">
        <v>2897.0</v>
      </c>
      <c r="D23" s="122">
        <v>2945.0</v>
      </c>
      <c r="E23" s="122">
        <v>2980.0</v>
      </c>
      <c r="F23" s="122">
        <v>3017.0</v>
      </c>
      <c r="G23" s="122">
        <v>3035.0</v>
      </c>
      <c r="H23" s="122">
        <v>3046.0</v>
      </c>
      <c r="I23" s="1"/>
      <c r="J23" s="1"/>
      <c r="K23" s="1"/>
      <c r="L23" s="15" t="s">
        <v>80</v>
      </c>
      <c r="M23" s="116">
        <v>0.0</v>
      </c>
      <c r="N23" s="57">
        <f>M23/C7*100000</f>
        <v>0</v>
      </c>
      <c r="O23" s="116">
        <v>1.0</v>
      </c>
      <c r="P23" s="57">
        <f>O23/D7*100000</f>
        <v>2.729481126</v>
      </c>
      <c r="Q23" s="117">
        <v>1.0</v>
      </c>
      <c r="R23" s="57">
        <f>Q23/E7*100000</f>
        <v>2.645992644</v>
      </c>
      <c r="S23" s="124">
        <v>2.0</v>
      </c>
      <c r="T23" s="57">
        <f>S23/F7*100000</f>
        <v>5.119017149</v>
      </c>
      <c r="U23" s="124">
        <v>1.0</v>
      </c>
      <c r="V23" s="57">
        <f>U23/G7*100000</f>
        <v>2.480404802</v>
      </c>
      <c r="W23" s="124">
        <v>1.0</v>
      </c>
      <c r="X23" s="57">
        <f>W23/H7*100000</f>
        <v>2.410974757</v>
      </c>
      <c r="Y23" s="19">
        <f t="shared" ref="Y23:Z23" si="30">((M23+O23+Q23+S23)/4)</f>
        <v>1</v>
      </c>
      <c r="Z23" s="19">
        <f t="shared" si="30"/>
        <v>2.62362273</v>
      </c>
      <c r="AA23" s="19">
        <f t="shared" si="3"/>
        <v>1.5</v>
      </c>
      <c r="AB23" s="19">
        <f t="shared" si="4"/>
        <v>2.44568978</v>
      </c>
      <c r="AC23" s="22" t="s">
        <v>28</v>
      </c>
    </row>
    <row r="24" ht="14.25" customHeight="1">
      <c r="A24" s="1"/>
      <c r="B24" s="32" t="s">
        <v>81</v>
      </c>
      <c r="C24" s="121">
        <v>3156.0</v>
      </c>
      <c r="D24" s="122">
        <v>3222.0</v>
      </c>
      <c r="E24" s="122">
        <v>3299.0</v>
      </c>
      <c r="F24" s="122">
        <v>3393.0</v>
      </c>
      <c r="G24" s="122">
        <v>3498.0</v>
      </c>
      <c r="H24" s="122">
        <v>3581.0</v>
      </c>
      <c r="I24" s="1"/>
      <c r="J24" s="1"/>
      <c r="K24" s="1"/>
      <c r="L24" s="15" t="s">
        <v>82</v>
      </c>
      <c r="M24" s="116">
        <v>2.0</v>
      </c>
      <c r="N24" s="57">
        <f>M24/C7*100000</f>
        <v>5.627620361</v>
      </c>
      <c r="O24" s="116">
        <v>3.0</v>
      </c>
      <c r="P24" s="57">
        <f>O24/D7*100000</f>
        <v>8.188443377</v>
      </c>
      <c r="Q24" s="117">
        <v>1.0</v>
      </c>
      <c r="R24" s="57">
        <f>Q24/E7*100000</f>
        <v>2.645992644</v>
      </c>
      <c r="S24" s="124">
        <v>0.0</v>
      </c>
      <c r="T24" s="57">
        <f>S24/F7*100000</f>
        <v>0</v>
      </c>
      <c r="U24" s="124">
        <v>2.0</v>
      </c>
      <c r="V24" s="57">
        <f>U24/G7*100000</f>
        <v>4.960809604</v>
      </c>
      <c r="W24" s="124">
        <v>1.0</v>
      </c>
      <c r="X24" s="57">
        <f>W24/H7*100000</f>
        <v>2.410974757</v>
      </c>
      <c r="Y24" s="19">
        <f t="shared" ref="Y24:Z24" si="31">((M24+O24+Q24+S24)/4)</f>
        <v>1.5</v>
      </c>
      <c r="Z24" s="19">
        <f t="shared" si="31"/>
        <v>4.115514095</v>
      </c>
      <c r="AA24" s="19">
        <f t="shared" si="3"/>
        <v>1</v>
      </c>
      <c r="AB24" s="19">
        <f t="shared" si="4"/>
        <v>3.685892181</v>
      </c>
      <c r="AC24" s="22" t="s">
        <v>28</v>
      </c>
    </row>
    <row r="25" ht="14.25" customHeight="1">
      <c r="A25" s="1"/>
      <c r="B25" s="32" t="s">
        <v>83</v>
      </c>
      <c r="C25" s="121">
        <v>3508.0</v>
      </c>
      <c r="D25" s="122">
        <v>3528.0</v>
      </c>
      <c r="E25" s="122">
        <v>3561.0</v>
      </c>
      <c r="F25" s="122">
        <v>3613.0</v>
      </c>
      <c r="G25" s="122">
        <v>3673.0</v>
      </c>
      <c r="H25" s="122">
        <v>3737.0</v>
      </c>
      <c r="I25" s="1"/>
      <c r="J25" s="1"/>
      <c r="K25" s="1"/>
      <c r="L25" s="15" t="s">
        <v>84</v>
      </c>
      <c r="M25" s="116">
        <v>12.0</v>
      </c>
      <c r="N25" s="57">
        <f>M25/C7*100000</f>
        <v>33.76572216</v>
      </c>
      <c r="O25" s="116">
        <v>14.0</v>
      </c>
      <c r="P25" s="57">
        <f>O25/D7*100000</f>
        <v>38.21273576</v>
      </c>
      <c r="Q25" s="117">
        <v>28.0</v>
      </c>
      <c r="R25" s="57">
        <f>Q25/E7*100000</f>
        <v>74.08779404</v>
      </c>
      <c r="S25" s="124">
        <v>43.0</v>
      </c>
      <c r="T25" s="57">
        <f>S25/F7*100000</f>
        <v>110.0588687</v>
      </c>
      <c r="U25" s="124">
        <v>31.0</v>
      </c>
      <c r="V25" s="57">
        <f>U25/G7*100000</f>
        <v>76.89254886</v>
      </c>
      <c r="W25" s="124">
        <v>17.0</v>
      </c>
      <c r="X25" s="57">
        <f>W25/H7*100000</f>
        <v>40.98657087</v>
      </c>
      <c r="Y25" s="19">
        <f t="shared" ref="Y25:Z25" si="32">((M25+O25+Q25+S25)/4)</f>
        <v>24.25</v>
      </c>
      <c r="Z25" s="19">
        <f t="shared" si="32"/>
        <v>64.03128016</v>
      </c>
      <c r="AA25" s="19">
        <f t="shared" si="3"/>
        <v>37</v>
      </c>
      <c r="AB25" s="19">
        <f t="shared" si="4"/>
        <v>58.93955987</v>
      </c>
      <c r="AC25" s="22" t="s">
        <v>57</v>
      </c>
    </row>
    <row r="26" ht="14.25" customHeight="1">
      <c r="A26" s="1"/>
      <c r="B26" s="32" t="s">
        <v>85</v>
      </c>
      <c r="C26" s="121">
        <v>6614.0</v>
      </c>
      <c r="D26" s="122">
        <v>6767.0</v>
      </c>
      <c r="E26" s="122">
        <v>6901.0</v>
      </c>
      <c r="F26" s="122">
        <v>7014.0</v>
      </c>
      <c r="G26" s="122">
        <v>7094.0</v>
      </c>
      <c r="H26" s="122">
        <v>7149.0</v>
      </c>
      <c r="I26" s="1"/>
      <c r="J26" s="1"/>
      <c r="K26" s="1"/>
      <c r="L26" s="15" t="s">
        <v>86</v>
      </c>
      <c r="M26" s="115">
        <v>30.0</v>
      </c>
      <c r="N26" s="19">
        <f>M26/C7*100000</f>
        <v>84.41430541</v>
      </c>
      <c r="O26" s="116">
        <v>64.0</v>
      </c>
      <c r="P26" s="19">
        <f>O26/D7*100000</f>
        <v>174.686792</v>
      </c>
      <c r="Q26" s="117">
        <v>31.0</v>
      </c>
      <c r="R26" s="19">
        <f>Q26/E7*100000</f>
        <v>82.02577197</v>
      </c>
      <c r="S26" s="118">
        <v>27.0</v>
      </c>
      <c r="T26" s="19">
        <f>S26/F7*100000</f>
        <v>69.10673151</v>
      </c>
      <c r="U26" s="118">
        <v>23.0</v>
      </c>
      <c r="V26" s="19">
        <f>U26/G7*100000</f>
        <v>57.04931045</v>
      </c>
      <c r="W26" s="118">
        <v>19.0</v>
      </c>
      <c r="X26" s="19">
        <f>W26/H7*100000</f>
        <v>45.80852038</v>
      </c>
      <c r="Y26" s="19">
        <f t="shared" ref="Y26:Z26" si="33">((M26+O26+Q26+S26)/4)</f>
        <v>38</v>
      </c>
      <c r="Z26" s="19">
        <f t="shared" si="33"/>
        <v>102.5584002</v>
      </c>
      <c r="AA26" s="19">
        <f t="shared" si="3"/>
        <v>25</v>
      </c>
      <c r="AB26" s="19">
        <f t="shared" si="4"/>
        <v>51.42891542</v>
      </c>
      <c r="AC26" s="22" t="s">
        <v>28</v>
      </c>
    </row>
    <row r="27" ht="14.25" customHeight="1">
      <c r="A27" s="1"/>
      <c r="B27" s="62" t="s">
        <v>87</v>
      </c>
      <c r="C27" s="121">
        <v>2636.0</v>
      </c>
      <c r="D27" s="121">
        <v>2785.0</v>
      </c>
      <c r="E27" s="121">
        <v>2928.0</v>
      </c>
      <c r="F27" s="122">
        <v>3101.0</v>
      </c>
      <c r="G27" s="122">
        <v>3293.0</v>
      </c>
      <c r="H27" s="122">
        <v>3476.0</v>
      </c>
      <c r="I27" s="1"/>
      <c r="J27" s="1"/>
      <c r="K27" s="1"/>
      <c r="L27" s="15" t="s">
        <v>88</v>
      </c>
      <c r="M27" s="115">
        <v>2.0</v>
      </c>
      <c r="N27" s="19">
        <f>M27/C11*100000</f>
        <v>11.04728237</v>
      </c>
      <c r="O27" s="116">
        <v>1.0</v>
      </c>
      <c r="P27" s="19">
        <f>O27/D11*100000</f>
        <v>5.365094694</v>
      </c>
      <c r="Q27" s="117">
        <v>1.0</v>
      </c>
      <c r="R27" s="19">
        <f>Q27/E11*100000</f>
        <v>5.205893071</v>
      </c>
      <c r="S27" s="118">
        <v>0.0</v>
      </c>
      <c r="T27" s="19">
        <f>S27/F11*100000</f>
        <v>0</v>
      </c>
      <c r="U27" s="118">
        <v>2.0</v>
      </c>
      <c r="V27" s="19">
        <f>U27/G11*100000</f>
        <v>9.780429361</v>
      </c>
      <c r="W27" s="118">
        <v>1.0</v>
      </c>
      <c r="X27" s="19">
        <f>W27/H11*100000</f>
        <v>4.756695048</v>
      </c>
      <c r="Y27" s="19">
        <f t="shared" ref="Y27:Z27" si="34">((M27+O27+Q27+S27)/4)</f>
        <v>1</v>
      </c>
      <c r="Z27" s="19">
        <f t="shared" si="34"/>
        <v>5.404567533</v>
      </c>
      <c r="AA27" s="19">
        <f t="shared" si="3"/>
        <v>1</v>
      </c>
      <c r="AB27" s="19">
        <f t="shared" si="4"/>
        <v>7.268562205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5">
        <v>2.0</v>
      </c>
      <c r="N28" s="19">
        <f>M28/C11*100000</f>
        <v>11.04728237</v>
      </c>
      <c r="O28" s="116">
        <v>4.0</v>
      </c>
      <c r="P28" s="19">
        <f>O28/D11*100000</f>
        <v>21.46037878</v>
      </c>
      <c r="Q28" s="117">
        <v>2.0</v>
      </c>
      <c r="R28" s="19">
        <f>Q28/E11*100000</f>
        <v>10.41178614</v>
      </c>
      <c r="S28" s="118">
        <v>3.0</v>
      </c>
      <c r="T28" s="19">
        <f>S28/F11*100000</f>
        <v>15.47508511</v>
      </c>
      <c r="U28" s="118">
        <v>4.0</v>
      </c>
      <c r="V28" s="19">
        <f>U28/G11*100000</f>
        <v>19.56085872</v>
      </c>
      <c r="W28" s="118">
        <v>2.0</v>
      </c>
      <c r="X28" s="19">
        <f>W28/H11*100000</f>
        <v>9.513390097</v>
      </c>
      <c r="Y28" s="19">
        <f t="shared" ref="Y28:Z28" si="35">((M28+O28+Q28+S28)/4)</f>
        <v>2.75</v>
      </c>
      <c r="Z28" s="19">
        <f t="shared" si="35"/>
        <v>14.5986331</v>
      </c>
      <c r="AA28" s="19">
        <f t="shared" si="3"/>
        <v>3.5</v>
      </c>
      <c r="AB28" s="19">
        <f t="shared" si="4"/>
        <v>14.53712441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5">
        <v>1.0</v>
      </c>
      <c r="N29" s="19">
        <f>M29/C10*100000</f>
        <v>5.735589332</v>
      </c>
      <c r="O29" s="116">
        <v>1.0</v>
      </c>
      <c r="P29" s="19">
        <f>O29/D10*100000</f>
        <v>5.556172908</v>
      </c>
      <c r="Q29" s="117">
        <v>2.0</v>
      </c>
      <c r="R29" s="19">
        <f>Q29/E10*100000</f>
        <v>10.76194576</v>
      </c>
      <c r="S29" s="118">
        <v>2.0</v>
      </c>
      <c r="T29" s="19">
        <f>S29/F10*100000</f>
        <v>10.39825309</v>
      </c>
      <c r="U29" s="118">
        <v>0.0</v>
      </c>
      <c r="V29" s="19">
        <f>U29/G10*100000</f>
        <v>0</v>
      </c>
      <c r="W29" s="118">
        <v>1.0</v>
      </c>
      <c r="X29" s="19">
        <f>W29/H10*100000</f>
        <v>4.889019263</v>
      </c>
      <c r="Y29" s="19">
        <f t="shared" ref="Y29:Z29" si="36">((M29+O29+Q29+S29)/4)</f>
        <v>1.5</v>
      </c>
      <c r="Z29" s="19">
        <f t="shared" si="36"/>
        <v>8.112990273</v>
      </c>
      <c r="AA29" s="19">
        <f t="shared" si="3"/>
        <v>1</v>
      </c>
      <c r="AB29" s="19">
        <f t="shared" si="4"/>
        <v>2.444509631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5">
        <v>22.0</v>
      </c>
      <c r="N30" s="19">
        <f>M30/C7*100000</f>
        <v>61.90382397</v>
      </c>
      <c r="O30" s="116">
        <v>53.0</v>
      </c>
      <c r="P30" s="19">
        <f>O30/D7*100000</f>
        <v>144.6624997</v>
      </c>
      <c r="Q30" s="117">
        <v>4.0</v>
      </c>
      <c r="R30" s="19">
        <f>Q30/E7*100000</f>
        <v>10.58397058</v>
      </c>
      <c r="S30" s="118">
        <v>4.0</v>
      </c>
      <c r="T30" s="19">
        <f>S30/F7*100000</f>
        <v>10.2380343</v>
      </c>
      <c r="U30" s="118">
        <v>7.0</v>
      </c>
      <c r="V30" s="19">
        <f>U30/G7*100000</f>
        <v>17.36283361</v>
      </c>
      <c r="W30" s="118">
        <v>5.0</v>
      </c>
      <c r="X30" s="19">
        <f>W30/H7*100000</f>
        <v>12.05487379</v>
      </c>
      <c r="Y30" s="19">
        <f t="shared" ref="Y30:Z30" si="37">((M30+O30+Q30+S30)/4)</f>
        <v>20.75</v>
      </c>
      <c r="Z30" s="19">
        <f t="shared" si="37"/>
        <v>56.84708213</v>
      </c>
      <c r="AA30" s="19">
        <f t="shared" si="3"/>
        <v>5.5</v>
      </c>
      <c r="AB30" s="19">
        <f t="shared" si="4"/>
        <v>14.7088537</v>
      </c>
      <c r="AC30" s="22" t="s">
        <v>28</v>
      </c>
    </row>
    <row r="31" ht="14.25" customHeight="1">
      <c r="A31" s="1"/>
      <c r="B31" s="71" t="s">
        <v>93</v>
      </c>
      <c r="C31" s="121">
        <v>2897.0</v>
      </c>
      <c r="D31" s="122">
        <v>2945.0</v>
      </c>
      <c r="E31" s="122">
        <v>2980.0</v>
      </c>
      <c r="F31" s="122">
        <v>3017.0</v>
      </c>
      <c r="G31" s="122">
        <v>3035.0</v>
      </c>
      <c r="H31" s="122">
        <v>3046.0</v>
      </c>
      <c r="I31" s="1"/>
      <c r="J31" s="1"/>
      <c r="K31" s="1"/>
      <c r="L31" s="15" t="s">
        <v>94</v>
      </c>
      <c r="M31" s="115">
        <v>0.0</v>
      </c>
      <c r="N31" s="19">
        <f>M31/C7*100000</f>
        <v>0</v>
      </c>
      <c r="O31" s="116">
        <v>1.0</v>
      </c>
      <c r="P31" s="19">
        <f>O31/D7*100000</f>
        <v>2.729481126</v>
      </c>
      <c r="Q31" s="117">
        <v>0.0</v>
      </c>
      <c r="R31" s="19">
        <f>Q31/E7*100000</f>
        <v>0</v>
      </c>
      <c r="S31" s="118">
        <v>1.0</v>
      </c>
      <c r="T31" s="19">
        <f>S31/F7*100000</f>
        <v>2.559508574</v>
      </c>
      <c r="U31" s="118">
        <v>1.0</v>
      </c>
      <c r="V31" s="19">
        <f>U31/G7*100000</f>
        <v>2.480404802</v>
      </c>
      <c r="W31" s="118">
        <v>0.0</v>
      </c>
      <c r="X31" s="19">
        <f>W31/H7*100000</f>
        <v>0</v>
      </c>
      <c r="Y31" s="19">
        <f t="shared" ref="Y31:Z31" si="38">((M31+O31+Q31+S31)/4)</f>
        <v>0.5</v>
      </c>
      <c r="Z31" s="19">
        <f t="shared" si="38"/>
        <v>1.322247425</v>
      </c>
      <c r="AA31" s="19">
        <f t="shared" si="3"/>
        <v>1</v>
      </c>
      <c r="AB31" s="19">
        <f t="shared" si="4"/>
        <v>1.240202401</v>
      </c>
      <c r="AC31" s="22" t="s">
        <v>28</v>
      </c>
    </row>
    <row r="32" ht="14.25" customHeight="1">
      <c r="A32" s="1"/>
      <c r="B32" s="71" t="s">
        <v>95</v>
      </c>
      <c r="C32" s="121">
        <v>3156.0</v>
      </c>
      <c r="D32" s="122">
        <v>3222.0</v>
      </c>
      <c r="E32" s="122">
        <v>3299.0</v>
      </c>
      <c r="F32" s="122">
        <v>3393.0</v>
      </c>
      <c r="G32" s="122">
        <v>3498.0</v>
      </c>
      <c r="H32" s="122">
        <v>3581.0</v>
      </c>
      <c r="I32" s="1"/>
      <c r="J32" s="1"/>
      <c r="K32" s="1"/>
      <c r="L32" s="15" t="s">
        <v>96</v>
      </c>
      <c r="M32" s="125">
        <v>18.0</v>
      </c>
      <c r="N32" s="72">
        <f>M32/C7*100</f>
        <v>0.05064858325</v>
      </c>
      <c r="O32" s="116">
        <v>10.0</v>
      </c>
      <c r="P32" s="72">
        <f>O32/D7*100</f>
        <v>0.02729481126</v>
      </c>
      <c r="Q32" s="117">
        <v>8.0</v>
      </c>
      <c r="R32" s="72">
        <f>Q32/E7*100</f>
        <v>0.02116794115</v>
      </c>
      <c r="S32" s="124">
        <v>16.0</v>
      </c>
      <c r="T32" s="72">
        <f>S32/F7*100</f>
        <v>0.04095213719</v>
      </c>
      <c r="U32" s="124">
        <v>5.0</v>
      </c>
      <c r="V32" s="72">
        <f>U32/G7*100</f>
        <v>0.01240202401</v>
      </c>
      <c r="W32" s="124">
        <v>2.0</v>
      </c>
      <c r="X32" s="72">
        <f>W32/H7*100</f>
        <v>0.004821949514</v>
      </c>
      <c r="Y32" s="19">
        <f t="shared" ref="Y32:Z32" si="39">((M32+O32+Q32+S32)/4)</f>
        <v>13</v>
      </c>
      <c r="Z32" s="74">
        <f t="shared" si="39"/>
        <v>0.03501586821</v>
      </c>
      <c r="AA32" s="19">
        <f t="shared" si="3"/>
        <v>10.5</v>
      </c>
      <c r="AB32" s="19">
        <f t="shared" si="4"/>
        <v>0.008611986762</v>
      </c>
      <c r="AC32" s="22" t="s">
        <v>57</v>
      </c>
    </row>
    <row r="33" ht="14.25" customHeight="1">
      <c r="A33" s="1"/>
      <c r="B33" s="71" t="s">
        <v>99</v>
      </c>
      <c r="C33" s="121">
        <v>3508.0</v>
      </c>
      <c r="D33" s="122">
        <v>3528.0</v>
      </c>
      <c r="E33" s="122">
        <v>3561.0</v>
      </c>
      <c r="F33" s="122">
        <v>3613.0</v>
      </c>
      <c r="G33" s="122">
        <v>3673.0</v>
      </c>
      <c r="H33" s="122">
        <v>3737.0</v>
      </c>
      <c r="I33" s="1"/>
      <c r="J33" s="1"/>
      <c r="K33" s="1"/>
      <c r="L33" s="15" t="s">
        <v>100</v>
      </c>
      <c r="M33" s="115">
        <v>1554.0</v>
      </c>
      <c r="N33" s="19">
        <f>M33/C7*10000</f>
        <v>437.266102</v>
      </c>
      <c r="O33" s="116">
        <v>2126.0</v>
      </c>
      <c r="P33" s="19">
        <f>O33/D7*10000</f>
        <v>580.2876873</v>
      </c>
      <c r="Q33" s="117">
        <v>2084.0</v>
      </c>
      <c r="R33" s="19">
        <f>Q33/E7*10000</f>
        <v>551.424867</v>
      </c>
      <c r="S33" s="118">
        <v>1776.0</v>
      </c>
      <c r="T33" s="19">
        <f>S33/F7*10000</f>
        <v>454.5687228</v>
      </c>
      <c r="U33" s="118">
        <v>1808.0</v>
      </c>
      <c r="V33" s="19">
        <f>U33/G7*10000</f>
        <v>448.4571882</v>
      </c>
      <c r="W33" s="118">
        <v>887.0</v>
      </c>
      <c r="X33" s="19">
        <f>W33/H7*10000</f>
        <v>213.853461</v>
      </c>
      <c r="Y33" s="19">
        <f t="shared" ref="Y33:Z33" si="40">((M33+O33+Q33+S33)/4)</f>
        <v>1885</v>
      </c>
      <c r="Z33" s="19">
        <f t="shared" si="40"/>
        <v>505.8868448</v>
      </c>
      <c r="AA33" s="19">
        <f t="shared" si="3"/>
        <v>1792</v>
      </c>
      <c r="AB33" s="19">
        <f t="shared" si="4"/>
        <v>331.1553246</v>
      </c>
      <c r="AC33" s="22" t="s">
        <v>57</v>
      </c>
    </row>
    <row r="34" ht="14.25" customHeight="1">
      <c r="A34" s="1"/>
      <c r="B34" s="71" t="s">
        <v>101</v>
      </c>
      <c r="C34" s="121">
        <v>6614.0</v>
      </c>
      <c r="D34" s="122">
        <v>6767.0</v>
      </c>
      <c r="E34" s="122">
        <v>6901.0</v>
      </c>
      <c r="F34" s="122">
        <v>7014.0</v>
      </c>
      <c r="G34" s="122">
        <v>7094.0</v>
      </c>
      <c r="H34" s="122">
        <v>7149.0</v>
      </c>
      <c r="I34" s="1"/>
      <c r="J34" s="1"/>
      <c r="K34" s="1"/>
      <c r="L34" s="15" t="s">
        <v>102</v>
      </c>
      <c r="M34" s="115">
        <v>252.0</v>
      </c>
      <c r="N34" s="19">
        <f>M34/C7*10000</f>
        <v>70.90801655</v>
      </c>
      <c r="O34" s="116">
        <v>311.0</v>
      </c>
      <c r="P34" s="19">
        <f>O34/D7*10000</f>
        <v>84.88686301</v>
      </c>
      <c r="Q34" s="117">
        <v>480.0</v>
      </c>
      <c r="R34" s="19">
        <f>Q34/E7*10000</f>
        <v>127.0076469</v>
      </c>
      <c r="S34" s="118">
        <v>593.0</v>
      </c>
      <c r="T34" s="19">
        <f>S34/F7*10000</f>
        <v>151.7788585</v>
      </c>
      <c r="U34" s="118">
        <v>661.0</v>
      </c>
      <c r="V34" s="19">
        <f>U34/G7*10000</f>
        <v>163.9547574</v>
      </c>
      <c r="W34" s="118">
        <v>208.0</v>
      </c>
      <c r="X34" s="19">
        <f>W34/H7*10000</f>
        <v>50.14827495</v>
      </c>
      <c r="Y34" s="19">
        <f t="shared" ref="Y34:Z34" si="41">((M34+O34+Q34+S34)/4)</f>
        <v>409</v>
      </c>
      <c r="Z34" s="19">
        <f t="shared" si="41"/>
        <v>108.6453462</v>
      </c>
      <c r="AA34" s="19">
        <f t="shared" si="3"/>
        <v>627</v>
      </c>
      <c r="AB34" s="19">
        <f t="shared" si="4"/>
        <v>107.0515162</v>
      </c>
      <c r="AC34" s="22" t="s">
        <v>57</v>
      </c>
    </row>
    <row r="35" ht="14.25" customHeight="1">
      <c r="A35" s="1"/>
      <c r="B35" s="71" t="s">
        <v>103</v>
      </c>
      <c r="C35" s="126">
        <v>16728.0</v>
      </c>
      <c r="D35" s="121">
        <v>17390.0</v>
      </c>
      <c r="E35" s="121">
        <v>18124.0</v>
      </c>
      <c r="F35" s="122">
        <v>18932.0</v>
      </c>
      <c r="G35" s="122">
        <v>19723.0</v>
      </c>
      <c r="H35" s="122">
        <v>20488.0</v>
      </c>
      <c r="I35" s="1"/>
      <c r="J35" s="1"/>
      <c r="K35" s="1"/>
      <c r="L35" s="15" t="s">
        <v>104</v>
      </c>
      <c r="M35" s="115">
        <v>27.0</v>
      </c>
      <c r="N35" s="19">
        <f>M35/M4*1000</f>
        <v>78.26086957</v>
      </c>
      <c r="O35" s="116">
        <v>20.0</v>
      </c>
      <c r="P35" s="19">
        <f>O35/O4*1000</f>
        <v>60.42296073</v>
      </c>
      <c r="Q35" s="117">
        <v>22.0</v>
      </c>
      <c r="R35" s="19">
        <f>Q35/Q4*1000</f>
        <v>68.96551724</v>
      </c>
      <c r="S35" s="118">
        <v>28.0</v>
      </c>
      <c r="T35" s="19">
        <f>S35/S4*1000</f>
        <v>88.60759494</v>
      </c>
      <c r="U35" s="118">
        <v>31.0</v>
      </c>
      <c r="V35" s="19">
        <f>U35/U4*1000</f>
        <v>113.9705882</v>
      </c>
      <c r="W35" s="118">
        <v>16.0</v>
      </c>
      <c r="X35" s="19">
        <f>W35/W4*1000</f>
        <v>136.7521368</v>
      </c>
      <c r="Y35" s="19">
        <f t="shared" ref="Y35:Z35" si="42">((M35+O35+Q35+S35)/4)</f>
        <v>24.25</v>
      </c>
      <c r="Z35" s="19">
        <f t="shared" si="42"/>
        <v>74.06423562</v>
      </c>
      <c r="AA35" s="19">
        <f t="shared" si="3"/>
        <v>29.5</v>
      </c>
      <c r="AB35" s="19">
        <f t="shared" si="4"/>
        <v>125.3613625</v>
      </c>
      <c r="AC35" s="22" t="s">
        <v>57</v>
      </c>
    </row>
    <row r="36" ht="14.25" customHeight="1">
      <c r="A36" s="1"/>
      <c r="B36" s="71" t="s">
        <v>105</v>
      </c>
      <c r="C36" s="121">
        <v>2636.0</v>
      </c>
      <c r="D36" s="121">
        <v>2785.0</v>
      </c>
      <c r="E36" s="121">
        <v>2928.0</v>
      </c>
      <c r="F36" s="122">
        <v>3101.0</v>
      </c>
      <c r="G36" s="122">
        <v>3293.0</v>
      </c>
      <c r="H36" s="122">
        <v>3476.0</v>
      </c>
      <c r="I36" s="1"/>
      <c r="J36" s="1"/>
      <c r="K36" s="1"/>
      <c r="L36" s="15" t="s">
        <v>106</v>
      </c>
      <c r="M36" s="115">
        <v>6.0</v>
      </c>
      <c r="N36" s="19">
        <f>M36/M4*1000</f>
        <v>17.39130435</v>
      </c>
      <c r="O36" s="116">
        <v>6.0</v>
      </c>
      <c r="P36" s="19">
        <f>O36/O4*1000</f>
        <v>18.12688822</v>
      </c>
      <c r="Q36" s="117">
        <v>6.0</v>
      </c>
      <c r="R36" s="19">
        <f>Q36/Q4*1000</f>
        <v>18.80877743</v>
      </c>
      <c r="S36" s="118">
        <v>6.0</v>
      </c>
      <c r="T36" s="19">
        <f>S36/S4*1000</f>
        <v>18.98734177</v>
      </c>
      <c r="U36" s="118">
        <v>6.0</v>
      </c>
      <c r="V36" s="19">
        <f>U36/U4*1000</f>
        <v>22.05882353</v>
      </c>
      <c r="W36" s="118">
        <v>4.0</v>
      </c>
      <c r="X36" s="19">
        <f>W36/W4*1000</f>
        <v>34.18803419</v>
      </c>
      <c r="Y36" s="19">
        <f t="shared" ref="Y36:Z36" si="43">((M36+O36+Q36+S36)/4)</f>
        <v>6</v>
      </c>
      <c r="Z36" s="19">
        <f t="shared" si="43"/>
        <v>18.32857794</v>
      </c>
      <c r="AA36" s="19">
        <f t="shared" si="3"/>
        <v>6</v>
      </c>
      <c r="AB36" s="19">
        <f t="shared" si="4"/>
        <v>28.12342886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15">
        <v>0.0</v>
      </c>
      <c r="N37" s="36"/>
      <c r="O37" s="116">
        <v>0.0</v>
      </c>
      <c r="P37" s="36"/>
      <c r="Q37" s="117">
        <v>2.0</v>
      </c>
      <c r="R37" s="36"/>
      <c r="S37" s="118">
        <v>0.0</v>
      </c>
      <c r="T37" s="36"/>
      <c r="U37" s="118">
        <v>0.0</v>
      </c>
      <c r="V37" s="36"/>
      <c r="W37" s="118">
        <v>0.0</v>
      </c>
      <c r="X37" s="36"/>
      <c r="Y37" s="19">
        <f t="shared" ref="Y37:Z37" si="44">((M37+O37+Q37+S37)/4)</f>
        <v>0.5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15">
        <v>3.0</v>
      </c>
      <c r="N38" s="19">
        <f>M38/C7*10000</f>
        <v>0.8441430541</v>
      </c>
      <c r="O38" s="116">
        <v>1.0</v>
      </c>
      <c r="P38" s="19">
        <f>O38/E7*10000</f>
        <v>0.2645992644</v>
      </c>
      <c r="Q38" s="117">
        <v>2.0</v>
      </c>
      <c r="R38" s="19">
        <f>Q38/E7*10000</f>
        <v>0.5291985288</v>
      </c>
      <c r="S38" s="118">
        <v>3.0</v>
      </c>
      <c r="T38" s="19">
        <f>S38/F7*10000</f>
        <v>0.7678525723</v>
      </c>
      <c r="U38" s="118">
        <v>2.0</v>
      </c>
      <c r="V38" s="19">
        <f>U38/G7*10000</f>
        <v>0.4960809604</v>
      </c>
      <c r="W38" s="118">
        <v>1.0</v>
      </c>
      <c r="X38" s="19">
        <f>W38/H7*10000</f>
        <v>0.2410974757</v>
      </c>
      <c r="Y38" s="19">
        <f t="shared" ref="Y38:Z38" si="45">((M38+O38+Q38+S38)/4)</f>
        <v>2.25</v>
      </c>
      <c r="Z38" s="19">
        <f t="shared" si="45"/>
        <v>0.6014483549</v>
      </c>
      <c r="AA38" s="19">
        <f t="shared" si="3"/>
        <v>2.5</v>
      </c>
      <c r="AB38" s="19">
        <f t="shared" si="4"/>
        <v>0.3685892181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15">
        <v>17.0</v>
      </c>
      <c r="N39" s="19">
        <f>M39/C17*10000</f>
        <v>15.78458682</v>
      </c>
      <c r="O39" s="116">
        <v>20.0</v>
      </c>
      <c r="P39" s="19">
        <f>O39/D17*10000</f>
        <v>18.3368479</v>
      </c>
      <c r="Q39" s="117">
        <v>68.0</v>
      </c>
      <c r="R39" s="19">
        <f>Q39/E17*100000</f>
        <v>615.1619323</v>
      </c>
      <c r="S39" s="118">
        <v>61.0</v>
      </c>
      <c r="T39" s="19">
        <f>S39/F17*100000</f>
        <v>542.5115617</v>
      </c>
      <c r="U39" s="118">
        <v>95.0</v>
      </c>
      <c r="V39" s="19">
        <f>U39/G17*100000</f>
        <v>830.7826847</v>
      </c>
      <c r="W39" s="118">
        <v>61.0</v>
      </c>
      <c r="X39" s="19">
        <f>W39/H17*100000</f>
        <v>525.8167399</v>
      </c>
      <c r="Y39" s="19">
        <f t="shared" ref="Y39:Z39" si="46">((M39+O39+Q39+S39)/4)</f>
        <v>41.5</v>
      </c>
      <c r="Z39" s="19">
        <f t="shared" si="46"/>
        <v>297.9487322</v>
      </c>
      <c r="AA39" s="19">
        <f t="shared" si="3"/>
        <v>78</v>
      </c>
      <c r="AB39" s="19">
        <f t="shared" si="4"/>
        <v>678.2997123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15">
        <v>5.0</v>
      </c>
      <c r="N40" s="19">
        <f>M40/C7*100000</f>
        <v>14.0690509</v>
      </c>
      <c r="O40" s="116">
        <v>4.0</v>
      </c>
      <c r="P40" s="19">
        <f>O40/D7*100000</f>
        <v>10.9179245</v>
      </c>
      <c r="Q40" s="117">
        <v>32.0</v>
      </c>
      <c r="R40" s="19">
        <f>Q40/E7*100000</f>
        <v>84.67176461</v>
      </c>
      <c r="S40" s="118">
        <v>38.0</v>
      </c>
      <c r="T40" s="19">
        <f>S40/F7*100000</f>
        <v>97.26132583</v>
      </c>
      <c r="U40" s="118">
        <v>50.0</v>
      </c>
      <c r="V40" s="19">
        <f>U40/G7*100000</f>
        <v>124.0202401</v>
      </c>
      <c r="W40" s="118">
        <v>33.0</v>
      </c>
      <c r="X40" s="19">
        <f>W40/H7*100000</f>
        <v>79.56216698</v>
      </c>
      <c r="Y40" s="19">
        <f t="shared" ref="Y40:Z40" si="47">((M40+O40+Q40+S40)/4)</f>
        <v>19.75</v>
      </c>
      <c r="Z40" s="19">
        <f t="shared" si="47"/>
        <v>51.73001646</v>
      </c>
      <c r="AA40" s="19">
        <f t="shared" si="3"/>
        <v>44</v>
      </c>
      <c r="AB40" s="19">
        <f t="shared" si="4"/>
        <v>101.7912035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16">
        <v>188.0</v>
      </c>
      <c r="N41" s="57">
        <f>M41/C7*10000</f>
        <v>52.89963139</v>
      </c>
      <c r="O41" s="116">
        <v>161.0</v>
      </c>
      <c r="P41" s="57">
        <f>O41/D7*10000</f>
        <v>43.94464612</v>
      </c>
      <c r="Q41" s="117">
        <v>194.0</v>
      </c>
      <c r="R41" s="57">
        <f>Q41/E7*10000</f>
        <v>51.3322573</v>
      </c>
      <c r="S41" s="124">
        <v>250.0</v>
      </c>
      <c r="T41" s="57">
        <f>S41/F7*10000</f>
        <v>63.98771436</v>
      </c>
      <c r="U41" s="124">
        <v>272.0</v>
      </c>
      <c r="V41" s="57">
        <f>U41/G7*10000</f>
        <v>67.46701062</v>
      </c>
      <c r="W41" s="124">
        <v>143.0</v>
      </c>
      <c r="X41" s="57">
        <f>W41/H7*10000</f>
        <v>34.47693903</v>
      </c>
      <c r="Y41" s="19">
        <f t="shared" ref="Y41:Z41" si="48">((M41+O41+Q41+S41)/4)</f>
        <v>198.25</v>
      </c>
      <c r="Z41" s="19">
        <f t="shared" si="48"/>
        <v>53.04106229</v>
      </c>
      <c r="AA41" s="19">
        <f t="shared" si="3"/>
        <v>261</v>
      </c>
      <c r="AB41" s="19">
        <f t="shared" si="4"/>
        <v>50.97197482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16">
        <v>17.0</v>
      </c>
      <c r="N42" s="57">
        <f>M42/C7*10000</f>
        <v>4.783477307</v>
      </c>
      <c r="O42" s="116">
        <v>7.0</v>
      </c>
      <c r="P42" s="57">
        <f>O42/D7*10000</f>
        <v>1.910636788</v>
      </c>
      <c r="Q42" s="117">
        <v>17.0</v>
      </c>
      <c r="R42" s="57">
        <f>Q42/E7*10000</f>
        <v>4.498187495</v>
      </c>
      <c r="S42" s="124">
        <v>29.0</v>
      </c>
      <c r="T42" s="57">
        <f>S42/F7*10000</f>
        <v>7.422574866</v>
      </c>
      <c r="U42" s="124">
        <v>28.0</v>
      </c>
      <c r="V42" s="57">
        <f>U42/G7*10000</f>
        <v>6.945133446</v>
      </c>
      <c r="W42" s="124">
        <v>16.0</v>
      </c>
      <c r="X42" s="57">
        <f>W42/H7*10000</f>
        <v>3.857559611</v>
      </c>
      <c r="Y42" s="19">
        <f t="shared" ref="Y42:Z42" si="49">((M42+O42+Q42+S42)/4)</f>
        <v>17.5</v>
      </c>
      <c r="Z42" s="19">
        <f t="shared" si="49"/>
        <v>4.653719114</v>
      </c>
      <c r="AA42" s="19">
        <f t="shared" si="3"/>
        <v>28.5</v>
      </c>
      <c r="AB42" s="19">
        <f t="shared" si="4"/>
        <v>5.401346529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16">
        <v>67.0</v>
      </c>
      <c r="N43" s="57">
        <f>M43/C16*10000</f>
        <v>24.12328077</v>
      </c>
      <c r="O43" s="116">
        <v>88.0</v>
      </c>
      <c r="P43" s="57">
        <f>O43/D16*10000</f>
        <v>30.61508489</v>
      </c>
      <c r="Q43" s="117">
        <v>100.0</v>
      </c>
      <c r="R43" s="57">
        <f>Q43/E16*100000</f>
        <v>335.9312013</v>
      </c>
      <c r="S43" s="124">
        <v>137.0</v>
      </c>
      <c r="T43" s="57">
        <f>S43/F16*100000</f>
        <v>443.7246964</v>
      </c>
      <c r="U43" s="124">
        <v>167.0</v>
      </c>
      <c r="V43" s="57">
        <f>U43/G16*100000</f>
        <v>522.4954634</v>
      </c>
      <c r="W43" s="124">
        <v>99.0</v>
      </c>
      <c r="X43" s="57">
        <f>W43/H16*100000</f>
        <v>300.0818405</v>
      </c>
      <c r="Y43" s="19">
        <f t="shared" ref="Y43:Z43" si="50">((M43+O43+Q43+S43)/4)</f>
        <v>98</v>
      </c>
      <c r="Z43" s="19">
        <f t="shared" si="50"/>
        <v>208.5985658</v>
      </c>
      <c r="AA43" s="19">
        <f t="shared" si="3"/>
        <v>152</v>
      </c>
      <c r="AB43" s="19">
        <f t="shared" si="4"/>
        <v>411.2886519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46.0</v>
      </c>
      <c r="N44" s="57">
        <f>M44/C7*100000</f>
        <v>129.4352683</v>
      </c>
      <c r="O44" s="118">
        <v>31.0</v>
      </c>
      <c r="P44" s="57">
        <f>O44/D7*100000</f>
        <v>84.61391489</v>
      </c>
      <c r="Q44" s="118">
        <v>47.0</v>
      </c>
      <c r="R44" s="19">
        <f>Q44/E7*100000</f>
        <v>124.3616543</v>
      </c>
      <c r="S44" s="118">
        <v>35.0</v>
      </c>
      <c r="T44" s="19">
        <f>S44/F7*100000</f>
        <v>89.5828001</v>
      </c>
      <c r="U44" s="118">
        <v>56.0</v>
      </c>
      <c r="V44" s="19">
        <f>U44/G7*100000</f>
        <v>138.9026689</v>
      </c>
      <c r="W44" s="118">
        <v>22.0</v>
      </c>
      <c r="X44" s="19">
        <f>W44/H7*100000</f>
        <v>53.04144466</v>
      </c>
      <c r="Y44" s="19">
        <f t="shared" ref="Y44:Z44" si="51">((M44+O44+Q44+S44)/4)</f>
        <v>39.75</v>
      </c>
      <c r="Z44" s="19">
        <f t="shared" si="51"/>
        <v>106.9984094</v>
      </c>
      <c r="AA44" s="19">
        <f t="shared" si="3"/>
        <v>45.5</v>
      </c>
      <c r="AB44" s="19">
        <f t="shared" si="4"/>
        <v>95.97205679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28" t="s">
        <v>115</v>
      </c>
      <c r="M45" s="127">
        <v>343.0</v>
      </c>
      <c r="N45" s="57">
        <f>M45/M4*100</f>
        <v>99.42028986</v>
      </c>
      <c r="O45" s="118">
        <v>330.0</v>
      </c>
      <c r="P45" s="57">
        <f>O45/O4*100</f>
        <v>99.6978852</v>
      </c>
      <c r="Q45" s="118">
        <v>315.0</v>
      </c>
      <c r="R45" s="19">
        <f>Q45/Q4*100</f>
        <v>98.7460815</v>
      </c>
      <c r="S45" s="118">
        <v>315.0</v>
      </c>
      <c r="T45" s="19">
        <f>S45/S4*100</f>
        <v>99.6835443</v>
      </c>
      <c r="U45" s="118">
        <v>271.0</v>
      </c>
      <c r="V45" s="19">
        <f>U45/U4*100</f>
        <v>99.63235294</v>
      </c>
      <c r="W45" s="118">
        <v>115.0</v>
      </c>
      <c r="X45" s="19">
        <f>W45/W4*100</f>
        <v>98.29059829</v>
      </c>
      <c r="Y45" s="19">
        <f t="shared" ref="Y45:Z45" si="52">((M45+O45+Q45+S45)/4)</f>
        <v>325.75</v>
      </c>
      <c r="Z45" s="19">
        <f t="shared" si="52"/>
        <v>99.38695021</v>
      </c>
      <c r="AA45" s="19">
        <f t="shared" si="3"/>
        <v>293</v>
      </c>
      <c r="AB45" s="19">
        <f t="shared" si="4"/>
        <v>98.96147562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28" t="s">
        <v>117</v>
      </c>
      <c r="M46" s="127">
        <v>292.0</v>
      </c>
      <c r="N46" s="57">
        <f>M46/M4*100</f>
        <v>84.63768116</v>
      </c>
      <c r="O46" s="118">
        <v>281.0</v>
      </c>
      <c r="P46" s="57">
        <f>O46/O4*100</f>
        <v>84.89425982</v>
      </c>
      <c r="Q46" s="118">
        <v>275.0</v>
      </c>
      <c r="R46" s="19">
        <f>Q46/Q4*100</f>
        <v>86.20689655</v>
      </c>
      <c r="S46" s="118">
        <v>279.0</v>
      </c>
      <c r="T46" s="19">
        <f>S46/S4*100</f>
        <v>88.29113924</v>
      </c>
      <c r="U46" s="118">
        <v>249.0</v>
      </c>
      <c r="V46" s="19">
        <f>U46/U4*100</f>
        <v>91.54411765</v>
      </c>
      <c r="W46" s="118">
        <v>111.0</v>
      </c>
      <c r="X46" s="19">
        <f>W46/W4*100</f>
        <v>94.87179487</v>
      </c>
      <c r="Y46" s="19">
        <f t="shared" ref="Y46:Z46" si="53">((M46+O46+Q46+S46)/4)</f>
        <v>281.75</v>
      </c>
      <c r="Z46" s="19">
        <f t="shared" si="53"/>
        <v>86.00749419</v>
      </c>
      <c r="AA46" s="19">
        <f t="shared" si="3"/>
        <v>264</v>
      </c>
      <c r="AB46" s="19">
        <f t="shared" si="4"/>
        <v>93.20795626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28" t="s">
        <v>118</v>
      </c>
      <c r="M47" s="129">
        <v>11.0</v>
      </c>
      <c r="N47" s="19">
        <f>M47/C7*100000</f>
        <v>30.95191198</v>
      </c>
      <c r="O47" s="129">
        <v>13.0</v>
      </c>
      <c r="P47" s="19">
        <f>O47/D7*100000</f>
        <v>35.48325463</v>
      </c>
      <c r="Q47" s="129">
        <v>10.0</v>
      </c>
      <c r="R47" s="19">
        <f>Q47/E7*100000</f>
        <v>26.45992644</v>
      </c>
      <c r="S47" s="118">
        <v>12.0</v>
      </c>
      <c r="T47" s="19">
        <f>S47/F7*100000</f>
        <v>30.71410289</v>
      </c>
      <c r="U47" s="118">
        <v>15.0</v>
      </c>
      <c r="V47" s="19">
        <f>U47/G7*100000</f>
        <v>37.20607203</v>
      </c>
      <c r="W47" s="118">
        <v>5.0</v>
      </c>
      <c r="X47" s="19">
        <f>W47/H7*100000</f>
        <v>12.05487379</v>
      </c>
      <c r="Y47" s="19">
        <f t="shared" ref="Y47:Z47" si="54">((M47+O47+Q47+S47)/4)</f>
        <v>11.5</v>
      </c>
      <c r="Z47" s="19">
        <f t="shared" si="54"/>
        <v>30.90229899</v>
      </c>
      <c r="AA47" s="19">
        <f t="shared" si="3"/>
        <v>13.5</v>
      </c>
      <c r="AB47" s="19">
        <f t="shared" si="4"/>
        <v>24.63047291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28" t="s">
        <v>119</v>
      </c>
      <c r="M48" s="129">
        <v>5.0</v>
      </c>
      <c r="N48" s="19">
        <f>M48/C7*100000</f>
        <v>14.0690509</v>
      </c>
      <c r="O48" s="118">
        <v>3.0</v>
      </c>
      <c r="P48" s="19">
        <f>O48/D7*100000</f>
        <v>8.188443377</v>
      </c>
      <c r="Q48" s="129">
        <v>7.0</v>
      </c>
      <c r="R48" s="19">
        <f>Q48/E7*100000</f>
        <v>18.52194851</v>
      </c>
      <c r="S48" s="118">
        <v>3.0</v>
      </c>
      <c r="T48" s="19">
        <f>S48/F7*100000</f>
        <v>7.678525723</v>
      </c>
      <c r="U48" s="118">
        <v>4.0</v>
      </c>
      <c r="V48" s="19">
        <f>U48/G7*100000</f>
        <v>9.921619208</v>
      </c>
      <c r="W48" s="118">
        <v>10.0</v>
      </c>
      <c r="X48" s="19">
        <f>W48/H7*100000</f>
        <v>24.10974757</v>
      </c>
      <c r="Y48" s="19">
        <f t="shared" ref="Y48:Z48" si="55">((M48+O48+Q48+S48)/4)</f>
        <v>4.5</v>
      </c>
      <c r="Z48" s="19">
        <f t="shared" si="55"/>
        <v>12.11449213</v>
      </c>
      <c r="AA48" s="19">
        <f t="shared" si="3"/>
        <v>3.5</v>
      </c>
      <c r="AB48" s="19">
        <f t="shared" si="4"/>
        <v>17.01568339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28" t="s">
        <v>120</v>
      </c>
      <c r="M49" s="129">
        <v>5.0</v>
      </c>
      <c r="N49" s="19">
        <f>M49/C7*100000</f>
        <v>14.0690509</v>
      </c>
      <c r="O49" s="118">
        <v>4.0</v>
      </c>
      <c r="P49" s="19">
        <f>O49/D7*100000</f>
        <v>10.9179245</v>
      </c>
      <c r="Q49" s="129">
        <v>5.0</v>
      </c>
      <c r="R49" s="19">
        <f>Q49/E7*100000</f>
        <v>13.22996322</v>
      </c>
      <c r="S49" s="118">
        <v>4.0</v>
      </c>
      <c r="T49" s="19">
        <f>S49/F7*100000</f>
        <v>10.2380343</v>
      </c>
      <c r="U49" s="118">
        <v>2.0</v>
      </c>
      <c r="V49" s="19">
        <f>U49/G7*100000</f>
        <v>4.960809604</v>
      </c>
      <c r="W49" s="118">
        <v>6.0</v>
      </c>
      <c r="X49" s="19">
        <f>W49/H7*100000</f>
        <v>14.46584854</v>
      </c>
      <c r="Y49" s="19">
        <f t="shared" ref="Y49:Z49" si="56">((M49+O49+Q49+S49)/4)</f>
        <v>4.5</v>
      </c>
      <c r="Z49" s="19">
        <f t="shared" si="56"/>
        <v>12.11374323</v>
      </c>
      <c r="AA49" s="19">
        <f t="shared" si="3"/>
        <v>3</v>
      </c>
      <c r="AB49" s="19">
        <f t="shared" si="4"/>
        <v>9.713329073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28" t="s">
        <v>121</v>
      </c>
      <c r="M50" s="129">
        <v>2.0</v>
      </c>
      <c r="N50" s="19">
        <f>M50/C7*100000</f>
        <v>5.627620361</v>
      </c>
      <c r="O50" s="129">
        <v>1.0</v>
      </c>
      <c r="P50" s="19">
        <f>O50/D7*100000</f>
        <v>2.729481126</v>
      </c>
      <c r="Q50" s="129">
        <v>2.0</v>
      </c>
      <c r="R50" s="19">
        <f>Q50/E7*100000</f>
        <v>5.291985288</v>
      </c>
      <c r="S50" s="118">
        <v>1.0</v>
      </c>
      <c r="T50" s="19">
        <f>S50/F7*100000</f>
        <v>2.559508574</v>
      </c>
      <c r="U50" s="118">
        <v>2.0</v>
      </c>
      <c r="V50" s="19">
        <f>U50/G7*100000</f>
        <v>4.960809604</v>
      </c>
      <c r="W50" s="118">
        <v>2.0</v>
      </c>
      <c r="X50" s="19">
        <f>W50/H7*100000</f>
        <v>4.821949514</v>
      </c>
      <c r="Y50" s="19">
        <f t="shared" ref="Y50:Z50" si="57">((M50+O50+Q50+S50)/4)</f>
        <v>1.5</v>
      </c>
      <c r="Z50" s="19">
        <f t="shared" si="57"/>
        <v>4.052148837</v>
      </c>
      <c r="AA50" s="19">
        <f t="shared" si="3"/>
        <v>1.5</v>
      </c>
      <c r="AB50" s="19">
        <f t="shared" si="4"/>
        <v>4.891379559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28" t="s">
        <v>122</v>
      </c>
      <c r="M51" s="129">
        <v>0.0</v>
      </c>
      <c r="N51" s="19">
        <f>M51/C7*100000</f>
        <v>0</v>
      </c>
      <c r="O51" s="129">
        <v>1.0</v>
      </c>
      <c r="P51" s="19">
        <f>O51/D7*100000</f>
        <v>2.729481126</v>
      </c>
      <c r="Q51" s="129">
        <v>2.0</v>
      </c>
      <c r="R51" s="19">
        <f>Q51/E7*100000</f>
        <v>5.291985288</v>
      </c>
      <c r="S51" s="118">
        <v>2.0</v>
      </c>
      <c r="T51" s="19">
        <f>S51/F7*100000</f>
        <v>5.119017149</v>
      </c>
      <c r="U51" s="118">
        <v>2.0</v>
      </c>
      <c r="V51" s="19">
        <f>U51/G7*100000</f>
        <v>4.960809604</v>
      </c>
      <c r="W51" s="118">
        <v>0.0</v>
      </c>
      <c r="X51" s="19">
        <f>W51/H7*100000</f>
        <v>0</v>
      </c>
      <c r="Y51" s="19">
        <f t="shared" ref="Y51:Z51" si="58">((M51+O51+Q51+S51)/4)</f>
        <v>1.25</v>
      </c>
      <c r="Z51" s="19">
        <f t="shared" si="58"/>
        <v>3.285120891</v>
      </c>
      <c r="AA51" s="19">
        <f t="shared" si="3"/>
        <v>2</v>
      </c>
      <c r="AB51" s="19">
        <f t="shared" si="4"/>
        <v>2.480404802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28" t="s">
        <v>123</v>
      </c>
      <c r="M52" s="129">
        <v>1.0</v>
      </c>
      <c r="N52" s="19">
        <f>M52/C7*100000</f>
        <v>2.81381018</v>
      </c>
      <c r="O52" s="129">
        <v>3.0</v>
      </c>
      <c r="P52" s="19">
        <f>O52/D7*100000</f>
        <v>8.188443377</v>
      </c>
      <c r="Q52" s="129">
        <v>2.0</v>
      </c>
      <c r="R52" s="19">
        <f>Q52/E7*100000</f>
        <v>5.291985288</v>
      </c>
      <c r="S52" s="118">
        <v>0.0</v>
      </c>
      <c r="T52" s="19">
        <f>S52/F7*100000</f>
        <v>0</v>
      </c>
      <c r="U52" s="118">
        <v>5.0</v>
      </c>
      <c r="V52" s="19">
        <f>U52/G7*100000</f>
        <v>12.40202401</v>
      </c>
      <c r="W52" s="118">
        <v>2.0</v>
      </c>
      <c r="X52" s="19">
        <f>W52/H7*100000</f>
        <v>4.821949514</v>
      </c>
      <c r="Y52" s="19">
        <f t="shared" ref="Y52:Z52" si="59">((M52+O52+Q52+S52)/4)</f>
        <v>1.5</v>
      </c>
      <c r="Z52" s="19">
        <f t="shared" si="59"/>
        <v>4.073559711</v>
      </c>
      <c r="AA52" s="19">
        <f t="shared" si="3"/>
        <v>2.5</v>
      </c>
      <c r="AB52" s="19">
        <f t="shared" si="4"/>
        <v>8.611986762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28" t="s">
        <v>124</v>
      </c>
      <c r="M53" s="129">
        <v>0.0</v>
      </c>
      <c r="N53" s="19">
        <f>M53/C17*100000</f>
        <v>0</v>
      </c>
      <c r="O53" s="129">
        <v>0.0</v>
      </c>
      <c r="P53" s="19">
        <f>O53/D17*100000</f>
        <v>0</v>
      </c>
      <c r="Q53" s="129">
        <v>1.0</v>
      </c>
      <c r="R53" s="19">
        <f>Q53/E17*100000</f>
        <v>9.046499005</v>
      </c>
      <c r="S53" s="118">
        <v>0.0</v>
      </c>
      <c r="T53" s="19">
        <f>S53/F17*100000</f>
        <v>0</v>
      </c>
      <c r="U53" s="118">
        <v>0.0</v>
      </c>
      <c r="V53" s="19">
        <f>U53/G17*100000</f>
        <v>0</v>
      </c>
      <c r="W53" s="118">
        <v>0.0</v>
      </c>
      <c r="X53" s="19">
        <f>W53/H17*100000</f>
        <v>0</v>
      </c>
      <c r="Y53" s="19">
        <f t="shared" ref="Y53:Z53" si="60">((M53+O53+Q53+S53)/4)</f>
        <v>0.25</v>
      </c>
      <c r="Z53" s="19">
        <f t="shared" si="60"/>
        <v>2.261624751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28" t="s">
        <v>125</v>
      </c>
      <c r="M54" s="129">
        <v>2.0</v>
      </c>
      <c r="N54" s="19">
        <f>M54/C19*100000</f>
        <v>8.946144212</v>
      </c>
      <c r="O54" s="129">
        <v>1.0</v>
      </c>
      <c r="P54" s="19">
        <f>O54/D19*100000</f>
        <v>4.313505586</v>
      </c>
      <c r="Q54" s="129">
        <v>0.0</v>
      </c>
      <c r="R54" s="19">
        <f>Q54/E19*100000</f>
        <v>0</v>
      </c>
      <c r="S54" s="118">
        <v>4.0</v>
      </c>
      <c r="T54" s="19">
        <f>S54/F19*100000</f>
        <v>16.00576207</v>
      </c>
      <c r="U54" s="118">
        <v>0.0</v>
      </c>
      <c r="V54" s="19">
        <f>U54/G19*100000</f>
        <v>0</v>
      </c>
      <c r="W54" s="118">
        <v>1.0</v>
      </c>
      <c r="X54" s="19">
        <f>W54/H19*100000</f>
        <v>3.745458631</v>
      </c>
      <c r="Y54" s="19">
        <f t="shared" ref="Y54:Z54" si="61">((M54+O54+Q54+S54)/4)</f>
        <v>1.75</v>
      </c>
      <c r="Z54" s="19">
        <f t="shared" si="61"/>
        <v>7.316352968</v>
      </c>
      <c r="AA54" s="19">
        <f t="shared" si="3"/>
        <v>2</v>
      </c>
      <c r="AB54" s="19">
        <f t="shared" si="4"/>
        <v>1.872729316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28" t="s">
        <v>126</v>
      </c>
      <c r="M55" s="129">
        <v>16.0</v>
      </c>
      <c r="N55" s="19">
        <f>M55/C19*100000</f>
        <v>71.56915369</v>
      </c>
      <c r="O55" s="129">
        <v>13.0</v>
      </c>
      <c r="P55" s="19">
        <f>O55/D19*100000</f>
        <v>56.07557262</v>
      </c>
      <c r="Q55" s="129">
        <v>14.0</v>
      </c>
      <c r="R55" s="19">
        <f>Q55/E19*100000</f>
        <v>58.18302718</v>
      </c>
      <c r="S55" s="118">
        <v>12.0</v>
      </c>
      <c r="T55" s="19">
        <f>S55/F19*100000</f>
        <v>48.01728622</v>
      </c>
      <c r="U55" s="118">
        <v>14.0</v>
      </c>
      <c r="V55" s="19">
        <f>U55/G19*100000</f>
        <v>54.11673753</v>
      </c>
      <c r="W55" s="118">
        <v>11.0</v>
      </c>
      <c r="X55" s="19">
        <f>W55/H19*100000</f>
        <v>41.20004495</v>
      </c>
      <c r="Y55" s="19">
        <f t="shared" ref="Y55:Z55" si="62">((M55+O55+Q55+S55)/4)</f>
        <v>13.75</v>
      </c>
      <c r="Z55" s="19">
        <f t="shared" si="62"/>
        <v>58.46125993</v>
      </c>
      <c r="AA55" s="19">
        <f t="shared" si="3"/>
        <v>13</v>
      </c>
      <c r="AB55" s="19">
        <f t="shared" si="4"/>
        <v>47.65839124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28" t="s">
        <v>127</v>
      </c>
      <c r="M56" s="129">
        <v>0.0</v>
      </c>
      <c r="N56" s="19">
        <f>M56/C7*100000</f>
        <v>0</v>
      </c>
      <c r="O56" s="129">
        <v>0.0</v>
      </c>
      <c r="P56" s="19">
        <f>O56/D7*100000</f>
        <v>0</v>
      </c>
      <c r="Q56" s="129">
        <v>0.0</v>
      </c>
      <c r="R56" s="19">
        <f>Q56/E7*100000</f>
        <v>0</v>
      </c>
      <c r="S56" s="118">
        <v>0.0</v>
      </c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28" t="s">
        <v>128</v>
      </c>
      <c r="M57" s="129">
        <v>0.0</v>
      </c>
      <c r="N57" s="19">
        <f>M57/M4*100000</f>
        <v>0</v>
      </c>
      <c r="O57" s="129">
        <v>0.0</v>
      </c>
      <c r="P57" s="19">
        <f>O57/O4*100000</f>
        <v>0</v>
      </c>
      <c r="Q57" s="129">
        <v>0.0</v>
      </c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28" t="s">
        <v>129</v>
      </c>
      <c r="M58" s="127">
        <v>36.0</v>
      </c>
      <c r="N58" s="57">
        <f>M58/C7*100000</f>
        <v>101.2971665</v>
      </c>
      <c r="O58" s="127">
        <v>30.0</v>
      </c>
      <c r="P58" s="57">
        <f>O58/D7*100000</f>
        <v>81.88443377</v>
      </c>
      <c r="Q58" s="127">
        <v>34.0</v>
      </c>
      <c r="R58" s="57">
        <f>Q58/E7*100000</f>
        <v>89.9637499</v>
      </c>
      <c r="S58" s="124">
        <v>39.0</v>
      </c>
      <c r="T58" s="57">
        <f>S58/F7*100000</f>
        <v>99.8208344</v>
      </c>
      <c r="U58" s="124">
        <v>31.0</v>
      </c>
      <c r="V58" s="57">
        <f>U58/G7*100000</f>
        <v>76.89254886</v>
      </c>
      <c r="W58" s="124">
        <v>12.0</v>
      </c>
      <c r="X58" s="57">
        <f>W58/H7*100000</f>
        <v>28.93169709</v>
      </c>
      <c r="Y58" s="19">
        <f t="shared" ref="Y58:Z58" si="65">((M58+O58+Q58+S58)/4)</f>
        <v>34.75</v>
      </c>
      <c r="Z58" s="19">
        <f t="shared" si="65"/>
        <v>93.24154614</v>
      </c>
      <c r="AA58" s="19">
        <f t="shared" si="3"/>
        <v>35</v>
      </c>
      <c r="AB58" s="19">
        <f t="shared" si="4"/>
        <v>52.91212297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135" t="s">
        <v>130</v>
      </c>
      <c r="M59" s="127">
        <v>0.0</v>
      </c>
      <c r="N59" s="57">
        <f>M59/C7*100000</f>
        <v>0</v>
      </c>
      <c r="O59" s="127">
        <v>0.0</v>
      </c>
      <c r="P59" s="57">
        <f>O59/D7*100000</f>
        <v>0</v>
      </c>
      <c r="Q59" s="127">
        <v>0.0</v>
      </c>
      <c r="R59" s="57">
        <f>Q59/E7*100000</f>
        <v>0</v>
      </c>
      <c r="S59" s="137">
        <v>0.0</v>
      </c>
      <c r="T59" s="98">
        <f>S59/F7*100000</f>
        <v>0</v>
      </c>
      <c r="U59" s="137">
        <v>0.0</v>
      </c>
      <c r="V59" s="98">
        <f>U59/G7*100000</f>
        <v>0</v>
      </c>
      <c r="W59" s="137">
        <v>2.0</v>
      </c>
      <c r="X59" s="98">
        <f>W59/H7*100000</f>
        <v>4.821949514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>
        <f t="shared" si="4"/>
        <v>2.410974757</v>
      </c>
      <c r="AC59" s="100" t="s">
        <v>28</v>
      </c>
    </row>
    <row r="60" ht="14.2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28" t="s">
        <v>131</v>
      </c>
      <c r="M60" s="127">
        <v>4.0</v>
      </c>
      <c r="N60" s="57">
        <f>M60/C17*100000</f>
        <v>37.14020427</v>
      </c>
      <c r="O60" s="127">
        <v>3.0</v>
      </c>
      <c r="P60" s="57">
        <f>O60/D17*100000</f>
        <v>27.50527184</v>
      </c>
      <c r="Q60" s="127">
        <v>5.0</v>
      </c>
      <c r="R60" s="57">
        <f>Q60/E17*100000</f>
        <v>45.23249502</v>
      </c>
      <c r="S60" s="124">
        <v>2.0</v>
      </c>
      <c r="T60" s="57">
        <f>S60/F17*100000</f>
        <v>17.78726432</v>
      </c>
      <c r="U60" s="124">
        <v>2.0</v>
      </c>
      <c r="V60" s="57">
        <f>U60/G17*100000</f>
        <v>17.49016178</v>
      </c>
      <c r="W60" s="124">
        <v>0.0</v>
      </c>
      <c r="X60" s="57">
        <f>W60/H17*100000</f>
        <v>0</v>
      </c>
      <c r="Y60" s="99">
        <f>((M60+O60+Q60+S60)/4)</f>
        <v>3.5</v>
      </c>
      <c r="Z60" s="99">
        <f>((N60+P60+R60+T60)/1)</f>
        <v>127.6652355</v>
      </c>
      <c r="AA60" s="19">
        <f t="shared" si="3"/>
        <v>2</v>
      </c>
      <c r="AB60" s="19">
        <f t="shared" si="4"/>
        <v>8.745080892</v>
      </c>
      <c r="AC60" s="92" t="s">
        <v>57</v>
      </c>
    </row>
    <row r="61" ht="16.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28" t="s">
        <v>132</v>
      </c>
      <c r="M61" s="127">
        <v>47.0</v>
      </c>
      <c r="N61" s="57">
        <f>M61/C15*1000</f>
        <v>19.57517701</v>
      </c>
      <c r="O61" s="127">
        <v>56.0</v>
      </c>
      <c r="P61" s="57">
        <f>O61/D15*1000</f>
        <v>22.97907263</v>
      </c>
      <c r="Q61" s="127">
        <v>82.0</v>
      </c>
      <c r="R61" s="57">
        <f>Q61/E15*1000</f>
        <v>33.37403337</v>
      </c>
      <c r="S61" s="124">
        <v>87.0</v>
      </c>
      <c r="T61" s="57">
        <f>S61/F15*1000</f>
        <v>35.16572352</v>
      </c>
      <c r="U61" s="124">
        <v>92.0</v>
      </c>
      <c r="V61" s="57">
        <f>U61/G15*1000</f>
        <v>37.03703704</v>
      </c>
      <c r="W61" s="124">
        <v>86.0</v>
      </c>
      <c r="X61" s="57">
        <f>W61/H23*1000</f>
        <v>28.23374918</v>
      </c>
      <c r="Y61" s="99">
        <f t="shared" ref="Y61:Z61" si="67">((M61+O61+Q61+S61)/1)</f>
        <v>272</v>
      </c>
      <c r="Z61" s="99">
        <f t="shared" si="67"/>
        <v>111.0940065</v>
      </c>
      <c r="AA61" s="19">
        <f t="shared" si="3"/>
        <v>89.5</v>
      </c>
      <c r="AB61" s="19">
        <f t="shared" si="4"/>
        <v>32.63539311</v>
      </c>
      <c r="AC61" s="92" t="s">
        <v>57</v>
      </c>
    </row>
    <row r="62" ht="14.2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28" t="s">
        <v>133</v>
      </c>
      <c r="M62" s="127">
        <v>117.0</v>
      </c>
      <c r="N62" s="57">
        <f>M62/C15*1000</f>
        <v>48.72969596</v>
      </c>
      <c r="O62" s="127">
        <v>116.0</v>
      </c>
      <c r="P62" s="57">
        <f>O62/D15*1000</f>
        <v>47.59950759</v>
      </c>
      <c r="Q62" s="127">
        <v>519.0</v>
      </c>
      <c r="R62" s="57">
        <f>Q62/E15*1000</f>
        <v>211.2332112</v>
      </c>
      <c r="S62" s="124">
        <v>388.0</v>
      </c>
      <c r="T62" s="57">
        <f>S62/F15*1000</f>
        <v>156.8310428</v>
      </c>
      <c r="U62" s="124">
        <v>287.0</v>
      </c>
      <c r="V62" s="57">
        <f>U62/G15*1000</f>
        <v>115.5394525</v>
      </c>
      <c r="W62" s="124">
        <v>234.0</v>
      </c>
      <c r="X62" s="57">
        <f>W62/H15*1000</f>
        <v>94.0136601</v>
      </c>
      <c r="Y62" s="99">
        <f t="shared" ref="Y62:Z62" si="68">((M62+O62+Q62+S62)/1)</f>
        <v>1140</v>
      </c>
      <c r="Z62" s="99">
        <f t="shared" si="68"/>
        <v>464.3934576</v>
      </c>
      <c r="AA62" s="19">
        <f t="shared" si="3"/>
        <v>337.5</v>
      </c>
      <c r="AB62" s="19">
        <f t="shared" si="4"/>
        <v>104.7765563</v>
      </c>
      <c r="AC62" s="92" t="s">
        <v>57</v>
      </c>
    </row>
    <row r="63" ht="15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28" t="s">
        <v>134</v>
      </c>
      <c r="M63" s="127" t="s">
        <v>147</v>
      </c>
      <c r="N63" s="57" t="str">
        <f>M63/C17*100000</f>
        <v>#VALUE!</v>
      </c>
      <c r="O63" s="127" t="s">
        <v>147</v>
      </c>
      <c r="P63" s="57" t="str">
        <f>O63/D17*100000</f>
        <v>#VALUE!</v>
      </c>
      <c r="Q63" s="127">
        <v>25.0</v>
      </c>
      <c r="R63" s="57">
        <f>Q63/E17*100000</f>
        <v>226.1624751</v>
      </c>
      <c r="S63" s="124">
        <v>43.0</v>
      </c>
      <c r="T63" s="57">
        <f>S63/F17*100000</f>
        <v>382.4261829</v>
      </c>
      <c r="U63" s="124">
        <v>37.0</v>
      </c>
      <c r="V63" s="57">
        <f>U63/G17*100000</f>
        <v>323.567993</v>
      </c>
      <c r="W63" s="124">
        <v>35.0</v>
      </c>
      <c r="X63" s="57">
        <f>W63/H17*100000</f>
        <v>301.6981295</v>
      </c>
      <c r="Y63" s="99" t="str">
        <f t="shared" ref="Y63:Z63" si="69">((M63+O63+Q63+S63)/1)</f>
        <v>#VALUE!</v>
      </c>
      <c r="Z63" s="99" t="str">
        <f t="shared" si="69"/>
        <v>#VALUE!</v>
      </c>
      <c r="AA63" s="19">
        <f t="shared" si="3"/>
        <v>40</v>
      </c>
      <c r="AB63" s="19">
        <f t="shared" si="4"/>
        <v>312.6330612</v>
      </c>
      <c r="AC63" s="92" t="s">
        <v>57</v>
      </c>
    </row>
    <row r="64" ht="18.7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28" t="s">
        <v>135</v>
      </c>
      <c r="M64" s="127">
        <v>0.0</v>
      </c>
      <c r="N64" s="57">
        <f>M64/C17*100000</f>
        <v>0</v>
      </c>
      <c r="O64" s="127">
        <v>0.0</v>
      </c>
      <c r="P64" s="57">
        <f>O64/D17*100000</f>
        <v>0</v>
      </c>
      <c r="Q64" s="127">
        <v>0.0</v>
      </c>
      <c r="R64" s="57">
        <f>Q64/E17*100000</f>
        <v>0</v>
      </c>
      <c r="S64" s="124">
        <v>3.0</v>
      </c>
      <c r="T64" s="57">
        <f>S64/F17*100000</f>
        <v>26.68089648</v>
      </c>
      <c r="U64" s="139">
        <v>1.0</v>
      </c>
      <c r="V64" s="57">
        <f>U64/G17*100000</f>
        <v>8.745080892</v>
      </c>
      <c r="W64" s="124">
        <v>0.0</v>
      </c>
      <c r="X64" s="57">
        <f>W64/H17*100000</f>
        <v>0</v>
      </c>
      <c r="Y64" s="99">
        <f t="shared" ref="Y64:Z64" si="70">((M64+O64+Q64+S64)/1)</f>
        <v>3</v>
      </c>
      <c r="Z64" s="99">
        <f t="shared" si="70"/>
        <v>26.68089648</v>
      </c>
      <c r="AA64" s="19">
        <f t="shared" si="3"/>
        <v>2</v>
      </c>
      <c r="AB64" s="19">
        <f t="shared" si="4"/>
        <v>4.372540446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40" t="s">
        <v>137</v>
      </c>
      <c r="M65" s="127">
        <v>7.0</v>
      </c>
      <c r="N65" s="57">
        <f>M65/C17*100000</f>
        <v>64.99535747</v>
      </c>
      <c r="O65" s="127">
        <v>9.0</v>
      </c>
      <c r="P65" s="57">
        <f>O65/D17*100000</f>
        <v>82.51581553</v>
      </c>
      <c r="Q65" s="86"/>
      <c r="R65" s="57">
        <f>Q65/E17*100000</f>
        <v>0</v>
      </c>
      <c r="S65" s="127">
        <v>2.0</v>
      </c>
      <c r="T65" s="57">
        <f>S65/F17*100000</f>
        <v>17.78726432</v>
      </c>
      <c r="U65" s="127">
        <v>25.0</v>
      </c>
      <c r="V65" s="57">
        <f>U65/G17*100000</f>
        <v>218.6270223</v>
      </c>
      <c r="W65" s="124">
        <v>12.0</v>
      </c>
      <c r="X65" s="57">
        <f>W65/H17*100000</f>
        <v>103.4393587</v>
      </c>
      <c r="Y65" s="99">
        <f t="shared" ref="Y65:Z65" si="71">((M65+O65+Q65+S65)/1)</f>
        <v>18</v>
      </c>
      <c r="Z65" s="99">
        <f t="shared" si="71"/>
        <v>165.2984373</v>
      </c>
      <c r="AA65" s="19">
        <f t="shared" si="3"/>
        <v>13.5</v>
      </c>
      <c r="AB65" s="19">
        <f t="shared" si="4"/>
        <v>161.0331905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40" t="s">
        <v>138</v>
      </c>
      <c r="M66" s="127">
        <v>41.0</v>
      </c>
      <c r="N66" s="57">
        <f>M66/C17*100000</f>
        <v>380.6870938</v>
      </c>
      <c r="O66" s="127">
        <v>65.0</v>
      </c>
      <c r="P66" s="57">
        <f>O66/D17*100000</f>
        <v>595.9475566</v>
      </c>
      <c r="Q66" s="127">
        <v>33.0</v>
      </c>
      <c r="R66" s="57">
        <f>Q66/E17*100000</f>
        <v>298.5344672</v>
      </c>
      <c r="S66" s="127">
        <v>42.0</v>
      </c>
      <c r="T66" s="57">
        <f>S66/F17*100000</f>
        <v>373.5325507</v>
      </c>
      <c r="U66" s="127">
        <v>27.0</v>
      </c>
      <c r="V66" s="57">
        <f>U66/G17*100000</f>
        <v>236.1171841</v>
      </c>
      <c r="W66" s="124">
        <v>25.0</v>
      </c>
      <c r="X66" s="57">
        <f>W66/H17*100000</f>
        <v>215.4986639</v>
      </c>
      <c r="Y66" s="99">
        <f t="shared" ref="Y66:Z66" si="72">((M66+O66+Q66+S66)/1)</f>
        <v>181</v>
      </c>
      <c r="Z66" s="99">
        <f t="shared" si="72"/>
        <v>1648.701668</v>
      </c>
      <c r="AA66" s="19">
        <f t="shared" si="3"/>
        <v>34.5</v>
      </c>
      <c r="AB66" s="19">
        <f t="shared" si="4"/>
        <v>225.807924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28" t="s">
        <v>139</v>
      </c>
      <c r="M67" s="127">
        <v>7.0</v>
      </c>
      <c r="N67" s="57">
        <f>M67/C17*100000</f>
        <v>64.99535747</v>
      </c>
      <c r="O67" s="127">
        <v>9.0</v>
      </c>
      <c r="P67" s="57">
        <f>O67/D17*100000</f>
        <v>82.51581553</v>
      </c>
      <c r="Q67" s="127">
        <v>5.0</v>
      </c>
      <c r="R67" s="57">
        <f>Q67/E17*100000</f>
        <v>45.23249502</v>
      </c>
      <c r="S67" s="127">
        <v>5.0</v>
      </c>
      <c r="T67" s="57">
        <f>S67/F17*100000</f>
        <v>44.4681608</v>
      </c>
      <c r="U67" s="127">
        <v>8.0</v>
      </c>
      <c r="V67" s="57">
        <f>U67/G17*100000</f>
        <v>69.96064714</v>
      </c>
      <c r="W67" s="124">
        <v>4.0</v>
      </c>
      <c r="X67" s="57">
        <f>W67/H17*100000</f>
        <v>34.47978623</v>
      </c>
      <c r="Y67" s="99">
        <f t="shared" ref="Y67:Z67" si="73">((M67+O67+Q67+S67)/1)</f>
        <v>26</v>
      </c>
      <c r="Z67" s="99">
        <f t="shared" si="73"/>
        <v>237.2118288</v>
      </c>
      <c r="AA67" s="19">
        <f t="shared" si="3"/>
        <v>6.5</v>
      </c>
      <c r="AB67" s="19">
        <f t="shared" si="4"/>
        <v>52.22021668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28" t="s">
        <v>140</v>
      </c>
      <c r="M68" s="127">
        <v>8.0</v>
      </c>
      <c r="N68" s="57">
        <f>M68/C11*100000</f>
        <v>44.18912947</v>
      </c>
      <c r="O68" s="127">
        <v>10.0</v>
      </c>
      <c r="P68" s="57">
        <f>O68/D11*100000</f>
        <v>53.65094694</v>
      </c>
      <c r="Q68" s="127">
        <v>13.0</v>
      </c>
      <c r="R68" s="57">
        <f>Q68/E11*100000</f>
        <v>67.67660992</v>
      </c>
      <c r="S68" s="127">
        <v>9.0</v>
      </c>
      <c r="T68" s="57">
        <f>S68/F11*100000</f>
        <v>46.42525534</v>
      </c>
      <c r="U68" s="127">
        <v>10.0</v>
      </c>
      <c r="V68" s="57">
        <f>U68/G11*100000</f>
        <v>48.9021468</v>
      </c>
      <c r="W68" s="124">
        <v>5.0</v>
      </c>
      <c r="X68" s="57">
        <f>W68/H11*100000</f>
        <v>23.78347524</v>
      </c>
      <c r="Y68" s="99">
        <f t="shared" ref="Y68:Z68" si="74">((M68+O68+Q68+S68)/2)</f>
        <v>20</v>
      </c>
      <c r="Z68" s="99">
        <f t="shared" si="74"/>
        <v>105.9709708</v>
      </c>
      <c r="AA68" s="19">
        <f t="shared" si="3"/>
        <v>9.5</v>
      </c>
      <c r="AB68" s="19">
        <f t="shared" si="4"/>
        <v>36.34281102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28" t="s">
        <v>141</v>
      </c>
      <c r="M69" s="127">
        <v>2.0</v>
      </c>
      <c r="N69" s="57">
        <f>M69/C11*100000</f>
        <v>11.04728237</v>
      </c>
      <c r="O69" s="127">
        <v>6.0</v>
      </c>
      <c r="P69" s="57">
        <f>O69/D11*100000</f>
        <v>32.19056816</v>
      </c>
      <c r="Q69" s="127">
        <v>5.0</v>
      </c>
      <c r="R69" s="57">
        <f>Q69/E11*100000</f>
        <v>26.02946535</v>
      </c>
      <c r="S69" s="127">
        <v>4.0</v>
      </c>
      <c r="T69" s="57">
        <f>S69/F11*100000</f>
        <v>20.63344682</v>
      </c>
      <c r="U69" s="127">
        <v>9.0</v>
      </c>
      <c r="V69" s="57">
        <f>U69/G11*100000</f>
        <v>44.01193212</v>
      </c>
      <c r="W69" s="124">
        <v>2.0</v>
      </c>
      <c r="X69" s="57">
        <f>W69/H11*100000</f>
        <v>9.513390097</v>
      </c>
      <c r="Y69" s="19">
        <f t="shared" ref="Y69:Z69" si="75">((M69+O69+Q69+S69)/2)</f>
        <v>8.5</v>
      </c>
      <c r="Z69" s="19">
        <f t="shared" si="75"/>
        <v>44.95038135</v>
      </c>
      <c r="AA69" s="19">
        <f t="shared" si="3"/>
        <v>6.5</v>
      </c>
      <c r="AB69" s="19">
        <f t="shared" si="4"/>
        <v>26.76266111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35" t="s">
        <v>142</v>
      </c>
      <c r="M70" s="143">
        <v>5.0</v>
      </c>
      <c r="N70" s="98">
        <f>M70/C7*100000</f>
        <v>14.0690509</v>
      </c>
      <c r="O70" s="143">
        <v>5.0</v>
      </c>
      <c r="P70" s="98">
        <f>O70/D7*100000</f>
        <v>13.64740563</v>
      </c>
      <c r="Q70" s="143">
        <v>3.0</v>
      </c>
      <c r="R70" s="98">
        <f>Q70/E7*100000</f>
        <v>7.937977932</v>
      </c>
      <c r="S70" s="143">
        <v>10.0</v>
      </c>
      <c r="T70" s="98">
        <f>S70/F7*100000</f>
        <v>25.59508574</v>
      </c>
      <c r="U70" s="143">
        <v>3.0</v>
      </c>
      <c r="V70" s="98">
        <f>U70/G7*100000</f>
        <v>7.441214406</v>
      </c>
      <c r="W70" s="137">
        <v>1.0</v>
      </c>
      <c r="X70" s="98">
        <f>W70/H7*100000</f>
        <v>2.410974757</v>
      </c>
      <c r="Y70" s="99">
        <f t="shared" ref="Y70:Z70" si="76">((M70+O70+Q70+S70)/1)</f>
        <v>23</v>
      </c>
      <c r="Z70" s="99">
        <f t="shared" si="76"/>
        <v>61.24952021</v>
      </c>
      <c r="AA70" s="99">
        <f t="shared" si="3"/>
        <v>6.5</v>
      </c>
      <c r="AB70" s="99">
        <f t="shared" si="4"/>
        <v>4.926094582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  <row r="1001" ht="14.25" customHeight="1">
      <c r="A1001" s="1"/>
      <c r="I1001" s="1"/>
      <c r="J1001" s="1"/>
      <c r="K1001" s="1"/>
      <c r="L1001" s="1"/>
      <c r="M1001" s="1"/>
      <c r="N1001" s="1"/>
      <c r="O1001" s="1"/>
      <c r="P1001" s="1"/>
      <c r="Q1001" s="1"/>
      <c r="R1001" s="81"/>
      <c r="S1001" s="81"/>
      <c r="T1001" s="81"/>
      <c r="U1001" s="81"/>
      <c r="V1001" s="81"/>
      <c r="W1001" s="81"/>
      <c r="X1001" s="81"/>
      <c r="Y1001" s="1"/>
      <c r="Z1001" s="1"/>
      <c r="AA1001" s="1"/>
      <c r="AB1001" s="1"/>
      <c r="AC1001" s="1"/>
    </row>
  </sheetData>
  <mergeCells count="7">
    <mergeCell ref="C1:H1"/>
    <mergeCell ref="B2:H2"/>
    <mergeCell ref="B3:H3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78.75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30" t="s">
        <v>145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18">
        <v>57.0</v>
      </c>
      <c r="N3" s="19">
        <f>M3/C7*1000</f>
        <v>2.94178365</v>
      </c>
      <c r="O3" s="118">
        <v>112.0</v>
      </c>
      <c r="P3" s="19">
        <f>O3/D7*1000</f>
        <v>5.558312655</v>
      </c>
      <c r="Q3" s="129">
        <v>83.0</v>
      </c>
      <c r="R3" s="19">
        <f>Q3/E7*1000</f>
        <v>3.993456505</v>
      </c>
      <c r="S3" s="118">
        <v>72.0</v>
      </c>
      <c r="T3" s="19">
        <f>S3/F7*1000</f>
        <v>3.368578647</v>
      </c>
      <c r="U3" s="118">
        <v>51.0</v>
      </c>
      <c r="V3" s="19">
        <f>U3/G7*1000</f>
        <v>2.323991798</v>
      </c>
      <c r="W3" s="118">
        <v>52.0</v>
      </c>
      <c r="X3" s="19">
        <f>W3/H7*1000</f>
        <v>2.317084039</v>
      </c>
      <c r="Y3" s="19">
        <f t="shared" ref="Y3:Z3" si="1">((M3+O3+Q3+S3)/4)</f>
        <v>81</v>
      </c>
      <c r="Z3" s="19">
        <f t="shared" si="1"/>
        <v>3.965532864</v>
      </c>
      <c r="AA3" s="19">
        <f t="shared" ref="AA3:AA70" si="3">((S3+U3)/2)</f>
        <v>61.5</v>
      </c>
      <c r="AB3" s="19">
        <f t="shared" ref="AB3:AB70" si="4">(V3+X3)/2</f>
        <v>2.320537918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18">
        <v>281.0</v>
      </c>
      <c r="N4" s="19">
        <f>M4/C7*1000</f>
        <v>14.50247729</v>
      </c>
      <c r="O4" s="118">
        <v>258.0</v>
      </c>
      <c r="P4" s="19">
        <f>O4/D7*1000</f>
        <v>12.80397022</v>
      </c>
      <c r="Q4" s="129">
        <v>240.0</v>
      </c>
      <c r="R4" s="19">
        <f>Q4/E7*1000</f>
        <v>11.54734411</v>
      </c>
      <c r="S4" s="118">
        <v>244.0</v>
      </c>
      <c r="T4" s="19">
        <f>S4/F7*1000</f>
        <v>11.41573875</v>
      </c>
      <c r="U4" s="118">
        <v>241.0</v>
      </c>
      <c r="V4" s="19">
        <f>U4/G7*1000</f>
        <v>10.98200046</v>
      </c>
      <c r="W4" s="118">
        <v>134.0</v>
      </c>
      <c r="X4" s="19">
        <f>W4/H7*1000</f>
        <v>5.970947331</v>
      </c>
      <c r="Y4" s="19">
        <f t="shared" ref="Y4:Z4" si="2">((M4+O4+Q4+S4)/4)</f>
        <v>255.75</v>
      </c>
      <c r="Z4" s="19">
        <f t="shared" si="2"/>
        <v>12.56738259</v>
      </c>
      <c r="AA4" s="19">
        <f t="shared" si="3"/>
        <v>242.5</v>
      </c>
      <c r="AB4" s="19">
        <f t="shared" si="4"/>
        <v>8.476473893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8">
        <v>0.0</v>
      </c>
      <c r="N5" s="19">
        <f>M5/C12*100000</f>
        <v>0</v>
      </c>
      <c r="O5" s="118">
        <v>0.0</v>
      </c>
      <c r="P5" s="19">
        <f>O5/D12*100000</f>
        <v>0</v>
      </c>
      <c r="Q5" s="129">
        <v>0.0</v>
      </c>
      <c r="R5" s="19">
        <f>Q5/E12*100000</f>
        <v>0</v>
      </c>
      <c r="S5" s="118">
        <v>0.0</v>
      </c>
      <c r="T5" s="19">
        <f>S5/F12*100000</f>
        <v>0</v>
      </c>
      <c r="U5" s="118">
        <v>0.0</v>
      </c>
      <c r="V5" s="19">
        <f>U5/G12*100000</f>
        <v>0</v>
      </c>
      <c r="W5" s="118">
        <v>0.0</v>
      </c>
      <c r="X5" s="19">
        <f>W5/H12*100000</f>
        <v>0</v>
      </c>
      <c r="Y5" s="19">
        <f t="shared" ref="Y5:Z5" si="5">((M5+O5+Q5+S5)/4)</f>
        <v>0</v>
      </c>
      <c r="Z5" s="19">
        <f t="shared" si="5"/>
        <v>0</v>
      </c>
      <c r="AA5" s="19">
        <f t="shared" si="3"/>
        <v>0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8">
        <v>4.0</v>
      </c>
      <c r="N6" s="19">
        <f>M6/M4*1000</f>
        <v>14.23487544</v>
      </c>
      <c r="O6" s="118">
        <v>14.0</v>
      </c>
      <c r="P6" s="19">
        <f>O6/O4*1000</f>
        <v>54.26356589</v>
      </c>
      <c r="Q6" s="129">
        <v>8.0</v>
      </c>
      <c r="R6" s="19">
        <f>Q6/Q4*1000</f>
        <v>33.33333333</v>
      </c>
      <c r="S6" s="118">
        <v>11.0</v>
      </c>
      <c r="T6" s="19">
        <f>S6/S4*1000</f>
        <v>45.08196721</v>
      </c>
      <c r="U6" s="118">
        <v>4.0</v>
      </c>
      <c r="V6" s="19">
        <f>U6/U4*1000</f>
        <v>16.59751037</v>
      </c>
      <c r="W6" s="118">
        <v>9.0</v>
      </c>
      <c r="X6" s="19">
        <f>W6/W4*1000</f>
        <v>67.1641791</v>
      </c>
      <c r="Y6" s="19">
        <f t="shared" ref="Y6:Z6" si="6">((M6+O6+Q6+S6)/4)</f>
        <v>9.25</v>
      </c>
      <c r="Z6" s="19">
        <f t="shared" si="6"/>
        <v>36.72843547</v>
      </c>
      <c r="AA6" s="19">
        <f t="shared" si="3"/>
        <v>7.5</v>
      </c>
      <c r="AB6" s="19">
        <f t="shared" si="4"/>
        <v>41.88084474</v>
      </c>
      <c r="AC6" s="22" t="s">
        <v>28</v>
      </c>
    </row>
    <row r="7" ht="14.25" customHeight="1">
      <c r="A7" s="1"/>
      <c r="B7" s="32" t="s">
        <v>41</v>
      </c>
      <c r="C7" s="131">
        <v>19376.0</v>
      </c>
      <c r="D7" s="131">
        <v>20150.0</v>
      </c>
      <c r="E7" s="131">
        <v>20784.0</v>
      </c>
      <c r="F7" s="131">
        <v>21374.0</v>
      </c>
      <c r="G7" s="131">
        <v>21945.0</v>
      </c>
      <c r="H7" s="131">
        <v>22442.0</v>
      </c>
      <c r="I7" s="1"/>
      <c r="J7" s="1"/>
      <c r="K7" s="1"/>
      <c r="L7" s="15" t="s">
        <v>42</v>
      </c>
      <c r="M7" s="118">
        <v>5.0</v>
      </c>
      <c r="N7" s="36"/>
      <c r="O7" s="118">
        <v>3.0</v>
      </c>
      <c r="P7" s="36"/>
      <c r="Q7" s="129">
        <v>3.0</v>
      </c>
      <c r="R7" s="36"/>
      <c r="S7" s="118">
        <v>3.0</v>
      </c>
      <c r="T7" s="36"/>
      <c r="U7" s="118">
        <v>3.0</v>
      </c>
      <c r="V7" s="36"/>
      <c r="W7" s="118">
        <v>6.0</v>
      </c>
      <c r="X7" s="36"/>
      <c r="Y7" s="19">
        <f t="shared" ref="Y7:Z7" si="7">((M7+O7+Q7+S7)/4)</f>
        <v>3.5</v>
      </c>
      <c r="Z7" s="19">
        <f t="shared" si="7"/>
        <v>0</v>
      </c>
      <c r="AA7" s="19">
        <f t="shared" si="3"/>
        <v>3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131">
        <v>13570.0</v>
      </c>
      <c r="D8" s="131">
        <v>14326.0</v>
      </c>
      <c r="E8" s="131">
        <v>14948.0</v>
      </c>
      <c r="F8" s="131">
        <v>15527.0</v>
      </c>
      <c r="G8" s="131">
        <v>16072.0</v>
      </c>
      <c r="H8" s="131">
        <v>16564.0</v>
      </c>
      <c r="I8" s="1"/>
      <c r="J8" s="1"/>
      <c r="K8" s="1"/>
      <c r="L8" s="15" t="s">
        <v>45</v>
      </c>
      <c r="M8" s="118">
        <v>0.0</v>
      </c>
      <c r="N8" s="19">
        <f>M8/C15*1000</f>
        <v>0</v>
      </c>
      <c r="O8" s="118">
        <v>0.0</v>
      </c>
      <c r="P8" s="19">
        <f>O8/D15*1000</f>
        <v>0</v>
      </c>
      <c r="Q8" s="129">
        <v>0.0</v>
      </c>
      <c r="R8" s="19">
        <f>Q8/E15*1000</f>
        <v>0</v>
      </c>
      <c r="S8" s="118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31">
        <v>5806.0</v>
      </c>
      <c r="D9" s="131">
        <v>5824.0</v>
      </c>
      <c r="E9" s="131">
        <v>5836.0</v>
      </c>
      <c r="F9" s="131">
        <v>5847.0</v>
      </c>
      <c r="G9" s="131">
        <v>5873.0</v>
      </c>
      <c r="H9" s="131">
        <v>5878.0</v>
      </c>
      <c r="I9" s="1"/>
      <c r="J9" s="1"/>
      <c r="K9" s="1"/>
      <c r="L9" s="15" t="s">
        <v>48</v>
      </c>
      <c r="M9" s="118">
        <v>6.0</v>
      </c>
      <c r="N9" s="19">
        <f>M9/C7*100000</f>
        <v>30.96614368</v>
      </c>
      <c r="O9" s="118">
        <v>14.0</v>
      </c>
      <c r="P9" s="19">
        <f>O9/D7*100000</f>
        <v>69.47890819</v>
      </c>
      <c r="Q9" s="129">
        <v>7.0</v>
      </c>
      <c r="R9" s="19">
        <f>Q9/E7*100000</f>
        <v>33.67975366</v>
      </c>
      <c r="S9" s="118">
        <v>12.0</v>
      </c>
      <c r="T9" s="19">
        <f>S9/F7*100000</f>
        <v>56.14297745</v>
      </c>
      <c r="U9" s="118">
        <v>7.0</v>
      </c>
      <c r="V9" s="19">
        <f>U9/G7*100000</f>
        <v>31.89792663</v>
      </c>
      <c r="W9" s="118">
        <v>7.0</v>
      </c>
      <c r="X9" s="19">
        <f>W9/H7*100000</f>
        <v>31.19151591</v>
      </c>
      <c r="Y9" s="19">
        <f t="shared" ref="Y9:Z9" si="9">((M9+O9+Q9+S9)/4)</f>
        <v>9.75</v>
      </c>
      <c r="Z9" s="19">
        <f t="shared" si="9"/>
        <v>47.56694574</v>
      </c>
      <c r="AA9" s="19">
        <f t="shared" si="3"/>
        <v>9.5</v>
      </c>
      <c r="AB9" s="19">
        <f t="shared" si="4"/>
        <v>31.54472127</v>
      </c>
      <c r="AC9" s="22" t="s">
        <v>28</v>
      </c>
    </row>
    <row r="10" ht="14.25" customHeight="1">
      <c r="A10" s="1"/>
      <c r="B10" s="32" t="s">
        <v>50</v>
      </c>
      <c r="C10" s="132">
        <v>9.672</v>
      </c>
      <c r="D10" s="132">
        <v>10.074</v>
      </c>
      <c r="E10" s="132">
        <v>10.403</v>
      </c>
      <c r="F10" s="132">
        <v>10.711</v>
      </c>
      <c r="G10" s="132">
        <v>11.002</v>
      </c>
      <c r="H10" s="132">
        <v>11.26</v>
      </c>
      <c r="I10" s="1"/>
      <c r="J10" s="1"/>
      <c r="K10" s="1"/>
      <c r="L10" s="15" t="s">
        <v>51</v>
      </c>
      <c r="M10" s="118">
        <v>0.0</v>
      </c>
      <c r="N10" s="19">
        <f>M10/C15*100000</f>
        <v>0</v>
      </c>
      <c r="O10" s="118">
        <v>0.0</v>
      </c>
      <c r="P10" s="19">
        <f t="shared" ref="P10:P11" si="11">O10/D15*100000</f>
        <v>0</v>
      </c>
      <c r="Q10" s="129">
        <v>0.0</v>
      </c>
      <c r="R10" s="19">
        <f>Q10/E15*100000</f>
        <v>0</v>
      </c>
      <c r="S10" s="118">
        <v>0.0</v>
      </c>
      <c r="T10" s="19">
        <f>S10/F15*100000</f>
        <v>0</v>
      </c>
      <c r="U10" s="118">
        <v>0.0</v>
      </c>
      <c r="V10" s="19">
        <f>U10/G15*100000</f>
        <v>0</v>
      </c>
      <c r="W10" s="118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132">
        <v>9.704</v>
      </c>
      <c r="D11" s="132">
        <v>10.076</v>
      </c>
      <c r="E11" s="132">
        <v>10.381</v>
      </c>
      <c r="F11" s="132">
        <v>10.663</v>
      </c>
      <c r="G11" s="132">
        <v>10.943</v>
      </c>
      <c r="H11" s="132">
        <v>11.182</v>
      </c>
      <c r="I11" s="1"/>
      <c r="J11" s="1"/>
      <c r="K11" s="1"/>
      <c r="L11" s="15" t="s">
        <v>53</v>
      </c>
      <c r="M11" s="118">
        <v>0.0</v>
      </c>
      <c r="N11" s="19">
        <f>M11/C15*100000</f>
        <v>0</v>
      </c>
      <c r="O11" s="118">
        <v>0.0</v>
      </c>
      <c r="P11" s="19">
        <f t="shared" si="11"/>
        <v>0</v>
      </c>
      <c r="Q11" s="129">
        <v>0.0</v>
      </c>
      <c r="R11" s="19">
        <f>Q11/F16*100000</f>
        <v>0</v>
      </c>
      <c r="S11" s="118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31">
        <v>281.0</v>
      </c>
      <c r="D12" s="131">
        <v>258.0</v>
      </c>
      <c r="E12" s="131">
        <v>240.0</v>
      </c>
      <c r="F12" s="131">
        <v>244.0</v>
      </c>
      <c r="G12" s="131">
        <v>241.0</v>
      </c>
      <c r="H12" s="131">
        <v>134.0</v>
      </c>
      <c r="I12" s="1"/>
      <c r="J12" s="1"/>
      <c r="K12" s="1"/>
      <c r="L12" s="15" t="s">
        <v>55</v>
      </c>
      <c r="M12" s="118">
        <v>59.0</v>
      </c>
      <c r="N12" s="19">
        <f>M12/C7*100000</f>
        <v>304.5004129</v>
      </c>
      <c r="O12" s="118">
        <v>70.0</v>
      </c>
      <c r="P12" s="19">
        <f>O12/D7*100000</f>
        <v>347.3945409</v>
      </c>
      <c r="Q12" s="129">
        <v>127.0</v>
      </c>
      <c r="R12" s="19">
        <f>Q12/E7*100000</f>
        <v>611.0469592</v>
      </c>
      <c r="S12" s="118">
        <v>116.0</v>
      </c>
      <c r="T12" s="19">
        <f>S12/F7*100000</f>
        <v>542.7154487</v>
      </c>
      <c r="U12" s="118">
        <v>146.0</v>
      </c>
      <c r="V12" s="19">
        <f>U12/G7*100000</f>
        <v>665.2996127</v>
      </c>
      <c r="W12" s="118">
        <v>95.0</v>
      </c>
      <c r="X12" s="19">
        <f>W12/H7*100000</f>
        <v>423.3134302</v>
      </c>
      <c r="Y12" s="19">
        <f t="shared" ref="Y12:Z12" si="13">((M12+O12+Q12+S12)/4)</f>
        <v>93</v>
      </c>
      <c r="Z12" s="19">
        <f t="shared" si="13"/>
        <v>451.4143404</v>
      </c>
      <c r="AA12" s="19">
        <f t="shared" si="3"/>
        <v>131</v>
      </c>
      <c r="AB12" s="19">
        <f t="shared" si="4"/>
        <v>544.3065214</v>
      </c>
      <c r="AC12" s="22" t="s">
        <v>57</v>
      </c>
    </row>
    <row r="13" ht="14.25" customHeight="1">
      <c r="A13" s="1"/>
      <c r="B13" s="32" t="s">
        <v>58</v>
      </c>
      <c r="C13" s="131">
        <v>57.0</v>
      </c>
      <c r="D13" s="131">
        <v>112.0</v>
      </c>
      <c r="E13" s="131">
        <v>83.0</v>
      </c>
      <c r="F13" s="131">
        <v>72.0</v>
      </c>
      <c r="G13" s="131">
        <v>51.0</v>
      </c>
      <c r="H13" s="131">
        <v>52.0</v>
      </c>
      <c r="I13" s="1"/>
      <c r="J13" s="1"/>
      <c r="K13" s="1"/>
      <c r="L13" s="15" t="s">
        <v>59</v>
      </c>
      <c r="M13" s="118">
        <v>49.0</v>
      </c>
      <c r="N13" s="19">
        <f>M13/C11*100000</f>
        <v>504946.4138</v>
      </c>
      <c r="O13" s="118">
        <v>58.0</v>
      </c>
      <c r="P13" s="19">
        <f>O13/D11*100000</f>
        <v>575625.2481</v>
      </c>
      <c r="Q13" s="129">
        <v>113.0</v>
      </c>
      <c r="R13" s="19">
        <f>Q13/E11*100000</f>
        <v>1088527.117</v>
      </c>
      <c r="S13" s="118">
        <v>96.0</v>
      </c>
      <c r="T13" s="19">
        <f>S13/F11*100000</f>
        <v>900309.4814</v>
      </c>
      <c r="U13" s="118">
        <v>131.0</v>
      </c>
      <c r="V13" s="19">
        <f>U13/G11*100000</f>
        <v>1197112.309</v>
      </c>
      <c r="W13" s="118">
        <v>79.0</v>
      </c>
      <c r="X13" s="19">
        <f>W13/H11*100000</f>
        <v>706492.5774</v>
      </c>
      <c r="Y13" s="19">
        <f t="shared" ref="Y13:Z13" si="14">((M13+O13+Q13+S13)/4)</f>
        <v>79</v>
      </c>
      <c r="Z13" s="19">
        <f t="shared" si="14"/>
        <v>767352.065</v>
      </c>
      <c r="AA13" s="19">
        <f t="shared" si="3"/>
        <v>113.5</v>
      </c>
      <c r="AB13" s="19">
        <f t="shared" si="4"/>
        <v>951802.4433</v>
      </c>
      <c r="AC13" s="22" t="s">
        <v>57</v>
      </c>
    </row>
    <row r="14" ht="14.25" customHeight="1">
      <c r="A14" s="1"/>
      <c r="B14" s="32" t="s">
        <v>60</v>
      </c>
      <c r="C14" s="131">
        <v>710.0</v>
      </c>
      <c r="D14" s="131">
        <v>725.0</v>
      </c>
      <c r="E14" s="131">
        <v>740.0</v>
      </c>
      <c r="F14" s="131">
        <v>751.0</v>
      </c>
      <c r="G14" s="131">
        <v>730.0</v>
      </c>
      <c r="H14" s="131">
        <v>724.0</v>
      </c>
      <c r="I14" s="1"/>
      <c r="J14" s="1"/>
      <c r="K14" s="1"/>
      <c r="L14" s="15" t="s">
        <v>61</v>
      </c>
      <c r="M14" s="118">
        <v>5.0</v>
      </c>
      <c r="N14" s="19">
        <f>M14/M4*1000</f>
        <v>17.79359431</v>
      </c>
      <c r="O14" s="118">
        <v>3.0</v>
      </c>
      <c r="P14" s="19">
        <f>O14/O4*1000</f>
        <v>11.62790698</v>
      </c>
      <c r="Q14" s="129">
        <v>1.0</v>
      </c>
      <c r="R14" s="19">
        <f>Q14/Q4*1000</f>
        <v>4.166666667</v>
      </c>
      <c r="S14" s="118">
        <v>2.0</v>
      </c>
      <c r="T14" s="19">
        <f>S14/S4*1000</f>
        <v>8.196721311</v>
      </c>
      <c r="U14" s="118">
        <v>1.0</v>
      </c>
      <c r="V14" s="19">
        <f>U14/U4*1000</f>
        <v>4.149377593</v>
      </c>
      <c r="W14" s="118">
        <v>1.0</v>
      </c>
      <c r="X14" s="19">
        <f>W14/W4*1000</f>
        <v>7.462686567</v>
      </c>
      <c r="Y14" s="19">
        <f t="shared" ref="Y14:Z14" si="15">((M14+O14+Q14+S14)/4)</f>
        <v>2.75</v>
      </c>
      <c r="Z14" s="19">
        <f t="shared" si="15"/>
        <v>10.44622232</v>
      </c>
      <c r="AA14" s="19">
        <f t="shared" si="3"/>
        <v>1.5</v>
      </c>
      <c r="AB14" s="19">
        <f t="shared" si="4"/>
        <v>5.80603208</v>
      </c>
      <c r="AC14" s="22" t="s">
        <v>28</v>
      </c>
    </row>
    <row r="15" ht="14.25" customHeight="1">
      <c r="A15" s="1"/>
      <c r="B15" s="32" t="s">
        <v>62</v>
      </c>
      <c r="C15" s="132">
        <v>2.126</v>
      </c>
      <c r="D15" s="132">
        <v>2.206</v>
      </c>
      <c r="E15" s="132">
        <v>2.26</v>
      </c>
      <c r="F15" s="132">
        <v>2.301</v>
      </c>
      <c r="G15" s="132">
        <v>2.265</v>
      </c>
      <c r="H15" s="132">
        <v>2.25</v>
      </c>
      <c r="I15" s="1"/>
      <c r="J15" s="1"/>
      <c r="K15" s="1"/>
      <c r="L15" s="15" t="s">
        <v>63</v>
      </c>
      <c r="M15" s="118">
        <v>5.0</v>
      </c>
      <c r="N15" s="19">
        <f>M15/C15*100000</f>
        <v>235183.4431</v>
      </c>
      <c r="O15" s="118">
        <v>3.0</v>
      </c>
      <c r="P15" s="19">
        <f>O15/D15*100000</f>
        <v>135992.7471</v>
      </c>
      <c r="Q15" s="129">
        <v>2.0</v>
      </c>
      <c r="R15" s="19">
        <f>Q15/E15*100000</f>
        <v>88495.57522</v>
      </c>
      <c r="S15" s="118">
        <v>3.0</v>
      </c>
      <c r="T15" s="19">
        <f>S15/F15*100000</f>
        <v>130378.0965</v>
      </c>
      <c r="U15" s="118">
        <v>1.0</v>
      </c>
      <c r="V15" s="19">
        <f>U15/G15*100000</f>
        <v>44150.11038</v>
      </c>
      <c r="W15" s="118">
        <v>1.0</v>
      </c>
      <c r="X15" s="19">
        <f>W15/H15*100000</f>
        <v>44444.44444</v>
      </c>
      <c r="Y15" s="19">
        <f t="shared" ref="Y15:Z15" si="16">((M15+O15+Q15+S15)/4)</f>
        <v>3.25</v>
      </c>
      <c r="Z15" s="19">
        <f t="shared" si="16"/>
        <v>147512.4655</v>
      </c>
      <c r="AA15" s="19">
        <f t="shared" si="3"/>
        <v>2</v>
      </c>
      <c r="AB15" s="19">
        <f t="shared" si="4"/>
        <v>44297.27741</v>
      </c>
      <c r="AC15" s="22" t="s">
        <v>28</v>
      </c>
    </row>
    <row r="16" ht="14.25" customHeight="1">
      <c r="A16" s="1"/>
      <c r="B16" s="32" t="s">
        <v>64</v>
      </c>
      <c r="C16" s="132">
        <v>14.388</v>
      </c>
      <c r="D16" s="132">
        <v>14.982</v>
      </c>
      <c r="E16" s="132">
        <v>15.47</v>
      </c>
      <c r="F16" s="132">
        <v>15.927</v>
      </c>
      <c r="G16" s="132">
        <v>16.455</v>
      </c>
      <c r="H16" s="132">
        <v>16.91</v>
      </c>
      <c r="I16" s="1"/>
      <c r="J16" s="1"/>
      <c r="K16" s="1"/>
      <c r="L16" s="15" t="s">
        <v>65</v>
      </c>
      <c r="M16" s="118">
        <v>28.0</v>
      </c>
      <c r="N16" s="19">
        <f>M16/M4*100</f>
        <v>9.964412811</v>
      </c>
      <c r="O16" s="118">
        <v>39.0</v>
      </c>
      <c r="P16" s="19">
        <f>O16/O4*100</f>
        <v>15.11627907</v>
      </c>
      <c r="Q16" s="129">
        <v>31.0</v>
      </c>
      <c r="R16" s="19">
        <f>Q16/Q4*100</f>
        <v>12.91666667</v>
      </c>
      <c r="S16" s="118">
        <v>41.0</v>
      </c>
      <c r="T16" s="19">
        <f>S16/S4*100</f>
        <v>16.80327869</v>
      </c>
      <c r="U16" s="118">
        <v>41.0</v>
      </c>
      <c r="V16" s="19">
        <f>U16/U4*100</f>
        <v>17.01244813</v>
      </c>
      <c r="W16" s="118">
        <v>23.0</v>
      </c>
      <c r="X16" s="19">
        <f>W16/W4*100</f>
        <v>17.1641791</v>
      </c>
      <c r="Y16" s="19">
        <f t="shared" ref="Y16:Z16" si="17">((M16+O16+Q16+S16)/4)</f>
        <v>34.75</v>
      </c>
      <c r="Z16" s="19">
        <f t="shared" si="17"/>
        <v>13.70015931</v>
      </c>
      <c r="AA16" s="19">
        <f t="shared" si="3"/>
        <v>41</v>
      </c>
      <c r="AB16" s="19">
        <f t="shared" si="4"/>
        <v>17.08831362</v>
      </c>
      <c r="AC16" s="22" t="s">
        <v>30</v>
      </c>
    </row>
    <row r="17" ht="14.25" customHeight="1">
      <c r="A17" s="1"/>
      <c r="B17" s="32" t="s">
        <v>66</v>
      </c>
      <c r="C17" s="132">
        <v>6.663</v>
      </c>
      <c r="D17" s="132">
        <v>6.866</v>
      </c>
      <c r="E17" s="132">
        <v>7.024</v>
      </c>
      <c r="F17" s="132">
        <v>7.174</v>
      </c>
      <c r="G17" s="132">
        <v>7.27</v>
      </c>
      <c r="H17" s="132">
        <v>7.334</v>
      </c>
      <c r="I17" s="1"/>
      <c r="J17" s="1"/>
      <c r="K17" s="1"/>
      <c r="L17" s="15" t="s">
        <v>67</v>
      </c>
      <c r="M17" s="118">
        <v>12.0</v>
      </c>
      <c r="N17" s="19">
        <f>M17/M4*100</f>
        <v>4.270462633</v>
      </c>
      <c r="O17" s="118">
        <v>25.0</v>
      </c>
      <c r="P17" s="19">
        <f>O17/O4*100</f>
        <v>9.689922481</v>
      </c>
      <c r="Q17" s="129">
        <v>13.0</v>
      </c>
      <c r="R17" s="19">
        <f>Q17/Q4*100</f>
        <v>5.416666667</v>
      </c>
      <c r="S17" s="118">
        <v>10.0</v>
      </c>
      <c r="T17" s="19">
        <f>S17/S4*100</f>
        <v>4.098360656</v>
      </c>
      <c r="U17" s="118">
        <v>23.0</v>
      </c>
      <c r="V17" s="19">
        <f>U17/U4*100</f>
        <v>9.543568465</v>
      </c>
      <c r="W17" s="118">
        <v>8.0</v>
      </c>
      <c r="X17" s="19">
        <f>W17/W4*100</f>
        <v>5.970149254</v>
      </c>
      <c r="Y17" s="19">
        <f t="shared" ref="Y17:Z17" si="18">((M17+O17+Q17+S17)/4)</f>
        <v>15</v>
      </c>
      <c r="Z17" s="19">
        <f t="shared" si="18"/>
        <v>5.868853109</v>
      </c>
      <c r="AA17" s="19">
        <f t="shared" si="3"/>
        <v>16.5</v>
      </c>
      <c r="AB17" s="19">
        <f t="shared" si="4"/>
        <v>7.756858859</v>
      </c>
      <c r="AC17" s="22" t="s">
        <v>30</v>
      </c>
    </row>
    <row r="18" ht="14.25" customHeight="1">
      <c r="A18" s="1"/>
      <c r="B18" s="32" t="s">
        <v>68</v>
      </c>
      <c r="C18" s="132">
        <v>18.503</v>
      </c>
      <c r="D18" s="132">
        <v>19.229</v>
      </c>
      <c r="E18" s="132">
        <v>19.811</v>
      </c>
      <c r="F18" s="132">
        <v>20.35</v>
      </c>
      <c r="G18" s="132">
        <v>20.888</v>
      </c>
      <c r="H18" s="132">
        <v>21.353</v>
      </c>
      <c r="I18" s="1"/>
      <c r="J18" s="1"/>
      <c r="K18" s="1"/>
      <c r="L18" s="15" t="s">
        <v>69</v>
      </c>
      <c r="M18" s="124">
        <v>4.0</v>
      </c>
      <c r="N18" s="57">
        <f>M18/C15*1000</f>
        <v>1881.467545</v>
      </c>
      <c r="O18" s="118">
        <v>7.0</v>
      </c>
      <c r="P18" s="57">
        <f>O18/D15*1000</f>
        <v>3173.164098</v>
      </c>
      <c r="Q18" s="129">
        <v>8.0</v>
      </c>
      <c r="R18" s="57">
        <f>Q18/E15*1000</f>
        <v>3539.823009</v>
      </c>
      <c r="S18" s="124">
        <v>4.0</v>
      </c>
      <c r="T18" s="57">
        <f>S18/F15*1000</f>
        <v>1738.37462</v>
      </c>
      <c r="U18" s="124">
        <v>9.0</v>
      </c>
      <c r="V18" s="57">
        <f>U18/G15*1000</f>
        <v>3973.509934</v>
      </c>
      <c r="W18" s="124">
        <v>5.0</v>
      </c>
      <c r="X18" s="57">
        <f>W18/H15*1000</f>
        <v>2222.222222</v>
      </c>
      <c r="Y18" s="19">
        <f t="shared" ref="Y18:Z18" si="19">((M18+O18+Q18+S18)/4)</f>
        <v>5.75</v>
      </c>
      <c r="Z18" s="19">
        <f t="shared" si="19"/>
        <v>2583.207318</v>
      </c>
      <c r="AA18" s="19">
        <f t="shared" si="3"/>
        <v>6.5</v>
      </c>
      <c r="AB18" s="19">
        <f t="shared" si="4"/>
        <v>3097.866078</v>
      </c>
      <c r="AC18" s="22" t="s">
        <v>57</v>
      </c>
    </row>
    <row r="19" ht="14.25" customHeight="1">
      <c r="A19" s="1"/>
      <c r="B19" s="32" t="s">
        <v>70</v>
      </c>
      <c r="C19" s="141">
        <v>11.84</v>
      </c>
      <c r="D19" s="141">
        <v>12.363</v>
      </c>
      <c r="E19" s="141">
        <v>12.787</v>
      </c>
      <c r="F19" s="141">
        <v>13.176</v>
      </c>
      <c r="G19" s="141">
        <v>13.618</v>
      </c>
      <c r="H19" s="142">
        <v>14.019</v>
      </c>
      <c r="I19" s="1"/>
      <c r="J19" s="1"/>
      <c r="K19" s="1"/>
      <c r="L19" s="15" t="s">
        <v>71</v>
      </c>
      <c r="M19" s="118">
        <v>47.0</v>
      </c>
      <c r="N19" s="19">
        <f>M19/M4*100</f>
        <v>16.72597865</v>
      </c>
      <c r="O19" s="118">
        <v>32.0</v>
      </c>
      <c r="P19" s="19">
        <f>O19/O4*100</f>
        <v>12.40310078</v>
      </c>
      <c r="Q19" s="129">
        <v>28.0</v>
      </c>
      <c r="R19" s="19">
        <f>Q19/Q4*100</f>
        <v>11.66666667</v>
      </c>
      <c r="S19" s="118">
        <v>22.0</v>
      </c>
      <c r="T19" s="19">
        <f>S19/S4*100</f>
        <v>9.016393443</v>
      </c>
      <c r="U19" s="118">
        <v>31.0</v>
      </c>
      <c r="V19" s="19">
        <f>U19/U4*100</f>
        <v>12.86307054</v>
      </c>
      <c r="W19" s="118">
        <v>22.0</v>
      </c>
      <c r="X19" s="19">
        <f>W19/W4*100</f>
        <v>16.41791045</v>
      </c>
      <c r="Y19" s="19">
        <f t="shared" ref="Y19:Z19" si="20">((M19+O19+Q19+S19)/4)</f>
        <v>32.25</v>
      </c>
      <c r="Z19" s="19">
        <f t="shared" si="20"/>
        <v>12.45303488</v>
      </c>
      <c r="AA19" s="19">
        <f t="shared" si="3"/>
        <v>26.5</v>
      </c>
      <c r="AB19" s="19">
        <f t="shared" si="4"/>
        <v>14.64049049</v>
      </c>
      <c r="AC19" s="22" t="s">
        <v>72</v>
      </c>
    </row>
    <row r="20" ht="14.25" customHeight="1">
      <c r="A20" s="1"/>
      <c r="B20" s="32" t="s">
        <v>73</v>
      </c>
      <c r="C20" s="132">
        <v>761.0</v>
      </c>
      <c r="D20" s="132">
        <v>783.0</v>
      </c>
      <c r="E20" s="132">
        <v>802.0</v>
      </c>
      <c r="F20" s="132">
        <v>823.0</v>
      </c>
      <c r="G20" s="132">
        <v>844.0</v>
      </c>
      <c r="H20" s="132">
        <v>859.0</v>
      </c>
      <c r="I20" s="1"/>
      <c r="J20" s="1"/>
      <c r="K20" s="1"/>
      <c r="L20" s="15" t="s">
        <v>74</v>
      </c>
      <c r="M20" s="118">
        <v>4.0</v>
      </c>
      <c r="N20" s="19">
        <f t="shared" ref="N20:N21" si="22">M20/C20*1000</f>
        <v>5.256241787</v>
      </c>
      <c r="O20" s="118">
        <v>3.0</v>
      </c>
      <c r="P20" s="19">
        <f t="shared" ref="P20:P21" si="23">O20/D20*1000</f>
        <v>3.831417625</v>
      </c>
      <c r="Q20" s="129">
        <v>0.0</v>
      </c>
      <c r="R20" s="19">
        <f t="shared" ref="R20:R21" si="24">Q20/E20*1000</f>
        <v>0</v>
      </c>
      <c r="S20" s="118">
        <v>1.0</v>
      </c>
      <c r="T20" s="19">
        <f t="shared" ref="T20:T21" si="25">S20/F20*1000</f>
        <v>1.215066829</v>
      </c>
      <c r="U20" s="118">
        <v>1.0</v>
      </c>
      <c r="V20" s="19">
        <f t="shared" ref="V20:V21" si="26">U20/G20*1000</f>
        <v>1.184834123</v>
      </c>
      <c r="W20" s="118">
        <v>0.0</v>
      </c>
      <c r="X20" s="19">
        <f t="shared" ref="X20:X21" si="27">W20/H20*1000</f>
        <v>0</v>
      </c>
      <c r="Y20" s="19">
        <f t="shared" ref="Y20:Z20" si="21">((M20+O20+Q20+S20)/4)</f>
        <v>2</v>
      </c>
      <c r="Z20" s="19">
        <f t="shared" si="21"/>
        <v>2.57568156</v>
      </c>
      <c r="AA20" s="19">
        <f t="shared" si="3"/>
        <v>1</v>
      </c>
      <c r="AB20" s="19">
        <f t="shared" si="4"/>
        <v>0.5924170616</v>
      </c>
      <c r="AC20" s="22" t="s">
        <v>72</v>
      </c>
    </row>
    <row r="21" ht="14.25" customHeight="1">
      <c r="A21" s="1"/>
      <c r="B21" s="32" t="s">
        <v>75</v>
      </c>
      <c r="C21" s="132">
        <v>837.0</v>
      </c>
      <c r="D21" s="132">
        <v>848.0</v>
      </c>
      <c r="E21" s="132">
        <v>854.0</v>
      </c>
      <c r="F21" s="132">
        <v>862.0</v>
      </c>
      <c r="G21" s="132">
        <v>882.0</v>
      </c>
      <c r="H21" s="132">
        <v>889.0</v>
      </c>
      <c r="I21" s="1"/>
      <c r="J21" s="1"/>
      <c r="K21" s="1"/>
      <c r="L21" s="15" t="s">
        <v>76</v>
      </c>
      <c r="M21" s="118">
        <v>43.0</v>
      </c>
      <c r="N21" s="19">
        <f t="shared" si="22"/>
        <v>51.3739546</v>
      </c>
      <c r="O21" s="118">
        <v>29.0</v>
      </c>
      <c r="P21" s="19">
        <f t="shared" si="23"/>
        <v>34.19811321</v>
      </c>
      <c r="Q21" s="129">
        <v>28.0</v>
      </c>
      <c r="R21" s="19">
        <f t="shared" si="24"/>
        <v>32.78688525</v>
      </c>
      <c r="S21" s="118">
        <v>21.0</v>
      </c>
      <c r="T21" s="19">
        <f t="shared" si="25"/>
        <v>24.36194896</v>
      </c>
      <c r="U21" s="118">
        <v>30.0</v>
      </c>
      <c r="V21" s="19">
        <f t="shared" si="26"/>
        <v>34.01360544</v>
      </c>
      <c r="W21" s="118">
        <v>22.0</v>
      </c>
      <c r="X21" s="19">
        <f t="shared" si="27"/>
        <v>24.74690664</v>
      </c>
      <c r="Y21" s="19">
        <f t="shared" ref="Y21:Z21" si="28">((M21+O21+Q21+S21)/4)</f>
        <v>30.25</v>
      </c>
      <c r="Z21" s="19">
        <f t="shared" si="28"/>
        <v>35.6802255</v>
      </c>
      <c r="AA21" s="19">
        <f t="shared" si="3"/>
        <v>25.5</v>
      </c>
      <c r="AB21" s="19">
        <f t="shared" si="4"/>
        <v>29.38025604</v>
      </c>
      <c r="AC21" s="22" t="s">
        <v>72</v>
      </c>
    </row>
    <row r="22" ht="14.25" customHeight="1">
      <c r="A22" s="1"/>
      <c r="B22" s="32" t="s">
        <v>77</v>
      </c>
      <c r="C22" s="132">
        <v>6.343</v>
      </c>
      <c r="D22" s="132">
        <v>6.575</v>
      </c>
      <c r="E22" s="132">
        <v>6.761</v>
      </c>
      <c r="F22" s="132">
        <v>6.932</v>
      </c>
      <c r="G22" s="132">
        <v>7.127</v>
      </c>
      <c r="H22" s="132">
        <v>7.297</v>
      </c>
      <c r="I22" s="1"/>
      <c r="J22" s="1"/>
      <c r="K22" s="1"/>
      <c r="L22" s="15" t="s">
        <v>78</v>
      </c>
      <c r="M22" s="124">
        <v>2.0</v>
      </c>
      <c r="N22" s="57">
        <f>M22/C7*100000</f>
        <v>10.32204789</v>
      </c>
      <c r="O22" s="118">
        <v>7.0</v>
      </c>
      <c r="P22" s="57">
        <f>O22/D7*100000</f>
        <v>34.73945409</v>
      </c>
      <c r="Q22" s="129">
        <v>4.0</v>
      </c>
      <c r="R22" s="57">
        <f>Q22/E7*100000</f>
        <v>19.24557352</v>
      </c>
      <c r="S22" s="124">
        <v>11.0</v>
      </c>
      <c r="T22" s="57">
        <f>S22/F7*100000</f>
        <v>51.464396</v>
      </c>
      <c r="U22" s="124">
        <v>5.0</v>
      </c>
      <c r="V22" s="57">
        <f>U22/G7*100000</f>
        <v>22.78423331</v>
      </c>
      <c r="W22" s="124">
        <v>3.0</v>
      </c>
      <c r="X22" s="57">
        <f>W22/H7*100000</f>
        <v>13.36779253</v>
      </c>
      <c r="Y22" s="19">
        <f t="shared" ref="Y22:Z22" si="29">((M22+O22+Q22+S22)/4)</f>
        <v>6</v>
      </c>
      <c r="Z22" s="19">
        <f t="shared" si="29"/>
        <v>28.94286788</v>
      </c>
      <c r="AA22" s="19">
        <f t="shared" si="3"/>
        <v>8</v>
      </c>
      <c r="AB22" s="19">
        <f t="shared" si="4"/>
        <v>18.07601292</v>
      </c>
      <c r="AC22" s="22" t="s">
        <v>28</v>
      </c>
    </row>
    <row r="23" ht="14.25" customHeight="1">
      <c r="A23" s="1"/>
      <c r="B23" s="32" t="s">
        <v>79</v>
      </c>
      <c r="C23" s="132">
        <v>2.126</v>
      </c>
      <c r="D23" s="132">
        <v>2.206</v>
      </c>
      <c r="E23" s="132">
        <v>2.26</v>
      </c>
      <c r="F23" s="132">
        <v>2.301</v>
      </c>
      <c r="G23" s="132">
        <v>2.265</v>
      </c>
      <c r="H23" s="132">
        <v>2.25</v>
      </c>
      <c r="I23" s="1"/>
      <c r="J23" s="1"/>
      <c r="K23" s="1"/>
      <c r="L23" s="15" t="s">
        <v>80</v>
      </c>
      <c r="M23" s="124">
        <v>1.0</v>
      </c>
      <c r="N23" s="57">
        <f>M23/C7*100000</f>
        <v>5.161023947</v>
      </c>
      <c r="O23" s="118">
        <v>1.0</v>
      </c>
      <c r="P23" s="57">
        <f>O23/D7*100000</f>
        <v>4.962779156</v>
      </c>
      <c r="Q23" s="20"/>
      <c r="R23" s="57">
        <f>Q23/E7*100000</f>
        <v>0</v>
      </c>
      <c r="S23" s="124">
        <v>1.0</v>
      </c>
      <c r="T23" s="57">
        <f>S23/F7*100000</f>
        <v>4.678581454</v>
      </c>
      <c r="U23" s="124">
        <v>1.0</v>
      </c>
      <c r="V23" s="57">
        <f>U23/G7*100000</f>
        <v>4.556846662</v>
      </c>
      <c r="W23" s="124">
        <v>1.0</v>
      </c>
      <c r="X23" s="57">
        <f>W23/H7*100000</f>
        <v>4.455930844</v>
      </c>
      <c r="Y23" s="19">
        <f t="shared" ref="Y23:Z23" si="30">((M23+O23+Q23+S23)/4)</f>
        <v>0.75</v>
      </c>
      <c r="Z23" s="19">
        <f t="shared" si="30"/>
        <v>3.700596139</v>
      </c>
      <c r="AA23" s="19">
        <f t="shared" si="3"/>
        <v>1</v>
      </c>
      <c r="AB23" s="19">
        <f t="shared" si="4"/>
        <v>4.506388753</v>
      </c>
      <c r="AC23" s="22" t="s">
        <v>28</v>
      </c>
    </row>
    <row r="24" ht="14.25" customHeight="1">
      <c r="A24" s="1"/>
      <c r="B24" s="32" t="s">
        <v>81</v>
      </c>
      <c r="C24" s="132">
        <v>1.933</v>
      </c>
      <c r="D24" s="132">
        <v>2.01</v>
      </c>
      <c r="E24" s="132">
        <v>2.079</v>
      </c>
      <c r="F24" s="132">
        <v>2.148</v>
      </c>
      <c r="G24" s="132">
        <v>2.202</v>
      </c>
      <c r="H24" s="132">
        <v>2.241</v>
      </c>
      <c r="I24" s="1"/>
      <c r="J24" s="1"/>
      <c r="K24" s="1"/>
      <c r="L24" s="15" t="s">
        <v>82</v>
      </c>
      <c r="M24" s="124">
        <v>2.0</v>
      </c>
      <c r="N24" s="57">
        <f>M24/C7*100000</f>
        <v>10.32204789</v>
      </c>
      <c r="O24" s="118">
        <v>2.0</v>
      </c>
      <c r="P24" s="57">
        <f>O24/D7*100000</f>
        <v>9.925558313</v>
      </c>
      <c r="Q24" s="129">
        <v>3.0</v>
      </c>
      <c r="R24" s="57">
        <f>Q24/E7*100000</f>
        <v>14.43418014</v>
      </c>
      <c r="S24" s="124">
        <v>0.0</v>
      </c>
      <c r="T24" s="57">
        <f>S24/F7*100000</f>
        <v>0</v>
      </c>
      <c r="U24" s="124">
        <v>0.0</v>
      </c>
      <c r="V24" s="57">
        <f>U24/G7*100000</f>
        <v>0</v>
      </c>
      <c r="W24" s="124">
        <v>3.0</v>
      </c>
      <c r="X24" s="57">
        <f>W24/H7*100000</f>
        <v>13.36779253</v>
      </c>
      <c r="Y24" s="19">
        <f t="shared" ref="Y24:Z24" si="31">((M24+O24+Q24+S24)/4)</f>
        <v>1.75</v>
      </c>
      <c r="Z24" s="19">
        <f t="shared" si="31"/>
        <v>8.670446586</v>
      </c>
      <c r="AA24" s="19">
        <f t="shared" si="3"/>
        <v>0</v>
      </c>
      <c r="AB24" s="19">
        <f t="shared" si="4"/>
        <v>6.683896266</v>
      </c>
      <c r="AC24" s="22" t="s">
        <v>28</v>
      </c>
    </row>
    <row r="25" ht="14.25" customHeight="1">
      <c r="A25" s="1"/>
      <c r="B25" s="32" t="s">
        <v>83</v>
      </c>
      <c r="C25" s="132">
        <v>1.904</v>
      </c>
      <c r="D25" s="132">
        <v>1.942</v>
      </c>
      <c r="E25" s="132">
        <v>1.976</v>
      </c>
      <c r="F25" s="132">
        <v>2.011</v>
      </c>
      <c r="G25" s="132">
        <v>2.068</v>
      </c>
      <c r="H25" s="132">
        <v>2.1</v>
      </c>
      <c r="I25" s="1"/>
      <c r="J25" s="1"/>
      <c r="K25" s="1"/>
      <c r="L25" s="15" t="s">
        <v>84</v>
      </c>
      <c r="M25" s="124">
        <v>13.0</v>
      </c>
      <c r="N25" s="57">
        <f>M25/C7*100000</f>
        <v>67.09331131</v>
      </c>
      <c r="O25" s="118">
        <v>6.0</v>
      </c>
      <c r="P25" s="57">
        <f>O25/D7*100000</f>
        <v>29.77667494</v>
      </c>
      <c r="Q25" s="129">
        <v>20.0</v>
      </c>
      <c r="R25" s="57">
        <f>Q25/E7*100000</f>
        <v>96.22786759</v>
      </c>
      <c r="S25" s="124">
        <v>11.0</v>
      </c>
      <c r="T25" s="57">
        <f>S25/F7*100000</f>
        <v>51.464396</v>
      </c>
      <c r="U25" s="124">
        <v>9.0</v>
      </c>
      <c r="V25" s="57">
        <f>U25/G7*100000</f>
        <v>41.01161996</v>
      </c>
      <c r="W25" s="124">
        <v>10.0</v>
      </c>
      <c r="X25" s="57">
        <f>W25/H7*100000</f>
        <v>44.55930844</v>
      </c>
      <c r="Y25" s="19">
        <f t="shared" ref="Y25:Z25" si="32">((M25+O25+Q25+S25)/4)</f>
        <v>12.5</v>
      </c>
      <c r="Z25" s="19">
        <f t="shared" si="32"/>
        <v>61.14056246</v>
      </c>
      <c r="AA25" s="19">
        <f t="shared" si="3"/>
        <v>10</v>
      </c>
      <c r="AB25" s="19">
        <f t="shared" si="4"/>
        <v>42.7854642</v>
      </c>
      <c r="AC25" s="22" t="s">
        <v>57</v>
      </c>
    </row>
    <row r="26" ht="14.25" customHeight="1">
      <c r="A26" s="1"/>
      <c r="B26" s="32" t="s">
        <v>85</v>
      </c>
      <c r="C26" s="132">
        <v>4.335</v>
      </c>
      <c r="D26" s="132">
        <v>4.465</v>
      </c>
      <c r="E26" s="132">
        <v>4.537</v>
      </c>
      <c r="F26" s="132">
        <v>4.583</v>
      </c>
      <c r="G26" s="132">
        <v>4.618</v>
      </c>
      <c r="H26" s="132">
        <v>4.673</v>
      </c>
      <c r="I26" s="1"/>
      <c r="J26" s="1"/>
      <c r="K26" s="1"/>
      <c r="L26" s="15" t="s">
        <v>86</v>
      </c>
      <c r="M26" s="118">
        <v>25.0</v>
      </c>
      <c r="N26" s="19">
        <f>M26/C7*100000</f>
        <v>129.0255987</v>
      </c>
      <c r="O26" s="118">
        <v>44.0</v>
      </c>
      <c r="P26" s="19">
        <f>O26/D7*100000</f>
        <v>218.3622829</v>
      </c>
      <c r="Q26" s="129">
        <v>26.0</v>
      </c>
      <c r="R26" s="19">
        <f>Q26/E7*100000</f>
        <v>125.0962279</v>
      </c>
      <c r="S26" s="118">
        <v>32.0</v>
      </c>
      <c r="T26" s="19">
        <f>S26/F7*100000</f>
        <v>149.7146065</v>
      </c>
      <c r="U26" s="118">
        <v>19.0</v>
      </c>
      <c r="V26" s="19">
        <f>U26/G7*100000</f>
        <v>86.58008658</v>
      </c>
      <c r="W26" s="118">
        <v>19.0</v>
      </c>
      <c r="X26" s="19">
        <f>W26/H7*100000</f>
        <v>84.66268604</v>
      </c>
      <c r="Y26" s="19">
        <f t="shared" ref="Y26:Z26" si="33">((M26+O26+Q26+S26)/4)</f>
        <v>31.75</v>
      </c>
      <c r="Z26" s="19">
        <f t="shared" si="33"/>
        <v>155.549679</v>
      </c>
      <c r="AA26" s="19">
        <f t="shared" si="3"/>
        <v>25.5</v>
      </c>
      <c r="AB26" s="19">
        <f t="shared" si="4"/>
        <v>85.62138631</v>
      </c>
      <c r="AC26" s="22" t="s">
        <v>28</v>
      </c>
    </row>
    <row r="27" ht="14.25" customHeight="1">
      <c r="A27" s="1"/>
      <c r="B27" s="62" t="s">
        <v>87</v>
      </c>
      <c r="C27" s="132">
        <v>1.477</v>
      </c>
      <c r="D27" s="132">
        <v>1.561</v>
      </c>
      <c r="E27" s="132">
        <v>1.642</v>
      </c>
      <c r="F27" s="132">
        <v>1.727</v>
      </c>
      <c r="G27" s="132">
        <v>1.804</v>
      </c>
      <c r="H27" s="132">
        <v>1.856</v>
      </c>
      <c r="I27" s="1"/>
      <c r="J27" s="1"/>
      <c r="K27" s="1"/>
      <c r="L27" s="15" t="s">
        <v>88</v>
      </c>
      <c r="M27" s="118">
        <v>0.0</v>
      </c>
      <c r="N27" s="19">
        <f>M27/C11*100000</f>
        <v>0</v>
      </c>
      <c r="O27" s="118">
        <v>1.0</v>
      </c>
      <c r="P27" s="19">
        <f>O27/D11*100000</f>
        <v>9924.573243</v>
      </c>
      <c r="Q27" s="129">
        <v>1.0</v>
      </c>
      <c r="R27" s="19">
        <f>Q27/E11*100000</f>
        <v>9632.983335</v>
      </c>
      <c r="S27" s="118">
        <v>2.0</v>
      </c>
      <c r="T27" s="19">
        <f>S27/F11*100000</f>
        <v>18756.44753</v>
      </c>
      <c r="U27" s="118">
        <v>0.0</v>
      </c>
      <c r="V27" s="19">
        <f>U27/G11*100000</f>
        <v>0</v>
      </c>
      <c r="W27" s="118">
        <v>0.0</v>
      </c>
      <c r="X27" s="19">
        <f>W27/H11*100000</f>
        <v>0</v>
      </c>
      <c r="Y27" s="19">
        <f t="shared" ref="Y27:Z27" si="34">((M27+O27+Q27+S27)/4)</f>
        <v>1</v>
      </c>
      <c r="Z27" s="19">
        <f t="shared" si="34"/>
        <v>9578.501027</v>
      </c>
      <c r="AA27" s="19">
        <f t="shared" si="3"/>
        <v>1</v>
      </c>
      <c r="AB27" s="19">
        <f t="shared" si="4"/>
        <v>0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8">
        <v>0.0</v>
      </c>
      <c r="N28" s="19">
        <f>M28/C11*100000</f>
        <v>0</v>
      </c>
      <c r="O28" s="118">
        <v>1.0</v>
      </c>
      <c r="P28" s="19">
        <f>O28/D11*100000</f>
        <v>9924.573243</v>
      </c>
      <c r="Q28" s="129">
        <v>0.0</v>
      </c>
      <c r="R28" s="19">
        <f>Q28/E11*100000</f>
        <v>0</v>
      </c>
      <c r="S28" s="118">
        <v>0.0</v>
      </c>
      <c r="T28" s="19">
        <f>S28/F11*100000</f>
        <v>0</v>
      </c>
      <c r="U28" s="118">
        <v>0.0</v>
      </c>
      <c r="V28" s="19">
        <f>U28/G11*100000</f>
        <v>0</v>
      </c>
      <c r="W28" s="118">
        <v>0.0</v>
      </c>
      <c r="X28" s="19">
        <f>W28/H11*100000</f>
        <v>0</v>
      </c>
      <c r="Y28" s="19">
        <f t="shared" ref="Y28:Z28" si="35">((M28+O28+Q28+S28)/4)</f>
        <v>0.25</v>
      </c>
      <c r="Z28" s="19">
        <f t="shared" si="35"/>
        <v>2481.143311</v>
      </c>
      <c r="AA28" s="19">
        <f t="shared" si="3"/>
        <v>0</v>
      </c>
      <c r="AB28" s="19">
        <f t="shared" si="4"/>
        <v>0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8">
        <v>0.0</v>
      </c>
      <c r="N29" s="19">
        <f>M29/C10*100000</f>
        <v>0</v>
      </c>
      <c r="O29" s="118">
        <v>2.0</v>
      </c>
      <c r="P29" s="19">
        <f>O29/D10*100000</f>
        <v>19853.08716</v>
      </c>
      <c r="Q29" s="129">
        <v>0.0</v>
      </c>
      <c r="R29" s="19">
        <f>Q29/E10*100000</f>
        <v>0</v>
      </c>
      <c r="S29" s="118">
        <v>2.0</v>
      </c>
      <c r="T29" s="19">
        <f>S29/F10*100000</f>
        <v>18672.39287</v>
      </c>
      <c r="U29" s="118">
        <v>0.0</v>
      </c>
      <c r="V29" s="19">
        <f>U29/G10*100000</f>
        <v>0</v>
      </c>
      <c r="W29" s="118">
        <v>0.0</v>
      </c>
      <c r="X29" s="19">
        <f>W29/H10*100000</f>
        <v>0</v>
      </c>
      <c r="Y29" s="19">
        <f t="shared" ref="Y29:Z29" si="36">((M29+O29+Q29+S29)/4)</f>
        <v>1</v>
      </c>
      <c r="Z29" s="19">
        <f t="shared" si="36"/>
        <v>9631.370006</v>
      </c>
      <c r="AA29" s="19">
        <f t="shared" si="3"/>
        <v>1</v>
      </c>
      <c r="AB29" s="19">
        <f t="shared" si="4"/>
        <v>0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8">
        <v>10.0</v>
      </c>
      <c r="N30" s="19">
        <f>M30/C7*100000</f>
        <v>51.61023947</v>
      </c>
      <c r="O30" s="118">
        <v>28.0</v>
      </c>
      <c r="P30" s="19">
        <f>O30/D7*100000</f>
        <v>138.9578164</v>
      </c>
      <c r="Q30" s="129">
        <v>7.0</v>
      </c>
      <c r="R30" s="19">
        <f>Q30/E7*100000</f>
        <v>33.67975366</v>
      </c>
      <c r="S30" s="118">
        <v>2.0</v>
      </c>
      <c r="T30" s="19">
        <f>S30/F7*100000</f>
        <v>9.357162908</v>
      </c>
      <c r="U30" s="118">
        <v>4.0</v>
      </c>
      <c r="V30" s="19">
        <f>U30/G7*100000</f>
        <v>18.22738665</v>
      </c>
      <c r="W30" s="118">
        <v>2.0</v>
      </c>
      <c r="X30" s="19">
        <f>W30/H7*100000</f>
        <v>8.911861688</v>
      </c>
      <c r="Y30" s="19">
        <f t="shared" ref="Y30:Z30" si="37">((M30+O30+Q30+S30)/4)</f>
        <v>11.75</v>
      </c>
      <c r="Z30" s="19">
        <f t="shared" si="37"/>
        <v>58.4012431</v>
      </c>
      <c r="AA30" s="19">
        <f t="shared" si="3"/>
        <v>3</v>
      </c>
      <c r="AB30" s="19">
        <f t="shared" si="4"/>
        <v>13.56962417</v>
      </c>
      <c r="AC30" s="22" t="s">
        <v>28</v>
      </c>
    </row>
    <row r="31" ht="14.25" customHeight="1">
      <c r="A31" s="1"/>
      <c r="B31" s="71" t="s">
        <v>93</v>
      </c>
      <c r="C31" s="126">
        <v>2.126</v>
      </c>
      <c r="D31" s="126">
        <v>2.206</v>
      </c>
      <c r="E31" s="126">
        <v>2.26</v>
      </c>
      <c r="F31" s="126">
        <v>2.301</v>
      </c>
      <c r="G31" s="126">
        <v>2.265</v>
      </c>
      <c r="H31" s="126">
        <v>2.25</v>
      </c>
      <c r="I31" s="1"/>
      <c r="J31" s="1"/>
      <c r="K31" s="1"/>
      <c r="L31" s="15" t="s">
        <v>94</v>
      </c>
      <c r="M31" s="118">
        <v>0.0</v>
      </c>
      <c r="N31" s="19">
        <f>M31/C7*100000</f>
        <v>0</v>
      </c>
      <c r="O31" s="118">
        <v>0.0</v>
      </c>
      <c r="P31" s="19">
        <f>O31/D7*100000</f>
        <v>0</v>
      </c>
      <c r="Q31" s="129">
        <v>0.0</v>
      </c>
      <c r="R31" s="19">
        <f>Q31/E7*100000</f>
        <v>0</v>
      </c>
      <c r="S31" s="118">
        <v>0.0</v>
      </c>
      <c r="T31" s="19">
        <f>S31/F7*100000</f>
        <v>0</v>
      </c>
      <c r="U31" s="118">
        <v>0.0</v>
      </c>
      <c r="V31" s="19">
        <f>U31/G7*100000</f>
        <v>0</v>
      </c>
      <c r="W31" s="118">
        <v>0.0</v>
      </c>
      <c r="X31" s="19">
        <f>W31/H7*100000</f>
        <v>0</v>
      </c>
      <c r="Y31" s="19">
        <f t="shared" ref="Y31:Z31" si="38">((M31+O31+Q31+S31)/4)</f>
        <v>0</v>
      </c>
      <c r="Z31" s="19">
        <f t="shared" si="38"/>
        <v>0</v>
      </c>
      <c r="AA31" s="19">
        <f t="shared" si="3"/>
        <v>0</v>
      </c>
      <c r="AB31" s="19">
        <f t="shared" si="4"/>
        <v>0</v>
      </c>
      <c r="AC31" s="22" t="s">
        <v>28</v>
      </c>
    </row>
    <row r="32" ht="14.25" customHeight="1">
      <c r="A32" s="1"/>
      <c r="B32" s="71" t="s">
        <v>95</v>
      </c>
      <c r="C32" s="126">
        <v>1.933</v>
      </c>
      <c r="D32" s="126">
        <v>2.01</v>
      </c>
      <c r="E32" s="126">
        <v>2.079</v>
      </c>
      <c r="F32" s="126">
        <v>2.148</v>
      </c>
      <c r="G32" s="126">
        <v>2.202</v>
      </c>
      <c r="H32" s="126">
        <v>2.241</v>
      </c>
      <c r="I32" s="1"/>
      <c r="J32" s="1"/>
      <c r="K32" s="1"/>
      <c r="L32" s="15" t="s">
        <v>96</v>
      </c>
      <c r="M32" s="124">
        <v>4.0</v>
      </c>
      <c r="N32" s="72">
        <f>M32/C7*100</f>
        <v>0.02064409579</v>
      </c>
      <c r="O32" s="118">
        <v>7.0</v>
      </c>
      <c r="P32" s="72">
        <f>O32/D7*100</f>
        <v>0.03473945409</v>
      </c>
      <c r="Q32" s="129">
        <v>7.0</v>
      </c>
      <c r="R32" s="72">
        <f>Q32/E7*100</f>
        <v>0.03367975366</v>
      </c>
      <c r="S32" s="124">
        <v>7.0</v>
      </c>
      <c r="T32" s="72">
        <f>S32/F7*100</f>
        <v>0.03275007018</v>
      </c>
      <c r="U32" s="124">
        <v>7.0</v>
      </c>
      <c r="V32" s="72">
        <f>U32/G7*100</f>
        <v>0.03189792663</v>
      </c>
      <c r="W32" s="124">
        <v>3.0</v>
      </c>
      <c r="X32" s="72">
        <f>W32/H7*100</f>
        <v>0.01336779253</v>
      </c>
      <c r="Y32" s="19">
        <f t="shared" ref="Y32:Z32" si="39">((M32+O32+Q32+S32)/4)</f>
        <v>6.25</v>
      </c>
      <c r="Z32" s="74">
        <f t="shared" si="39"/>
        <v>0.03045334343</v>
      </c>
      <c r="AA32" s="19">
        <f t="shared" si="3"/>
        <v>7</v>
      </c>
      <c r="AB32" s="19">
        <f t="shared" si="4"/>
        <v>0.02263285958</v>
      </c>
      <c r="AC32" s="22" t="s">
        <v>57</v>
      </c>
    </row>
    <row r="33" ht="14.25" customHeight="1">
      <c r="A33" s="1"/>
      <c r="B33" s="71" t="s">
        <v>99</v>
      </c>
      <c r="C33" s="126">
        <v>1.904</v>
      </c>
      <c r="D33" s="126">
        <v>1.942</v>
      </c>
      <c r="E33" s="126">
        <v>1.976</v>
      </c>
      <c r="F33" s="126">
        <v>2.011</v>
      </c>
      <c r="G33" s="126">
        <v>2.068</v>
      </c>
      <c r="H33" s="126">
        <v>2.1</v>
      </c>
      <c r="I33" s="1"/>
      <c r="J33" s="1"/>
      <c r="K33" s="1"/>
      <c r="L33" s="15" t="s">
        <v>100</v>
      </c>
      <c r="M33" s="118">
        <v>229.0</v>
      </c>
      <c r="N33" s="19">
        <f>M33/C7*10000</f>
        <v>118.1874484</v>
      </c>
      <c r="O33" s="118">
        <v>482.0</v>
      </c>
      <c r="P33" s="19">
        <f>O33/D7*10000</f>
        <v>239.2059553</v>
      </c>
      <c r="Q33" s="129">
        <v>1223.0</v>
      </c>
      <c r="R33" s="19">
        <f>Q33/E7*10000</f>
        <v>588.4334103</v>
      </c>
      <c r="S33" s="118">
        <v>833.0</v>
      </c>
      <c r="T33" s="19">
        <f>S33/F7*10000</f>
        <v>389.7258351</v>
      </c>
      <c r="U33" s="118">
        <v>1016.0</v>
      </c>
      <c r="V33" s="19">
        <f>U33/G7*10000</f>
        <v>462.9756209</v>
      </c>
      <c r="W33" s="118">
        <v>647.0</v>
      </c>
      <c r="X33" s="19">
        <f>W33/H7*10000</f>
        <v>288.2987256</v>
      </c>
      <c r="Y33" s="19">
        <f t="shared" ref="Y33:Z33" si="40">((M33+O33+Q33+S33)/4)</f>
        <v>691.75</v>
      </c>
      <c r="Z33" s="19">
        <f t="shared" si="40"/>
        <v>333.8881623</v>
      </c>
      <c r="AA33" s="19">
        <f t="shared" si="3"/>
        <v>924.5</v>
      </c>
      <c r="AB33" s="19">
        <f t="shared" si="4"/>
        <v>375.6371732</v>
      </c>
      <c r="AC33" s="22" t="s">
        <v>57</v>
      </c>
    </row>
    <row r="34" ht="14.25" customHeight="1">
      <c r="A34" s="1"/>
      <c r="B34" s="71" t="s">
        <v>101</v>
      </c>
      <c r="C34" s="126">
        <v>4.335</v>
      </c>
      <c r="D34" s="126">
        <v>4.465</v>
      </c>
      <c r="E34" s="126">
        <v>4.537</v>
      </c>
      <c r="F34" s="126">
        <v>4.583</v>
      </c>
      <c r="G34" s="126">
        <v>4.618</v>
      </c>
      <c r="H34" s="126">
        <v>4.673</v>
      </c>
      <c r="I34" s="1"/>
      <c r="J34" s="1"/>
      <c r="K34" s="1"/>
      <c r="L34" s="15" t="s">
        <v>102</v>
      </c>
      <c r="M34" s="118">
        <v>181.0</v>
      </c>
      <c r="N34" s="19">
        <f>M34/C7*10000</f>
        <v>93.41453344</v>
      </c>
      <c r="O34" s="118">
        <v>349.0</v>
      </c>
      <c r="P34" s="19">
        <f>O34/D7*10000</f>
        <v>173.2009926</v>
      </c>
      <c r="Q34" s="129">
        <v>513.0</v>
      </c>
      <c r="R34" s="19">
        <f>Q34/E7*10000</f>
        <v>246.8244804</v>
      </c>
      <c r="S34" s="118">
        <v>199.0</v>
      </c>
      <c r="T34" s="19">
        <f>S34/F7*10000</f>
        <v>93.10377094</v>
      </c>
      <c r="U34" s="118">
        <v>658.0</v>
      </c>
      <c r="V34" s="19">
        <f>U34/G7*10000</f>
        <v>299.8405104</v>
      </c>
      <c r="W34" s="118">
        <v>374.0</v>
      </c>
      <c r="X34" s="19">
        <f>W34/H7*10000</f>
        <v>166.6518136</v>
      </c>
      <c r="Y34" s="19">
        <f t="shared" ref="Y34:Z34" si="41">((M34+O34+Q34+S34)/4)</f>
        <v>310.5</v>
      </c>
      <c r="Z34" s="19">
        <f t="shared" si="41"/>
        <v>151.6359443</v>
      </c>
      <c r="AA34" s="19">
        <f t="shared" si="3"/>
        <v>428.5</v>
      </c>
      <c r="AB34" s="19">
        <f t="shared" si="4"/>
        <v>233.246162</v>
      </c>
      <c r="AC34" s="22" t="s">
        <v>57</v>
      </c>
    </row>
    <row r="35" ht="14.25" customHeight="1">
      <c r="A35" s="1"/>
      <c r="B35" s="71" t="s">
        <v>103</v>
      </c>
      <c r="C35" s="126">
        <v>7.601</v>
      </c>
      <c r="D35" s="126">
        <v>7.966</v>
      </c>
      <c r="E35" s="126">
        <v>8.29</v>
      </c>
      <c r="F35" s="126">
        <v>8.604</v>
      </c>
      <c r="G35" s="126">
        <v>8.988</v>
      </c>
      <c r="H35" s="126">
        <v>9.322</v>
      </c>
      <c r="I35" s="1"/>
      <c r="J35" s="1"/>
      <c r="K35" s="1"/>
      <c r="L35" s="15" t="s">
        <v>104</v>
      </c>
      <c r="M35" s="118">
        <v>28.0</v>
      </c>
      <c r="N35" s="19">
        <f>M35/M4*1000</f>
        <v>99.64412811</v>
      </c>
      <c r="O35" s="118">
        <v>33.0</v>
      </c>
      <c r="P35" s="19">
        <f>O35/O4*1000</f>
        <v>127.9069767</v>
      </c>
      <c r="Q35" s="129">
        <v>26.0</v>
      </c>
      <c r="R35" s="19">
        <f>Q35/Q4*1000</f>
        <v>108.3333333</v>
      </c>
      <c r="S35" s="118">
        <v>4.0</v>
      </c>
      <c r="T35" s="19">
        <f>S35/S4*1000</f>
        <v>16.39344262</v>
      </c>
      <c r="U35" s="118">
        <v>21.0</v>
      </c>
      <c r="V35" s="19">
        <f>U35/U4*1000</f>
        <v>87.13692946</v>
      </c>
      <c r="W35" s="118">
        <v>18.0</v>
      </c>
      <c r="X35" s="19">
        <f>W35/W4*1000</f>
        <v>134.3283582</v>
      </c>
      <c r="Y35" s="19">
        <f t="shared" ref="Y35:Z35" si="42">((M35+O35+Q35+S35)/4)</f>
        <v>22.75</v>
      </c>
      <c r="Z35" s="19">
        <f t="shared" si="42"/>
        <v>88.0694702</v>
      </c>
      <c r="AA35" s="19">
        <f t="shared" si="3"/>
        <v>12.5</v>
      </c>
      <c r="AB35" s="19">
        <f t="shared" si="4"/>
        <v>110.7326438</v>
      </c>
      <c r="AC35" s="22" t="s">
        <v>57</v>
      </c>
    </row>
    <row r="36" ht="14.25" customHeight="1">
      <c r="A36" s="1"/>
      <c r="B36" s="71" t="s">
        <v>105</v>
      </c>
      <c r="C36" s="126">
        <v>1.477</v>
      </c>
      <c r="D36" s="126">
        <v>1.561</v>
      </c>
      <c r="E36" s="126">
        <v>1.642</v>
      </c>
      <c r="F36" s="126">
        <v>1.727</v>
      </c>
      <c r="G36" s="126">
        <v>1.804</v>
      </c>
      <c r="H36" s="126">
        <v>1.856</v>
      </c>
      <c r="I36" s="1"/>
      <c r="J36" s="1"/>
      <c r="K36" s="1"/>
      <c r="L36" s="15" t="s">
        <v>106</v>
      </c>
      <c r="M36" s="118">
        <v>7.0</v>
      </c>
      <c r="N36" s="19">
        <f>M36/M4*1000</f>
        <v>24.91103203</v>
      </c>
      <c r="O36" s="118">
        <v>1.0</v>
      </c>
      <c r="P36" s="19">
        <f>O36/O4*1000</f>
        <v>3.875968992</v>
      </c>
      <c r="Q36" s="129">
        <v>7.0</v>
      </c>
      <c r="R36" s="19">
        <f>Q36/Q4*1000</f>
        <v>29.16666667</v>
      </c>
      <c r="S36" s="118">
        <v>1.0</v>
      </c>
      <c r="T36" s="19">
        <f>S36/S4*1000</f>
        <v>4.098360656</v>
      </c>
      <c r="U36" s="118">
        <v>7.0</v>
      </c>
      <c r="V36" s="19">
        <f>U36/U4*1000</f>
        <v>29.04564315</v>
      </c>
      <c r="W36" s="118">
        <v>2.0</v>
      </c>
      <c r="X36" s="19">
        <f>W36/W4*1000</f>
        <v>14.92537313</v>
      </c>
      <c r="Y36" s="19">
        <f t="shared" ref="Y36:Z36" si="43">((M36+O36+Q36+S36)/4)</f>
        <v>4</v>
      </c>
      <c r="Z36" s="19">
        <f t="shared" si="43"/>
        <v>15.51300709</v>
      </c>
      <c r="AA36" s="19">
        <f t="shared" si="3"/>
        <v>4</v>
      </c>
      <c r="AB36" s="19">
        <f t="shared" si="4"/>
        <v>21.98550814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18">
        <v>0.0</v>
      </c>
      <c r="N37" s="36"/>
      <c r="O37" s="118">
        <v>0.0</v>
      </c>
      <c r="P37" s="36"/>
      <c r="Q37" s="129">
        <v>0.0</v>
      </c>
      <c r="R37" s="36"/>
      <c r="S37" s="118">
        <v>0.0</v>
      </c>
      <c r="T37" s="36"/>
      <c r="U37" s="118">
        <v>0.0</v>
      </c>
      <c r="V37" s="36"/>
      <c r="W37" s="118">
        <v>0.0</v>
      </c>
      <c r="X37" s="36"/>
      <c r="Y37" s="19">
        <f t="shared" ref="Y37:Z37" si="44">((M37+O37+Q37+S37)/4)</f>
        <v>0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18">
        <v>1.0</v>
      </c>
      <c r="N38" s="19">
        <f>M38/C7*10000</f>
        <v>0.5161023947</v>
      </c>
      <c r="O38" s="118">
        <v>1.0</v>
      </c>
      <c r="P38" s="19">
        <f>O38/E7*10000</f>
        <v>0.481139338</v>
      </c>
      <c r="Q38" s="129">
        <v>0.0</v>
      </c>
      <c r="R38" s="19">
        <f>Q38/E7*10000</f>
        <v>0</v>
      </c>
      <c r="S38" s="118">
        <v>3.0</v>
      </c>
      <c r="T38" s="19">
        <f>S38/F7*10000</f>
        <v>1.403574436</v>
      </c>
      <c r="U38" s="118">
        <v>5.0</v>
      </c>
      <c r="V38" s="19">
        <f>U38/G7*10000</f>
        <v>2.278423331</v>
      </c>
      <c r="W38" s="118">
        <v>10.0</v>
      </c>
      <c r="X38" s="19">
        <f>W38/H7*10000</f>
        <v>4.455930844</v>
      </c>
      <c r="Y38" s="19">
        <f t="shared" ref="Y38:Z38" si="45">((M38+O38+Q38+S38)/4)</f>
        <v>1.25</v>
      </c>
      <c r="Z38" s="19">
        <f t="shared" si="45"/>
        <v>0.6002040422</v>
      </c>
      <c r="AA38" s="19">
        <f t="shared" si="3"/>
        <v>4</v>
      </c>
      <c r="AB38" s="19">
        <f t="shared" si="4"/>
        <v>3.367177088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18">
        <v>27.0</v>
      </c>
      <c r="N39" s="19">
        <f>M39/C17*10000</f>
        <v>40522.28726</v>
      </c>
      <c r="O39" s="118">
        <v>29.0</v>
      </c>
      <c r="P39" s="19">
        <f>O39/D17*10000</f>
        <v>42237.1104</v>
      </c>
      <c r="Q39" s="129">
        <v>52.0</v>
      </c>
      <c r="R39" s="19">
        <f>Q39/E17*100000</f>
        <v>740318.9066</v>
      </c>
      <c r="S39" s="118">
        <v>48.0</v>
      </c>
      <c r="T39" s="19">
        <f>S39/F17*100000</f>
        <v>669082.799</v>
      </c>
      <c r="U39" s="118">
        <v>54.0</v>
      </c>
      <c r="V39" s="19">
        <f>U39/G17*100000</f>
        <v>742778.542</v>
      </c>
      <c r="W39" s="118">
        <v>45.0</v>
      </c>
      <c r="X39" s="19">
        <f>W39/H17*100000</f>
        <v>613580.5836</v>
      </c>
      <c r="Y39" s="19">
        <f t="shared" ref="Y39:Z39" si="46">((M39+O39+Q39+S39)/4)</f>
        <v>39</v>
      </c>
      <c r="Z39" s="19">
        <f t="shared" si="46"/>
        <v>373040.2758</v>
      </c>
      <c r="AA39" s="19">
        <f t="shared" si="3"/>
        <v>51</v>
      </c>
      <c r="AB39" s="19">
        <f t="shared" si="4"/>
        <v>678179.5628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18">
        <v>11.0</v>
      </c>
      <c r="N40" s="19">
        <f>M40/C7*100000</f>
        <v>56.77126342</v>
      </c>
      <c r="O40" s="118">
        <v>10.0</v>
      </c>
      <c r="P40" s="19">
        <f>O40/D7*100000</f>
        <v>49.62779156</v>
      </c>
      <c r="Q40" s="129">
        <v>26.0</v>
      </c>
      <c r="R40" s="19">
        <f>Q40/E7*100000</f>
        <v>125.0962279</v>
      </c>
      <c r="S40" s="118">
        <v>31.0</v>
      </c>
      <c r="T40" s="19">
        <f>S40/F7*100000</f>
        <v>145.0360251</v>
      </c>
      <c r="U40" s="118">
        <v>40.0</v>
      </c>
      <c r="V40" s="19">
        <f>U40/G7*100000</f>
        <v>182.2738665</v>
      </c>
      <c r="W40" s="118">
        <v>17.0</v>
      </c>
      <c r="X40" s="19">
        <f>W40/H7*100000</f>
        <v>75.75082435</v>
      </c>
      <c r="Y40" s="19">
        <f t="shared" ref="Y40:Z40" si="47">((M40+O40+Q40+S40)/4)</f>
        <v>19.5</v>
      </c>
      <c r="Z40" s="19">
        <f t="shared" si="47"/>
        <v>94.13282698</v>
      </c>
      <c r="AA40" s="19">
        <f t="shared" si="3"/>
        <v>35.5</v>
      </c>
      <c r="AB40" s="19">
        <f t="shared" si="4"/>
        <v>129.0123454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24">
        <v>40.0</v>
      </c>
      <c r="N41" s="57">
        <f>M41/C7*10000</f>
        <v>20.64409579</v>
      </c>
      <c r="O41" s="118">
        <v>46.0</v>
      </c>
      <c r="P41" s="57">
        <f>O41/D7*10000</f>
        <v>22.82878412</v>
      </c>
      <c r="Q41" s="129">
        <v>84.0</v>
      </c>
      <c r="R41" s="57">
        <f>Q41/E7*10000</f>
        <v>40.41570439</v>
      </c>
      <c r="S41" s="124">
        <v>49.0</v>
      </c>
      <c r="T41" s="57">
        <f>S41/F7*10000</f>
        <v>22.92504913</v>
      </c>
      <c r="U41" s="124">
        <v>84.0</v>
      </c>
      <c r="V41" s="57">
        <f>U41/G7*10000</f>
        <v>38.27751196</v>
      </c>
      <c r="W41" s="124">
        <v>60.0</v>
      </c>
      <c r="X41" s="57">
        <f>W41/H7*10000</f>
        <v>26.73558506</v>
      </c>
      <c r="Y41" s="19">
        <f t="shared" ref="Y41:Z41" si="48">((M41+O41+Q41+S41)/4)</f>
        <v>54.75</v>
      </c>
      <c r="Z41" s="19">
        <f t="shared" si="48"/>
        <v>26.70340836</v>
      </c>
      <c r="AA41" s="19">
        <f t="shared" si="3"/>
        <v>66.5</v>
      </c>
      <c r="AB41" s="19">
        <f t="shared" si="4"/>
        <v>32.50654851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24">
        <v>14.0</v>
      </c>
      <c r="N42" s="57">
        <f>M42/C7*10000</f>
        <v>7.225433526</v>
      </c>
      <c r="O42" s="118">
        <v>11.0</v>
      </c>
      <c r="P42" s="57">
        <f>O42/D7*10000</f>
        <v>5.459057072</v>
      </c>
      <c r="Q42" s="129">
        <v>18.0</v>
      </c>
      <c r="R42" s="57">
        <f>Q42/E7*10000</f>
        <v>8.660508083</v>
      </c>
      <c r="S42" s="124">
        <v>2.0</v>
      </c>
      <c r="T42" s="57">
        <f>S42/F7*10000</f>
        <v>0.9357162908</v>
      </c>
      <c r="U42" s="124">
        <v>22.0</v>
      </c>
      <c r="V42" s="57">
        <f>U42/G7*10000</f>
        <v>10.02506266</v>
      </c>
      <c r="W42" s="124">
        <v>14.0</v>
      </c>
      <c r="X42" s="57">
        <f>W42/H7*10000</f>
        <v>6.238303182</v>
      </c>
      <c r="Y42" s="19">
        <f t="shared" ref="Y42:Z42" si="49">((M42+O42+Q42+S42)/4)</f>
        <v>11.25</v>
      </c>
      <c r="Z42" s="19">
        <f t="shared" si="49"/>
        <v>5.570178743</v>
      </c>
      <c r="AA42" s="19">
        <f t="shared" si="3"/>
        <v>12</v>
      </c>
      <c r="AB42" s="19">
        <f t="shared" si="4"/>
        <v>8.131682919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24">
        <v>31.0</v>
      </c>
      <c r="N43" s="57">
        <f>M43/C16*10000</f>
        <v>21545.73255</v>
      </c>
      <c r="O43" s="118">
        <v>37.0</v>
      </c>
      <c r="P43" s="57">
        <f>O43/D16*10000</f>
        <v>24696.30223</v>
      </c>
      <c r="Q43" s="129">
        <v>66.0</v>
      </c>
      <c r="R43" s="57">
        <f>Q43/E16*100000</f>
        <v>426632.1913</v>
      </c>
      <c r="S43" s="124">
        <v>65.0</v>
      </c>
      <c r="T43" s="57">
        <f>S43/F16*100000</f>
        <v>408112.0111</v>
      </c>
      <c r="U43" s="124">
        <v>82.0</v>
      </c>
      <c r="V43" s="57">
        <f>U43/G16*100000</f>
        <v>498328.7754</v>
      </c>
      <c r="W43" s="124">
        <v>52.0</v>
      </c>
      <c r="X43" s="57">
        <f>W43/H16*100000</f>
        <v>307510.3489</v>
      </c>
      <c r="Y43" s="19">
        <f t="shared" ref="Y43:Z43" si="50">((M43+O43+Q43+S43)/4)</f>
        <v>49.75</v>
      </c>
      <c r="Z43" s="19">
        <f t="shared" si="50"/>
        <v>220246.5593</v>
      </c>
      <c r="AA43" s="19">
        <f t="shared" si="3"/>
        <v>73.5</v>
      </c>
      <c r="AB43" s="19">
        <f t="shared" si="4"/>
        <v>402919.5622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13.0</v>
      </c>
      <c r="N44" s="57">
        <f>M44/C7*100000</f>
        <v>67.09331131</v>
      </c>
      <c r="O44" s="118">
        <v>25.0</v>
      </c>
      <c r="P44" s="57">
        <f>O44/D7*100000</f>
        <v>124.0694789</v>
      </c>
      <c r="Q44" s="118">
        <v>20.0</v>
      </c>
      <c r="R44" s="19">
        <f>Q44/E7*100000</f>
        <v>96.22786759</v>
      </c>
      <c r="S44" s="118">
        <v>14.0</v>
      </c>
      <c r="T44" s="19">
        <f>S44/F7*100000</f>
        <v>65.50014036</v>
      </c>
      <c r="U44" s="118">
        <v>16.0</v>
      </c>
      <c r="V44" s="19">
        <f>U44/G7*100000</f>
        <v>72.90954659</v>
      </c>
      <c r="W44" s="118">
        <v>13.0</v>
      </c>
      <c r="X44" s="19">
        <f>W44/H7*100000</f>
        <v>57.92710097</v>
      </c>
      <c r="Y44" s="19">
        <f t="shared" ref="Y44:Z44" si="51">((M44+O44+Q44+S44)/4)</f>
        <v>18</v>
      </c>
      <c r="Z44" s="19">
        <f t="shared" si="51"/>
        <v>88.22269954</v>
      </c>
      <c r="AA44" s="19">
        <f t="shared" si="3"/>
        <v>15</v>
      </c>
      <c r="AB44" s="19">
        <f t="shared" si="4"/>
        <v>65.41832378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127">
        <v>281.0</v>
      </c>
      <c r="N45" s="57">
        <f>M45/M4*100</f>
        <v>100</v>
      </c>
      <c r="O45" s="118">
        <v>255.0</v>
      </c>
      <c r="P45" s="57">
        <f>O45/O4*100</f>
        <v>98.8372093</v>
      </c>
      <c r="Q45" s="118">
        <v>238.0</v>
      </c>
      <c r="R45" s="19">
        <f>Q45/Q4*100</f>
        <v>99.16666667</v>
      </c>
      <c r="S45" s="118">
        <v>242.0</v>
      </c>
      <c r="T45" s="19">
        <f>S45/S4*100</f>
        <v>99.18032787</v>
      </c>
      <c r="U45" s="118">
        <v>241.0</v>
      </c>
      <c r="V45" s="19">
        <f>U45/U4*100</f>
        <v>100</v>
      </c>
      <c r="W45" s="118">
        <v>134.0</v>
      </c>
      <c r="X45" s="19">
        <f>W45/W4*100</f>
        <v>100</v>
      </c>
      <c r="Y45" s="19">
        <f t="shared" ref="Y45:Z45" si="52">((M45+O45+Q45+S45)/4)</f>
        <v>254</v>
      </c>
      <c r="Z45" s="19">
        <f t="shared" si="52"/>
        <v>99.29605096</v>
      </c>
      <c r="AA45" s="19">
        <f t="shared" si="3"/>
        <v>241.5</v>
      </c>
      <c r="AB45" s="19">
        <f t="shared" si="4"/>
        <v>100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127">
        <v>244.0</v>
      </c>
      <c r="N46" s="57">
        <f>M46/M4*100</f>
        <v>86.83274021</v>
      </c>
      <c r="O46" s="118">
        <v>224.0</v>
      </c>
      <c r="P46" s="57">
        <f>O46/O4*100</f>
        <v>86.82170543</v>
      </c>
      <c r="Q46" s="118">
        <v>200.0</v>
      </c>
      <c r="R46" s="19">
        <f>Q46/Q4*100</f>
        <v>83.33333333</v>
      </c>
      <c r="S46" s="118">
        <v>214.0</v>
      </c>
      <c r="T46" s="19">
        <f>S46/S4*100</f>
        <v>87.70491803</v>
      </c>
      <c r="U46" s="118">
        <v>226.0</v>
      </c>
      <c r="V46" s="19">
        <f>U46/U4*100</f>
        <v>93.77593361</v>
      </c>
      <c r="W46" s="118">
        <v>128.0</v>
      </c>
      <c r="X46" s="19">
        <f>W46/W4*100</f>
        <v>95.52238806</v>
      </c>
      <c r="Y46" s="19">
        <f t="shared" ref="Y46:Z46" si="53">((M46+O46+Q46+S46)/4)</f>
        <v>220.5</v>
      </c>
      <c r="Z46" s="19">
        <f t="shared" si="53"/>
        <v>86.17317425</v>
      </c>
      <c r="AA46" s="19">
        <f t="shared" si="3"/>
        <v>220</v>
      </c>
      <c r="AB46" s="19">
        <f t="shared" si="4"/>
        <v>94.64916083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129">
        <v>3.0</v>
      </c>
      <c r="N47" s="19">
        <f>M47/C7*100000</f>
        <v>15.48307184</v>
      </c>
      <c r="O47" s="129">
        <v>1.0</v>
      </c>
      <c r="P47" s="19">
        <f>O47/D7*100000</f>
        <v>4.962779156</v>
      </c>
      <c r="Q47" s="129">
        <v>3.0</v>
      </c>
      <c r="R47" s="19">
        <f>Q47/E7*100000</f>
        <v>14.43418014</v>
      </c>
      <c r="S47" s="118">
        <v>1.0</v>
      </c>
      <c r="T47" s="19">
        <f>S47/F7*100000</f>
        <v>4.678581454</v>
      </c>
      <c r="U47" s="118">
        <v>5.0</v>
      </c>
      <c r="V47" s="19">
        <f>U47/G7*100000</f>
        <v>22.78423331</v>
      </c>
      <c r="W47" s="118">
        <v>1.0</v>
      </c>
      <c r="X47" s="19">
        <f>W47/H7*100000</f>
        <v>4.455930844</v>
      </c>
      <c r="Y47" s="19">
        <f t="shared" ref="Y47:Z47" si="54">((M47+O47+Q47+S47)/4)</f>
        <v>2</v>
      </c>
      <c r="Z47" s="19">
        <f t="shared" si="54"/>
        <v>9.889653148</v>
      </c>
      <c r="AA47" s="19">
        <f t="shared" si="3"/>
        <v>3</v>
      </c>
      <c r="AB47" s="19">
        <f t="shared" si="4"/>
        <v>13.62008208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129">
        <v>3.0</v>
      </c>
      <c r="N48" s="19">
        <f>M48/C7*100000</f>
        <v>15.48307184</v>
      </c>
      <c r="O48" s="118">
        <v>4.0</v>
      </c>
      <c r="P48" s="19">
        <f>O48/D7*100000</f>
        <v>19.85111663</v>
      </c>
      <c r="Q48" s="129">
        <v>1.0</v>
      </c>
      <c r="R48" s="19">
        <f>Q48/E7*100000</f>
        <v>4.81139338</v>
      </c>
      <c r="S48" s="118">
        <v>5.0</v>
      </c>
      <c r="T48" s="19">
        <f>S48/F7*100000</f>
        <v>23.39290727</v>
      </c>
      <c r="U48" s="118">
        <v>2.0</v>
      </c>
      <c r="V48" s="19">
        <f>U48/G7*100000</f>
        <v>9.113693324</v>
      </c>
      <c r="W48" s="118">
        <v>0.0</v>
      </c>
      <c r="X48" s="19">
        <f>W48/H7*100000</f>
        <v>0</v>
      </c>
      <c r="Y48" s="19">
        <f t="shared" ref="Y48:Z48" si="55">((M48+O48+Q48+S48)/4)</f>
        <v>3.25</v>
      </c>
      <c r="Z48" s="19">
        <f t="shared" si="55"/>
        <v>15.88462228</v>
      </c>
      <c r="AA48" s="19">
        <f t="shared" si="3"/>
        <v>3.5</v>
      </c>
      <c r="AB48" s="19">
        <f t="shared" si="4"/>
        <v>4.556846662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29">
        <v>4.0</v>
      </c>
      <c r="N49" s="19">
        <f>M49/C7*100000</f>
        <v>20.64409579</v>
      </c>
      <c r="O49" s="118">
        <v>2.0</v>
      </c>
      <c r="P49" s="19">
        <f>O49/D7*100000</f>
        <v>9.925558313</v>
      </c>
      <c r="Q49" s="129">
        <v>3.0</v>
      </c>
      <c r="R49" s="19">
        <f>Q49/E7*100000</f>
        <v>14.43418014</v>
      </c>
      <c r="S49" s="118">
        <v>0.0</v>
      </c>
      <c r="T49" s="19">
        <f>S49/F7*100000</f>
        <v>0</v>
      </c>
      <c r="U49" s="118">
        <v>2.0</v>
      </c>
      <c r="V49" s="19">
        <f>U49/G7*100000</f>
        <v>9.113693324</v>
      </c>
      <c r="W49" s="118">
        <v>0.0</v>
      </c>
      <c r="X49" s="19">
        <f>W49/H7*100000</f>
        <v>0</v>
      </c>
      <c r="Y49" s="19">
        <f t="shared" ref="Y49:Z49" si="56">((M49+O49+Q49+S49)/4)</f>
        <v>2.25</v>
      </c>
      <c r="Z49" s="19">
        <f t="shared" si="56"/>
        <v>11.25095856</v>
      </c>
      <c r="AA49" s="19">
        <f t="shared" si="3"/>
        <v>1</v>
      </c>
      <c r="AB49" s="19">
        <f t="shared" si="4"/>
        <v>4.556846662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129">
        <v>1.0</v>
      </c>
      <c r="N50" s="19">
        <f>M50/C7*100000</f>
        <v>5.161023947</v>
      </c>
      <c r="O50" s="129">
        <v>1.0</v>
      </c>
      <c r="P50" s="19">
        <f>O50/D7*100000</f>
        <v>4.962779156</v>
      </c>
      <c r="Q50" s="129">
        <v>1.0</v>
      </c>
      <c r="R50" s="19">
        <f>Q50/E7*100000</f>
        <v>4.81139338</v>
      </c>
      <c r="S50" s="118">
        <v>0.0</v>
      </c>
      <c r="T50" s="19">
        <f>S50/F7*100000</f>
        <v>0</v>
      </c>
      <c r="U50" s="118">
        <v>3.0</v>
      </c>
      <c r="V50" s="19">
        <f>U50/G7*100000</f>
        <v>13.67053999</v>
      </c>
      <c r="W50" s="118">
        <v>0.0</v>
      </c>
      <c r="X50" s="19">
        <f>W50/H7*100000</f>
        <v>0</v>
      </c>
      <c r="Y50" s="19">
        <f t="shared" ref="Y50:Z50" si="57">((M50+O50+Q50+S50)/4)</f>
        <v>0.75</v>
      </c>
      <c r="Z50" s="19">
        <f t="shared" si="57"/>
        <v>3.733799121</v>
      </c>
      <c r="AA50" s="19">
        <f t="shared" si="3"/>
        <v>1.5</v>
      </c>
      <c r="AB50" s="19">
        <f t="shared" si="4"/>
        <v>6.835269993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29">
        <v>0.0</v>
      </c>
      <c r="N51" s="19">
        <f>M51/C7*100000</f>
        <v>0</v>
      </c>
      <c r="O51" s="129">
        <v>0.0</v>
      </c>
      <c r="P51" s="19">
        <f>O51/D7*100000</f>
        <v>0</v>
      </c>
      <c r="Q51" s="129">
        <v>0.0</v>
      </c>
      <c r="R51" s="19">
        <f>Q51/E7*100000</f>
        <v>0</v>
      </c>
      <c r="S51" s="118">
        <v>0.0</v>
      </c>
      <c r="T51" s="19">
        <f>S51/F7*100000</f>
        <v>0</v>
      </c>
      <c r="U51" s="118">
        <v>0.0</v>
      </c>
      <c r="V51" s="19">
        <f>U51/G7*100000</f>
        <v>0</v>
      </c>
      <c r="W51" s="118">
        <v>0.0</v>
      </c>
      <c r="X51" s="19">
        <f>W51/H7*100000</f>
        <v>0</v>
      </c>
      <c r="Y51" s="19">
        <f t="shared" ref="Y51:Z51" si="58">((M51+O51+Q51+S51)/4)</f>
        <v>0</v>
      </c>
      <c r="Z51" s="19">
        <f t="shared" si="58"/>
        <v>0</v>
      </c>
      <c r="AA51" s="19">
        <f t="shared" si="3"/>
        <v>0</v>
      </c>
      <c r="AB51" s="19">
        <f t="shared" si="4"/>
        <v>0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29">
        <v>1.0</v>
      </c>
      <c r="N52" s="19">
        <f>M52/C7*100000</f>
        <v>5.161023947</v>
      </c>
      <c r="O52" s="129">
        <v>2.0</v>
      </c>
      <c r="P52" s="19">
        <f>O52/D7*100000</f>
        <v>9.925558313</v>
      </c>
      <c r="Q52" s="129">
        <v>3.0</v>
      </c>
      <c r="R52" s="19">
        <f>Q52/E7*100000</f>
        <v>14.43418014</v>
      </c>
      <c r="S52" s="118">
        <v>3.0</v>
      </c>
      <c r="T52" s="19">
        <f>S52/F7*100000</f>
        <v>14.03574436</v>
      </c>
      <c r="U52" s="118">
        <v>3.0</v>
      </c>
      <c r="V52" s="19">
        <f>U52/G7*100000</f>
        <v>13.67053999</v>
      </c>
      <c r="W52" s="118">
        <v>1.0</v>
      </c>
      <c r="X52" s="19">
        <f>W52/H7*100000</f>
        <v>4.455930844</v>
      </c>
      <c r="Y52" s="19">
        <f t="shared" ref="Y52:Z52" si="59">((M52+O52+Q52+S52)/4)</f>
        <v>2.25</v>
      </c>
      <c r="Z52" s="19">
        <f t="shared" si="59"/>
        <v>10.88912669</v>
      </c>
      <c r="AA52" s="19">
        <f t="shared" si="3"/>
        <v>3</v>
      </c>
      <c r="AB52" s="19">
        <f t="shared" si="4"/>
        <v>9.063235415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129">
        <v>0.0</v>
      </c>
      <c r="N53" s="19">
        <f>M53/C17*100000</f>
        <v>0</v>
      </c>
      <c r="O53" s="129">
        <v>0.0</v>
      </c>
      <c r="P53" s="19">
        <f>O53/D17*100000</f>
        <v>0</v>
      </c>
      <c r="Q53" s="129">
        <v>1.0</v>
      </c>
      <c r="R53" s="19">
        <f>Q53/E17*100000</f>
        <v>14236.90205</v>
      </c>
      <c r="S53" s="118">
        <v>0.0</v>
      </c>
      <c r="T53" s="19">
        <f>S53/F17*100000</f>
        <v>0</v>
      </c>
      <c r="U53" s="118">
        <v>0.0</v>
      </c>
      <c r="V53" s="19">
        <f>U53/G17*100000</f>
        <v>0</v>
      </c>
      <c r="W53" s="118">
        <v>0.0</v>
      </c>
      <c r="X53" s="19">
        <f>W53/H17*100000</f>
        <v>0</v>
      </c>
      <c r="Y53" s="19">
        <f t="shared" ref="Y53:Z53" si="60">((M53+O53+Q53+S53)/4)</f>
        <v>0.25</v>
      </c>
      <c r="Z53" s="19">
        <f t="shared" si="60"/>
        <v>3559.225513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129">
        <v>2.0</v>
      </c>
      <c r="N54" s="19">
        <f>M54/C19*100000</f>
        <v>16891.89189</v>
      </c>
      <c r="O54" s="129">
        <v>0.0</v>
      </c>
      <c r="P54" s="19">
        <f>O54/D19*100000</f>
        <v>0</v>
      </c>
      <c r="Q54" s="129">
        <v>1.0</v>
      </c>
      <c r="R54" s="19">
        <f>Q54/E19*100000</f>
        <v>7820.442637</v>
      </c>
      <c r="S54" s="118">
        <v>0.0</v>
      </c>
      <c r="T54" s="19">
        <f>S54/F19*100000</f>
        <v>0</v>
      </c>
      <c r="U54" s="118">
        <v>1.0</v>
      </c>
      <c r="V54" s="19">
        <f>U54/G19*100000</f>
        <v>7343.222206</v>
      </c>
      <c r="W54" s="118">
        <v>0.0</v>
      </c>
      <c r="X54" s="19">
        <f>W54/H19*100000</f>
        <v>0</v>
      </c>
      <c r="Y54" s="19">
        <f t="shared" ref="Y54:Z54" si="61">((M54+O54+Q54+S54)/4)</f>
        <v>0.75</v>
      </c>
      <c r="Z54" s="19">
        <f t="shared" si="61"/>
        <v>6178.083632</v>
      </c>
      <c r="AA54" s="19">
        <f t="shared" si="3"/>
        <v>0.5</v>
      </c>
      <c r="AB54" s="19">
        <f t="shared" si="4"/>
        <v>3671.611103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129">
        <v>0.0</v>
      </c>
      <c r="N55" s="19">
        <f>M55/C19*100000</f>
        <v>0</v>
      </c>
      <c r="O55" s="129">
        <v>1.0</v>
      </c>
      <c r="P55" s="19">
        <f>O55/D19*100000</f>
        <v>8088.651622</v>
      </c>
      <c r="Q55" s="129">
        <v>0.0</v>
      </c>
      <c r="R55" s="19">
        <f>Q55/E19*100000</f>
        <v>0</v>
      </c>
      <c r="S55" s="118">
        <v>1.0</v>
      </c>
      <c r="T55" s="19">
        <f>S55/F19*100000</f>
        <v>7589.55677</v>
      </c>
      <c r="U55" s="118">
        <v>0.0</v>
      </c>
      <c r="V55" s="19">
        <f>U55/G19*100000</f>
        <v>0</v>
      </c>
      <c r="W55" s="118">
        <v>0.0</v>
      </c>
      <c r="X55" s="19">
        <f>W55/H19*100000</f>
        <v>0</v>
      </c>
      <c r="Y55" s="19">
        <f t="shared" ref="Y55:Z55" si="62">((M55+O55+Q55+S55)/4)</f>
        <v>0.5</v>
      </c>
      <c r="Z55" s="19">
        <f t="shared" si="62"/>
        <v>3919.552098</v>
      </c>
      <c r="AA55" s="19">
        <f t="shared" si="3"/>
        <v>0.5</v>
      </c>
      <c r="AB55" s="19">
        <f t="shared" si="4"/>
        <v>0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29">
        <v>0.0</v>
      </c>
      <c r="N56" s="19">
        <f>M56/C7*100000</f>
        <v>0</v>
      </c>
      <c r="O56" s="129">
        <v>0.0</v>
      </c>
      <c r="P56" s="19">
        <f>O56/D7*100000</f>
        <v>0</v>
      </c>
      <c r="Q56" s="129">
        <v>0.0</v>
      </c>
      <c r="R56" s="19">
        <f>Q56/E7*100000</f>
        <v>0</v>
      </c>
      <c r="S56" s="118">
        <v>0.0</v>
      </c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29">
        <v>0.0</v>
      </c>
      <c r="N57" s="19">
        <f>M57/M4*100000</f>
        <v>0</v>
      </c>
      <c r="O57" s="129">
        <v>0.0</v>
      </c>
      <c r="P57" s="19">
        <f>O57/O4*100000</f>
        <v>0</v>
      </c>
      <c r="Q57" s="129">
        <v>0.0</v>
      </c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127">
        <v>5.0</v>
      </c>
      <c r="N58" s="57">
        <f>M58/C7*100000</f>
        <v>25.80511974</v>
      </c>
      <c r="O58" s="127">
        <v>16.0</v>
      </c>
      <c r="P58" s="57">
        <f>O58/D7*100000</f>
        <v>79.4044665</v>
      </c>
      <c r="Q58" s="127">
        <v>22.0</v>
      </c>
      <c r="R58" s="57">
        <f>Q58/E7*100000</f>
        <v>105.8506543</v>
      </c>
      <c r="S58" s="124">
        <v>15.0</v>
      </c>
      <c r="T58" s="57">
        <f>S58/F7*100000</f>
        <v>70.17872181</v>
      </c>
      <c r="U58" s="124">
        <v>6.0</v>
      </c>
      <c r="V58" s="57">
        <f>U58/G7*100000</f>
        <v>27.34107997</v>
      </c>
      <c r="W58" s="124">
        <v>0.0</v>
      </c>
      <c r="X58" s="57">
        <f>W58/H7*100000</f>
        <v>0</v>
      </c>
      <c r="Y58" s="19">
        <f t="shared" ref="Y58:Z58" si="65">((M58+O58+Q58+S58)/4)</f>
        <v>14.5</v>
      </c>
      <c r="Z58" s="19">
        <f t="shared" si="65"/>
        <v>70.3097406</v>
      </c>
      <c r="AA58" s="19">
        <f t="shared" si="3"/>
        <v>10.5</v>
      </c>
      <c r="AB58" s="19">
        <f t="shared" si="4"/>
        <v>13.67053999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127">
        <v>0.0</v>
      </c>
      <c r="N59" s="57">
        <f>M59/C7*100000</f>
        <v>0</v>
      </c>
      <c r="O59" s="127">
        <v>0.0</v>
      </c>
      <c r="P59" s="57">
        <f>O59/D7*100000</f>
        <v>0</v>
      </c>
      <c r="Q59" s="127">
        <v>0.0</v>
      </c>
      <c r="R59" s="57">
        <f>Q59/E7*100000</f>
        <v>0</v>
      </c>
      <c r="S59" s="137">
        <v>0.0</v>
      </c>
      <c r="T59" s="98">
        <f>S59/F7*100000</f>
        <v>0</v>
      </c>
      <c r="U59" s="137">
        <v>0.0</v>
      </c>
      <c r="V59" s="98">
        <f>U59/G7*100000</f>
        <v>0</v>
      </c>
      <c r="W59" s="137">
        <v>0.0</v>
      </c>
      <c r="X59" s="98">
        <f>W59/H7*100000</f>
        <v>0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>
        <f t="shared" si="4"/>
        <v>0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127">
        <v>0.0</v>
      </c>
      <c r="N60" s="57">
        <f>M60/C17*100000</f>
        <v>0</v>
      </c>
      <c r="O60" s="127">
        <v>3.0</v>
      </c>
      <c r="P60" s="57">
        <f>O60/D17*100000</f>
        <v>43693.56248</v>
      </c>
      <c r="Q60" s="127">
        <v>4.0</v>
      </c>
      <c r="R60" s="57">
        <f>Q60/E17*100000</f>
        <v>56947.6082</v>
      </c>
      <c r="S60" s="124">
        <v>3.0</v>
      </c>
      <c r="T60" s="57">
        <f>S60/F17*100000</f>
        <v>41817.67494</v>
      </c>
      <c r="U60" s="124">
        <v>1.0</v>
      </c>
      <c r="V60" s="57">
        <f>U60/G17*100000</f>
        <v>13755.15818</v>
      </c>
      <c r="W60" s="124">
        <v>0.0</v>
      </c>
      <c r="X60" s="57">
        <f>W60/H17*100000</f>
        <v>0</v>
      </c>
      <c r="Y60" s="99">
        <f>((M60+O60+Q60+S60)/4)</f>
        <v>2.5</v>
      </c>
      <c r="Z60" s="99">
        <f>((N60+P60+R60+T60)/1)</f>
        <v>142458.8456</v>
      </c>
      <c r="AA60" s="19">
        <f t="shared" si="3"/>
        <v>2</v>
      </c>
      <c r="AB60" s="19">
        <f t="shared" si="4"/>
        <v>6877.579092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127">
        <v>27.0</v>
      </c>
      <c r="N61" s="57">
        <f>M61/C15*1000</f>
        <v>12699.90593</v>
      </c>
      <c r="O61" s="127">
        <v>75.0</v>
      </c>
      <c r="P61" s="57">
        <f>O61/D15*1000</f>
        <v>33998.18676</v>
      </c>
      <c r="Q61" s="127">
        <v>94.0</v>
      </c>
      <c r="R61" s="57">
        <f>Q61/E15*1000</f>
        <v>41592.92035</v>
      </c>
      <c r="S61" s="124">
        <v>25.0</v>
      </c>
      <c r="T61" s="57">
        <f>S61/F15*1000</f>
        <v>10864.84137</v>
      </c>
      <c r="U61" s="124">
        <v>64.0</v>
      </c>
      <c r="V61" s="57">
        <f>U61/G15*1000</f>
        <v>28256.07064</v>
      </c>
      <c r="W61" s="124">
        <v>40.0</v>
      </c>
      <c r="X61" s="57">
        <f>W61/H23*1000</f>
        <v>17777.77778</v>
      </c>
      <c r="Y61" s="99">
        <f t="shared" ref="Y61:Z61" si="67">((M61+O61+Q61+S61)/1)</f>
        <v>221</v>
      </c>
      <c r="Z61" s="99">
        <f t="shared" si="67"/>
        <v>99155.85442</v>
      </c>
      <c r="AA61" s="19">
        <f t="shared" si="3"/>
        <v>44.5</v>
      </c>
      <c r="AB61" s="19">
        <f t="shared" si="4"/>
        <v>23016.92421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127">
        <v>35.0</v>
      </c>
      <c r="N62" s="57">
        <f>M62/C15*1000</f>
        <v>16462.84102</v>
      </c>
      <c r="O62" s="127">
        <v>118.0</v>
      </c>
      <c r="P62" s="57">
        <f>O62/D15*1000</f>
        <v>53490.48051</v>
      </c>
      <c r="Q62" s="127">
        <v>254.0</v>
      </c>
      <c r="R62" s="57">
        <f>Q62/E15*1000</f>
        <v>112389.3805</v>
      </c>
      <c r="S62" s="124">
        <v>203.0</v>
      </c>
      <c r="T62" s="57">
        <f>S62/F15*1000</f>
        <v>88222.51195</v>
      </c>
      <c r="U62" s="124">
        <v>174.0</v>
      </c>
      <c r="V62" s="57">
        <f>U62/G15*1000</f>
        <v>76821.19205</v>
      </c>
      <c r="W62" s="124">
        <v>172.0</v>
      </c>
      <c r="X62" s="57">
        <f>W62/H15*1000</f>
        <v>76444.44444</v>
      </c>
      <c r="Y62" s="99">
        <f t="shared" ref="Y62:Z62" si="68">((M62+O62+Q62+S62)/1)</f>
        <v>610</v>
      </c>
      <c r="Z62" s="99">
        <f t="shared" si="68"/>
        <v>270565.214</v>
      </c>
      <c r="AA62" s="19">
        <f t="shared" si="3"/>
        <v>188.5</v>
      </c>
      <c r="AB62" s="19">
        <f t="shared" si="4"/>
        <v>76632.81825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127">
        <v>3.0</v>
      </c>
      <c r="N63" s="57">
        <f>M63/C17*100000</f>
        <v>45024.76362</v>
      </c>
      <c r="O63" s="127">
        <v>2.0</v>
      </c>
      <c r="P63" s="57">
        <f>O63/D17*100000</f>
        <v>29129.04165</v>
      </c>
      <c r="Q63" s="127">
        <v>3.0</v>
      </c>
      <c r="R63" s="57">
        <f>Q63/E17*100000</f>
        <v>42710.70615</v>
      </c>
      <c r="S63" s="124">
        <v>10.0</v>
      </c>
      <c r="T63" s="57">
        <f>S63/F17*100000</f>
        <v>139392.2498</v>
      </c>
      <c r="U63" s="124">
        <v>7.0</v>
      </c>
      <c r="V63" s="57">
        <f>U63/G17*100000</f>
        <v>96286.10729</v>
      </c>
      <c r="W63" s="124">
        <v>7.0</v>
      </c>
      <c r="X63" s="57">
        <f>W63/H17*100000</f>
        <v>95445.86856</v>
      </c>
      <c r="Y63" s="99">
        <f t="shared" ref="Y63:Z63" si="69">((M63+O63+Q63+S63)/1)</f>
        <v>18</v>
      </c>
      <c r="Z63" s="99">
        <f t="shared" si="69"/>
        <v>256256.7612</v>
      </c>
      <c r="AA63" s="19">
        <f t="shared" si="3"/>
        <v>8.5</v>
      </c>
      <c r="AB63" s="19">
        <f t="shared" si="4"/>
        <v>95865.98792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127">
        <v>0.0</v>
      </c>
      <c r="N64" s="57">
        <f>M64/C17*100000</f>
        <v>0</v>
      </c>
      <c r="O64" s="127">
        <v>2.0</v>
      </c>
      <c r="P64" s="57">
        <f>O64/D17*100000</f>
        <v>29129.04165</v>
      </c>
      <c r="Q64" s="127">
        <v>1.0</v>
      </c>
      <c r="R64" s="57">
        <f>Q64/E17*100000</f>
        <v>14236.90205</v>
      </c>
      <c r="S64" s="124">
        <v>2.0</v>
      </c>
      <c r="T64" s="57">
        <f>S64/F17*100000</f>
        <v>27878.44996</v>
      </c>
      <c r="U64" s="139">
        <v>1.0</v>
      </c>
      <c r="V64" s="57">
        <f>U64/G17*100000</f>
        <v>13755.15818</v>
      </c>
      <c r="W64" s="124">
        <v>0.0</v>
      </c>
      <c r="X64" s="57">
        <f>W64/H17*100000</f>
        <v>0</v>
      </c>
      <c r="Y64" s="99">
        <f t="shared" ref="Y64:Z64" si="70">((M64+O64+Q64+S64)/1)</f>
        <v>5</v>
      </c>
      <c r="Z64" s="99">
        <f t="shared" si="70"/>
        <v>71244.39366</v>
      </c>
      <c r="AA64" s="19">
        <f t="shared" si="3"/>
        <v>1.5</v>
      </c>
      <c r="AB64" s="19">
        <f t="shared" si="4"/>
        <v>6877.579092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127">
        <v>8.0</v>
      </c>
      <c r="N65" s="57">
        <f>M65/C17*100000</f>
        <v>120066.0363</v>
      </c>
      <c r="O65" s="127">
        <v>5.0</v>
      </c>
      <c r="P65" s="57">
        <f>O65/D17*100000</f>
        <v>72822.60414</v>
      </c>
      <c r="Q65" s="127">
        <v>15.0</v>
      </c>
      <c r="R65" s="57">
        <f>Q65/E17*100000</f>
        <v>213553.5308</v>
      </c>
      <c r="S65" s="127">
        <v>9.0</v>
      </c>
      <c r="T65" s="57">
        <f>S65/F17*100000</f>
        <v>125453.0248</v>
      </c>
      <c r="U65" s="127">
        <v>7.0</v>
      </c>
      <c r="V65" s="57">
        <f>U65/G17*100000</f>
        <v>96286.10729</v>
      </c>
      <c r="W65" s="124">
        <v>9.0</v>
      </c>
      <c r="X65" s="57">
        <f>W65/H17*100000</f>
        <v>122716.1167</v>
      </c>
      <c r="Y65" s="99">
        <f t="shared" ref="Y65:Z65" si="71">((M65+O65+Q65+S65)/1)</f>
        <v>37</v>
      </c>
      <c r="Z65" s="99">
        <f t="shared" si="71"/>
        <v>531895.196</v>
      </c>
      <c r="AA65" s="19">
        <f t="shared" si="3"/>
        <v>8</v>
      </c>
      <c r="AB65" s="19">
        <f t="shared" si="4"/>
        <v>109501.112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127">
        <v>10.0</v>
      </c>
      <c r="N66" s="57">
        <f>M66/C17*100000</f>
        <v>150082.5454</v>
      </c>
      <c r="O66" s="127">
        <v>10.0</v>
      </c>
      <c r="P66" s="57">
        <f>O66/D17*100000</f>
        <v>145645.2083</v>
      </c>
      <c r="Q66" s="127">
        <v>25.0</v>
      </c>
      <c r="R66" s="57">
        <f>Q66/E17*100000</f>
        <v>355922.5513</v>
      </c>
      <c r="S66" s="127">
        <v>30.0</v>
      </c>
      <c r="T66" s="57">
        <f>S66/F17*100000</f>
        <v>418176.7494</v>
      </c>
      <c r="U66" s="127">
        <v>32.0</v>
      </c>
      <c r="V66" s="57">
        <f>U66/G17*100000</f>
        <v>440165.0619</v>
      </c>
      <c r="W66" s="124">
        <v>16.0</v>
      </c>
      <c r="X66" s="57">
        <f>W66/H17*100000</f>
        <v>218161.9853</v>
      </c>
      <c r="Y66" s="99">
        <f t="shared" ref="Y66:Z66" si="72">((M66+O66+Q66+S66)/1)</f>
        <v>75</v>
      </c>
      <c r="Z66" s="99">
        <f t="shared" si="72"/>
        <v>1069827.054</v>
      </c>
      <c r="AA66" s="19">
        <f t="shared" si="3"/>
        <v>31</v>
      </c>
      <c r="AB66" s="19">
        <f t="shared" si="4"/>
        <v>329163.5236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127">
        <v>3.0</v>
      </c>
      <c r="N67" s="57">
        <f>M67/C17*100000</f>
        <v>45024.76362</v>
      </c>
      <c r="O67" s="127">
        <v>0.0</v>
      </c>
      <c r="P67" s="57">
        <f>O67/D17*100000</f>
        <v>0</v>
      </c>
      <c r="Q67" s="127">
        <v>1.0</v>
      </c>
      <c r="R67" s="57">
        <f>Q67/E17*100000</f>
        <v>14236.90205</v>
      </c>
      <c r="S67" s="127">
        <v>1.0</v>
      </c>
      <c r="T67" s="57">
        <f>S67/F17*100000</f>
        <v>13939.22498</v>
      </c>
      <c r="U67" s="127">
        <v>4.0</v>
      </c>
      <c r="V67" s="57">
        <f>U67/G17*100000</f>
        <v>55020.63274</v>
      </c>
      <c r="W67" s="124">
        <v>1.0</v>
      </c>
      <c r="X67" s="57">
        <f>W67/H17*100000</f>
        <v>13635.12408</v>
      </c>
      <c r="Y67" s="99">
        <f t="shared" ref="Y67:Z67" si="73">((M67+O67+Q67+S67)/1)</f>
        <v>5</v>
      </c>
      <c r="Z67" s="99">
        <f t="shared" si="73"/>
        <v>73200.89065</v>
      </c>
      <c r="AA67" s="19">
        <f t="shared" si="3"/>
        <v>2.5</v>
      </c>
      <c r="AB67" s="19">
        <f t="shared" si="4"/>
        <v>34327.87841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127">
        <v>0.0</v>
      </c>
      <c r="N68" s="57">
        <f>M68/C11*100000</f>
        <v>0</v>
      </c>
      <c r="O68" s="127">
        <v>2.0</v>
      </c>
      <c r="P68" s="57">
        <f>O68/D11*100000</f>
        <v>19849.14649</v>
      </c>
      <c r="Q68" s="127">
        <v>2.0</v>
      </c>
      <c r="R68" s="57">
        <f>Q68/E11*100000</f>
        <v>19265.96667</v>
      </c>
      <c r="S68" s="127">
        <v>1.0</v>
      </c>
      <c r="T68" s="57">
        <f>S68/F11*100000</f>
        <v>9378.223764</v>
      </c>
      <c r="U68" s="127">
        <v>1.0</v>
      </c>
      <c r="V68" s="57">
        <f>U68/G11*100000</f>
        <v>9138.261903</v>
      </c>
      <c r="W68" s="124">
        <v>2.0</v>
      </c>
      <c r="X68" s="57">
        <f>W68/H11*100000</f>
        <v>17885.88803</v>
      </c>
      <c r="Y68" s="99">
        <f t="shared" ref="Y68:Z68" si="74">((M68+O68+Q68+S68)/2)</f>
        <v>2.5</v>
      </c>
      <c r="Z68" s="99">
        <f t="shared" si="74"/>
        <v>24246.66846</v>
      </c>
      <c r="AA68" s="19">
        <f t="shared" si="3"/>
        <v>1</v>
      </c>
      <c r="AB68" s="19">
        <f t="shared" si="4"/>
        <v>13512.07497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127">
        <v>0.0</v>
      </c>
      <c r="N69" s="57">
        <f>M69/C11*100000</f>
        <v>0</v>
      </c>
      <c r="O69" s="127">
        <v>2.0</v>
      </c>
      <c r="P69" s="57">
        <f>O69/D11*100000</f>
        <v>19849.14649</v>
      </c>
      <c r="Q69" s="127">
        <v>3.0</v>
      </c>
      <c r="R69" s="57">
        <f>Q69/E11*100000</f>
        <v>28898.95</v>
      </c>
      <c r="S69" s="127">
        <v>1.0</v>
      </c>
      <c r="T69" s="57">
        <f>S69/F11*100000</f>
        <v>9378.223764</v>
      </c>
      <c r="U69" s="127">
        <v>2.0</v>
      </c>
      <c r="V69" s="57">
        <f>U69/G11*100000</f>
        <v>18276.52381</v>
      </c>
      <c r="W69" s="124">
        <v>1.0</v>
      </c>
      <c r="X69" s="57">
        <f>W69/H11*100000</f>
        <v>8942.944017</v>
      </c>
      <c r="Y69" s="19">
        <f t="shared" ref="Y69:Z69" si="75">((M69+O69+Q69+S69)/2)</f>
        <v>3</v>
      </c>
      <c r="Z69" s="19">
        <f t="shared" si="75"/>
        <v>29063.16013</v>
      </c>
      <c r="AA69" s="19">
        <f t="shared" si="3"/>
        <v>1.5</v>
      </c>
      <c r="AB69" s="19">
        <f t="shared" si="4"/>
        <v>13609.73391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43">
        <v>2.0</v>
      </c>
      <c r="N70" s="98">
        <f>M70/C7*100000</f>
        <v>10.32204789</v>
      </c>
      <c r="O70" s="143">
        <v>1.0</v>
      </c>
      <c r="P70" s="98">
        <f>O70/D7*100000</f>
        <v>4.962779156</v>
      </c>
      <c r="Q70" s="143">
        <v>5.0</v>
      </c>
      <c r="R70" s="98">
        <f>Q70/E7*100000</f>
        <v>24.0569669</v>
      </c>
      <c r="S70" s="143">
        <v>2.0</v>
      </c>
      <c r="T70" s="98">
        <f>S70/F7*100000</f>
        <v>9.357162908</v>
      </c>
      <c r="U70" s="143">
        <v>0.0</v>
      </c>
      <c r="V70" s="98">
        <f>U70/G7*100000</f>
        <v>0</v>
      </c>
      <c r="W70" s="137">
        <v>0.0</v>
      </c>
      <c r="X70" s="98">
        <f>W70/H7*100000</f>
        <v>0</v>
      </c>
      <c r="Y70" s="99">
        <f t="shared" ref="Y70:Z70" si="76">((M70+O70+Q70+S70)/1)</f>
        <v>10</v>
      </c>
      <c r="Z70" s="99">
        <f t="shared" si="76"/>
        <v>48.69895686</v>
      </c>
      <c r="AA70" s="99">
        <f t="shared" si="3"/>
        <v>1</v>
      </c>
      <c r="AB70" s="99">
        <f t="shared" si="4"/>
        <v>0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0.43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5.25" customHeight="1">
      <c r="B1" s="2"/>
      <c r="C1" s="3" t="s">
        <v>0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30" t="s">
        <v>146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18">
        <v>72.0</v>
      </c>
      <c r="N3" s="19">
        <f>M3/C7*1000</f>
        <v>4.954582989</v>
      </c>
      <c r="O3" s="118">
        <v>102.0</v>
      </c>
      <c r="P3" s="19">
        <f>O3/D7*1000</f>
        <v>6.750943146</v>
      </c>
      <c r="Q3" s="129">
        <v>75.0</v>
      </c>
      <c r="R3" s="19">
        <f>Q3/E7*1000</f>
        <v>4.812319538</v>
      </c>
      <c r="S3" s="118">
        <v>72.0</v>
      </c>
      <c r="T3" s="19">
        <f>S3/F7*1000</f>
        <v>4.492419043</v>
      </c>
      <c r="U3" s="118">
        <v>76.0</v>
      </c>
      <c r="V3" s="19">
        <f>U3/G7*1000</f>
        <v>4.644341237</v>
      </c>
      <c r="W3" s="118">
        <v>41.0</v>
      </c>
      <c r="X3" s="19">
        <f>W3/H7*1000</f>
        <v>2.460393663</v>
      </c>
      <c r="Y3" s="19">
        <f t="shared" ref="Y3:Z3" si="1">((M3+O3+Q3+S3)/4)</f>
        <v>80.25</v>
      </c>
      <c r="Z3" s="19">
        <f t="shared" si="1"/>
        <v>5.252566179</v>
      </c>
      <c r="AA3" s="19">
        <f t="shared" ref="AA3:AA70" si="3">((S3+U3)/2)</f>
        <v>74</v>
      </c>
      <c r="AB3" s="19">
        <f t="shared" ref="AB3:AB70" si="4">(V3+X3)/2</f>
        <v>3.55236745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J4" s="1"/>
      <c r="K4" s="1"/>
      <c r="L4" s="15" t="s">
        <v>29</v>
      </c>
      <c r="M4" s="118">
        <v>225.0</v>
      </c>
      <c r="N4" s="19">
        <f>M4/C7*1000</f>
        <v>15.48307184</v>
      </c>
      <c r="O4" s="118">
        <v>229.0</v>
      </c>
      <c r="P4" s="19">
        <f>O4/D7*1000</f>
        <v>15.15652922</v>
      </c>
      <c r="Q4" s="129">
        <v>272.0</v>
      </c>
      <c r="R4" s="19">
        <f>Q4/E7*1000</f>
        <v>17.45267886</v>
      </c>
      <c r="S4" s="118">
        <v>237.0</v>
      </c>
      <c r="T4" s="19">
        <f>S4/F7*1000</f>
        <v>14.78754602</v>
      </c>
      <c r="U4" s="118">
        <v>199.0</v>
      </c>
      <c r="V4" s="19">
        <f>U4/G7*1000</f>
        <v>12.16084087</v>
      </c>
      <c r="W4" s="118">
        <v>96.0</v>
      </c>
      <c r="X4" s="19">
        <f>W4/H7*1000</f>
        <v>5.760921747</v>
      </c>
      <c r="Y4" s="19">
        <f t="shared" ref="Y4:Z4" si="2">((M4+O4+Q4+S4)/4)</f>
        <v>240.75</v>
      </c>
      <c r="Z4" s="19">
        <f t="shared" si="2"/>
        <v>15.71995648</v>
      </c>
      <c r="AA4" s="19">
        <f t="shared" si="3"/>
        <v>218</v>
      </c>
      <c r="AB4" s="19">
        <f t="shared" si="4"/>
        <v>8.960881309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8">
        <v>0.0</v>
      </c>
      <c r="N5" s="19">
        <f>M5/C12*100000</f>
        <v>0</v>
      </c>
      <c r="O5" s="118">
        <v>0.0</v>
      </c>
      <c r="P5" s="19">
        <f>O5/D12*100000</f>
        <v>0</v>
      </c>
      <c r="Q5" s="129">
        <v>0.0</v>
      </c>
      <c r="R5" s="19">
        <f>Q5/E12*100000</f>
        <v>0</v>
      </c>
      <c r="S5" s="118">
        <v>1.0</v>
      </c>
      <c r="T5" s="19">
        <f>S5/F12*100000</f>
        <v>421.9409283</v>
      </c>
      <c r="U5" s="118">
        <v>0.0</v>
      </c>
      <c r="V5" s="19">
        <f>U5/G12*100000</f>
        <v>0</v>
      </c>
      <c r="W5" s="118">
        <v>0.0</v>
      </c>
      <c r="X5" s="19">
        <f>W5/H12*100000</f>
        <v>0</v>
      </c>
      <c r="Y5" s="19">
        <f t="shared" ref="Y5:Z5" si="5">((M5+O5+Q5+S5)/4)</f>
        <v>0.25</v>
      </c>
      <c r="Z5" s="19">
        <f t="shared" si="5"/>
        <v>105.4852321</v>
      </c>
      <c r="AA5" s="19">
        <f t="shared" si="3"/>
        <v>0.5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8">
        <v>4.0</v>
      </c>
      <c r="N6" s="19">
        <f>M6/M4*1000</f>
        <v>17.77777778</v>
      </c>
      <c r="O6" s="118">
        <v>9.0</v>
      </c>
      <c r="P6" s="19">
        <f>O6/O4*1000</f>
        <v>39.30131004</v>
      </c>
      <c r="Q6" s="129">
        <v>7.0</v>
      </c>
      <c r="R6" s="19">
        <f>Q6/Q4*1000</f>
        <v>25.73529412</v>
      </c>
      <c r="S6" s="118">
        <v>5.0</v>
      </c>
      <c r="T6" s="19">
        <f>S6/S4*1000</f>
        <v>21.09704641</v>
      </c>
      <c r="U6" s="118">
        <v>1.0</v>
      </c>
      <c r="V6" s="19">
        <f>U6/U4*1000</f>
        <v>5.025125628</v>
      </c>
      <c r="W6" s="118">
        <v>1.0</v>
      </c>
      <c r="X6" s="19">
        <f>W6/W4*1000</f>
        <v>10.41666667</v>
      </c>
      <c r="Y6" s="19">
        <f t="shared" ref="Y6:Z6" si="6">((M6+O6+Q6+S6)/4)</f>
        <v>6.25</v>
      </c>
      <c r="Z6" s="19">
        <f t="shared" si="6"/>
        <v>25.97785709</v>
      </c>
      <c r="AA6" s="19">
        <f t="shared" si="3"/>
        <v>3</v>
      </c>
      <c r="AB6" s="19">
        <f t="shared" si="4"/>
        <v>7.720896147</v>
      </c>
      <c r="AC6" s="22" t="s">
        <v>28</v>
      </c>
    </row>
    <row r="7" ht="14.25" customHeight="1">
      <c r="A7" s="1"/>
      <c r="B7" s="32" t="s">
        <v>41</v>
      </c>
      <c r="C7" s="131">
        <v>14532.0</v>
      </c>
      <c r="D7" s="131">
        <v>15109.0</v>
      </c>
      <c r="E7" s="131">
        <v>15585.0</v>
      </c>
      <c r="F7" s="131">
        <v>16027.0</v>
      </c>
      <c r="G7" s="131">
        <v>16364.0</v>
      </c>
      <c r="H7" s="131">
        <v>16664.0</v>
      </c>
      <c r="I7" s="1"/>
      <c r="J7" s="1"/>
      <c r="K7" s="1"/>
      <c r="L7" s="15" t="s">
        <v>42</v>
      </c>
      <c r="M7" s="118">
        <v>2.0</v>
      </c>
      <c r="N7" s="36"/>
      <c r="O7" s="118">
        <v>6.0</v>
      </c>
      <c r="P7" s="36"/>
      <c r="Q7" s="129">
        <v>4.0</v>
      </c>
      <c r="R7" s="36"/>
      <c r="S7" s="118">
        <v>0.0</v>
      </c>
      <c r="T7" s="36"/>
      <c r="U7" s="118">
        <v>4.0</v>
      </c>
      <c r="V7" s="36"/>
      <c r="W7" s="118">
        <v>2.0</v>
      </c>
      <c r="X7" s="36"/>
      <c r="Y7" s="19">
        <f t="shared" ref="Y7:Z7" si="7">((M7+O7+Q7+S7)/4)</f>
        <v>3</v>
      </c>
      <c r="Z7" s="19">
        <f t="shared" si="7"/>
        <v>0</v>
      </c>
      <c r="AA7" s="19">
        <f t="shared" si="3"/>
        <v>2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131">
        <v>7211.0</v>
      </c>
      <c r="D8" s="131">
        <v>7764.0</v>
      </c>
      <c r="E8" s="131">
        <v>8224.0</v>
      </c>
      <c r="F8" s="131">
        <v>8652.0</v>
      </c>
      <c r="G8" s="131">
        <v>8971.0</v>
      </c>
      <c r="H8" s="131">
        <v>9260.0</v>
      </c>
      <c r="I8" s="1"/>
      <c r="J8" s="1"/>
      <c r="K8" s="1"/>
      <c r="L8" s="15" t="s">
        <v>45</v>
      </c>
      <c r="M8" s="118">
        <v>0.0</v>
      </c>
      <c r="N8" s="19">
        <f>M8/C15*1000</f>
        <v>0</v>
      </c>
      <c r="O8" s="118">
        <v>0.0</v>
      </c>
      <c r="P8" s="19">
        <f>O8/D15*1000</f>
        <v>0</v>
      </c>
      <c r="Q8" s="129">
        <v>0.0</v>
      </c>
      <c r="R8" s="19">
        <f>Q8/E15*1000</f>
        <v>0</v>
      </c>
      <c r="S8" s="118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31">
        <v>7321.0</v>
      </c>
      <c r="D9" s="133">
        <v>7345.0</v>
      </c>
      <c r="E9" s="131">
        <v>7361.0</v>
      </c>
      <c r="F9" s="131">
        <v>7375.0</v>
      </c>
      <c r="G9" s="131">
        <v>7393.0</v>
      </c>
      <c r="H9" s="134">
        <v>7404.0</v>
      </c>
      <c r="I9" s="1"/>
      <c r="J9" s="1"/>
      <c r="K9" s="1"/>
      <c r="L9" s="15" t="s">
        <v>48</v>
      </c>
      <c r="M9" s="118">
        <v>4.0</v>
      </c>
      <c r="N9" s="19">
        <f>M9/C7*100000</f>
        <v>27.52546105</v>
      </c>
      <c r="O9" s="118">
        <v>12.0</v>
      </c>
      <c r="P9" s="19">
        <f>O9/D7*100000</f>
        <v>79.42286055</v>
      </c>
      <c r="Q9" s="129">
        <v>6.0</v>
      </c>
      <c r="R9" s="19">
        <f>Q9/E7*100000</f>
        <v>38.4985563</v>
      </c>
      <c r="S9" s="118">
        <v>11.0</v>
      </c>
      <c r="T9" s="19">
        <f>S9/F7*100000</f>
        <v>68.63417982</v>
      </c>
      <c r="U9" s="118">
        <v>4.0</v>
      </c>
      <c r="V9" s="19">
        <f>U9/G7*100000</f>
        <v>24.44390125</v>
      </c>
      <c r="W9" s="118">
        <v>6.0</v>
      </c>
      <c r="X9" s="19">
        <f>W9/H7*100000</f>
        <v>36.00576092</v>
      </c>
      <c r="Y9" s="19">
        <f t="shared" ref="Y9:Z9" si="9">((M9+O9+Q9+S9)/4)</f>
        <v>8.25</v>
      </c>
      <c r="Z9" s="19">
        <f t="shared" si="9"/>
        <v>53.52026443</v>
      </c>
      <c r="AA9" s="19">
        <f t="shared" si="3"/>
        <v>7.5</v>
      </c>
      <c r="AB9" s="19">
        <f t="shared" si="4"/>
        <v>30.22483108</v>
      </c>
      <c r="AC9" s="22" t="s">
        <v>28</v>
      </c>
    </row>
    <row r="10" ht="14.25" customHeight="1">
      <c r="A10" s="1"/>
      <c r="B10" s="32" t="s">
        <v>50</v>
      </c>
      <c r="C10" s="131">
        <v>7203.0</v>
      </c>
      <c r="D10" s="131">
        <v>7481.0</v>
      </c>
      <c r="E10" s="131">
        <v>7711.0</v>
      </c>
      <c r="F10" s="136">
        <v>7927.0</v>
      </c>
      <c r="G10" s="133">
        <v>8095.0</v>
      </c>
      <c r="H10" s="134">
        <v>8245.0</v>
      </c>
      <c r="I10" s="1"/>
      <c r="J10" s="1"/>
      <c r="K10" s="1"/>
      <c r="L10" s="15" t="s">
        <v>51</v>
      </c>
      <c r="M10" s="118">
        <v>0.0</v>
      </c>
      <c r="N10" s="19">
        <f>M10/C15*100000</f>
        <v>0</v>
      </c>
      <c r="O10" s="118">
        <v>0.0</v>
      </c>
      <c r="P10" s="19">
        <f t="shared" ref="P10:P11" si="11">O10/D15*100000</f>
        <v>0</v>
      </c>
      <c r="Q10" s="129">
        <v>0.0</v>
      </c>
      <c r="R10" s="19">
        <f>Q10/E15*100000</f>
        <v>0</v>
      </c>
      <c r="S10" s="118">
        <v>0.0</v>
      </c>
      <c r="T10" s="19">
        <f>S10/F15*100000</f>
        <v>0</v>
      </c>
      <c r="U10" s="118">
        <v>0.0</v>
      </c>
      <c r="V10" s="19">
        <f>U10/G15*100000</f>
        <v>0</v>
      </c>
      <c r="W10" s="118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131">
        <v>7329.0</v>
      </c>
      <c r="D11" s="131">
        <v>7628.0</v>
      </c>
      <c r="E11" s="131">
        <v>7874.0</v>
      </c>
      <c r="F11" s="136">
        <v>8100.0</v>
      </c>
      <c r="G11" s="133">
        <v>8269.0</v>
      </c>
      <c r="H11" s="134">
        <v>8419.0</v>
      </c>
      <c r="I11" s="1"/>
      <c r="J11" s="1"/>
      <c r="K11" s="1"/>
      <c r="L11" s="15" t="s">
        <v>53</v>
      </c>
      <c r="M11" s="118">
        <v>0.0</v>
      </c>
      <c r="N11" s="19">
        <f>M11/C15*100000</f>
        <v>0</v>
      </c>
      <c r="O11" s="118">
        <v>0.0</v>
      </c>
      <c r="P11" s="19">
        <f t="shared" si="11"/>
        <v>0</v>
      </c>
      <c r="Q11" s="129">
        <v>0.0</v>
      </c>
      <c r="R11" s="19">
        <f>Q11/F16*100000</f>
        <v>0</v>
      </c>
      <c r="S11" s="118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33">
        <v>225.0</v>
      </c>
      <c r="D12" s="131">
        <v>229.0</v>
      </c>
      <c r="E12" s="133">
        <v>272.0</v>
      </c>
      <c r="F12" s="133">
        <v>237.0</v>
      </c>
      <c r="G12" s="131">
        <v>199.0</v>
      </c>
      <c r="H12" s="134">
        <v>96.0</v>
      </c>
      <c r="I12" s="1"/>
      <c r="J12" s="1"/>
      <c r="K12" s="1"/>
      <c r="L12" s="15" t="s">
        <v>55</v>
      </c>
      <c r="M12" s="118">
        <v>49.0</v>
      </c>
      <c r="N12" s="19">
        <f>M12/C7*100000</f>
        <v>337.1868979</v>
      </c>
      <c r="O12" s="118">
        <v>26.0</v>
      </c>
      <c r="P12" s="19">
        <f>O12/D7*100000</f>
        <v>172.0828645</v>
      </c>
      <c r="Q12" s="129">
        <v>102.0</v>
      </c>
      <c r="R12" s="19">
        <f>Q12/E7*100000</f>
        <v>654.4754572</v>
      </c>
      <c r="S12" s="118">
        <v>122.0</v>
      </c>
      <c r="T12" s="19">
        <f>S12/F7*100000</f>
        <v>761.2154489</v>
      </c>
      <c r="U12" s="118">
        <v>125.0</v>
      </c>
      <c r="V12" s="19">
        <f>U12/G7*100000</f>
        <v>763.871914</v>
      </c>
      <c r="W12" s="118">
        <v>66.0</v>
      </c>
      <c r="X12" s="19">
        <f>W12/H7*100000</f>
        <v>396.0633701</v>
      </c>
      <c r="Y12" s="19">
        <f t="shared" ref="Y12:Z12" si="13">((M12+O12+Q12+S12)/4)</f>
        <v>74.75</v>
      </c>
      <c r="Z12" s="19">
        <f t="shared" si="13"/>
        <v>481.2401671</v>
      </c>
      <c r="AA12" s="19">
        <f t="shared" si="3"/>
        <v>123.5</v>
      </c>
      <c r="AB12" s="19">
        <f t="shared" si="4"/>
        <v>579.967642</v>
      </c>
      <c r="AC12" s="22" t="s">
        <v>57</v>
      </c>
    </row>
    <row r="13" ht="14.25" customHeight="1">
      <c r="A13" s="1"/>
      <c r="B13" s="32" t="s">
        <v>58</v>
      </c>
      <c r="C13" s="133">
        <v>72.0</v>
      </c>
      <c r="D13" s="131">
        <v>102.0</v>
      </c>
      <c r="E13" s="133">
        <v>75.0</v>
      </c>
      <c r="F13" s="133">
        <v>72.0</v>
      </c>
      <c r="G13" s="131">
        <v>76.0</v>
      </c>
      <c r="H13" s="134">
        <v>41.0</v>
      </c>
      <c r="I13" s="1"/>
      <c r="J13" s="1"/>
      <c r="K13" s="1"/>
      <c r="L13" s="15" t="s">
        <v>59</v>
      </c>
      <c r="M13" s="118">
        <v>39.0</v>
      </c>
      <c r="N13" s="19">
        <f>M13/C11*100000</f>
        <v>532.1326238</v>
      </c>
      <c r="O13" s="118">
        <v>21.0</v>
      </c>
      <c r="P13" s="19">
        <f>O13/D11*100000</f>
        <v>275.3015207</v>
      </c>
      <c r="Q13" s="129">
        <v>82.0</v>
      </c>
      <c r="R13" s="19">
        <f>Q13/E11*100000</f>
        <v>1041.402083</v>
      </c>
      <c r="S13" s="118">
        <v>106.0</v>
      </c>
      <c r="T13" s="19">
        <f>S13/F11*100000</f>
        <v>1308.641975</v>
      </c>
      <c r="U13" s="118">
        <v>99.0</v>
      </c>
      <c r="V13" s="19">
        <f>U13/G11*100000</f>
        <v>1197.242714</v>
      </c>
      <c r="W13" s="118">
        <v>54.0</v>
      </c>
      <c r="X13" s="19">
        <f>W13/H11*100000</f>
        <v>641.4063428</v>
      </c>
      <c r="Y13" s="19">
        <f t="shared" ref="Y13:Z13" si="14">((M13+O13+Q13+S13)/4)</f>
        <v>62</v>
      </c>
      <c r="Z13" s="19">
        <f t="shared" si="14"/>
        <v>789.3695507</v>
      </c>
      <c r="AA13" s="19">
        <f t="shared" si="3"/>
        <v>102.5</v>
      </c>
      <c r="AB13" s="19">
        <f t="shared" si="4"/>
        <v>919.3245283</v>
      </c>
      <c r="AC13" s="22" t="s">
        <v>57</v>
      </c>
    </row>
    <row r="14" ht="14.25" customHeight="1">
      <c r="A14" s="1"/>
      <c r="B14" s="32" t="s">
        <v>60</v>
      </c>
      <c r="C14" s="133">
        <v>621.0</v>
      </c>
      <c r="D14" s="133">
        <v>629.0</v>
      </c>
      <c r="E14" s="133">
        <v>639.0</v>
      </c>
      <c r="F14" s="133">
        <v>647.0</v>
      </c>
      <c r="G14" s="133">
        <v>631.0</v>
      </c>
      <c r="H14" s="134">
        <v>637.0</v>
      </c>
      <c r="I14" s="1"/>
      <c r="J14" s="1"/>
      <c r="K14" s="1"/>
      <c r="L14" s="15" t="s">
        <v>61</v>
      </c>
      <c r="M14" s="118">
        <v>4.0</v>
      </c>
      <c r="N14" s="19">
        <f>M14/M4*1000</f>
        <v>17.77777778</v>
      </c>
      <c r="O14" s="118">
        <v>3.0</v>
      </c>
      <c r="P14" s="19">
        <f>O14/O4*1000</f>
        <v>13.10043668</v>
      </c>
      <c r="Q14" s="129">
        <v>4.0</v>
      </c>
      <c r="R14" s="19">
        <f>Q14/Q4*1000</f>
        <v>14.70588235</v>
      </c>
      <c r="S14" s="118">
        <v>2.0</v>
      </c>
      <c r="T14" s="19">
        <f>S14/S4*1000</f>
        <v>8.438818565</v>
      </c>
      <c r="U14" s="118">
        <v>2.0</v>
      </c>
      <c r="V14" s="19">
        <f>U14/U4*1000</f>
        <v>10.05025126</v>
      </c>
      <c r="W14" s="118">
        <v>3.0</v>
      </c>
      <c r="X14" s="19">
        <f>W14/W4*1000</f>
        <v>31.25</v>
      </c>
      <c r="Y14" s="19">
        <f t="shared" ref="Y14:Z14" si="15">((M14+O14+Q14+S14)/4)</f>
        <v>3.25</v>
      </c>
      <c r="Z14" s="19">
        <f t="shared" si="15"/>
        <v>13.50572884</v>
      </c>
      <c r="AA14" s="19">
        <f t="shared" si="3"/>
        <v>2</v>
      </c>
      <c r="AB14" s="19">
        <f t="shared" si="4"/>
        <v>20.65012563</v>
      </c>
      <c r="AC14" s="22" t="s">
        <v>28</v>
      </c>
    </row>
    <row r="15" ht="14.25" customHeight="1">
      <c r="A15" s="1"/>
      <c r="B15" s="32" t="s">
        <v>62</v>
      </c>
      <c r="C15" s="133">
        <v>1831.0</v>
      </c>
      <c r="D15" s="133">
        <v>1885.0</v>
      </c>
      <c r="E15" s="133">
        <v>1924.0</v>
      </c>
      <c r="F15" s="133">
        <v>1952.0</v>
      </c>
      <c r="G15" s="133">
        <v>1932.0</v>
      </c>
      <c r="H15" s="134">
        <v>1944.0</v>
      </c>
      <c r="I15" s="1"/>
      <c r="J15" s="1"/>
      <c r="K15" s="1"/>
      <c r="L15" s="15" t="s">
        <v>63</v>
      </c>
      <c r="M15" s="118">
        <v>4.0</v>
      </c>
      <c r="N15" s="19">
        <f>M15/C15*100000</f>
        <v>218.459858</v>
      </c>
      <c r="O15" s="118">
        <v>4.0</v>
      </c>
      <c r="P15" s="19">
        <f>O15/D15*100000</f>
        <v>212.2015915</v>
      </c>
      <c r="Q15" s="129">
        <v>4.0</v>
      </c>
      <c r="R15" s="19">
        <f>Q15/E15*100000</f>
        <v>207.9002079</v>
      </c>
      <c r="S15" s="118">
        <v>2.0</v>
      </c>
      <c r="T15" s="19">
        <f>S15/F15*100000</f>
        <v>102.4590164</v>
      </c>
      <c r="U15" s="118">
        <v>2.0</v>
      </c>
      <c r="V15" s="19">
        <f>U15/G15*100000</f>
        <v>103.5196687</v>
      </c>
      <c r="W15" s="118">
        <v>3.0</v>
      </c>
      <c r="X15" s="19">
        <f>W15/H15*100000</f>
        <v>154.3209877</v>
      </c>
      <c r="Y15" s="19">
        <f t="shared" ref="Y15:Z15" si="16">((M15+O15+Q15+S15)/4)</f>
        <v>3.5</v>
      </c>
      <c r="Z15" s="19">
        <f t="shared" si="16"/>
        <v>185.2551685</v>
      </c>
      <c r="AA15" s="19">
        <f t="shared" si="3"/>
        <v>2</v>
      </c>
      <c r="AB15" s="19">
        <f t="shared" si="4"/>
        <v>128.9203282</v>
      </c>
      <c r="AC15" s="22" t="s">
        <v>28</v>
      </c>
    </row>
    <row r="16" ht="14.25" customHeight="1">
      <c r="A16" s="1"/>
      <c r="B16" s="32" t="s">
        <v>64</v>
      </c>
      <c r="C16" s="133">
        <v>10388.0</v>
      </c>
      <c r="D16" s="133">
        <v>10827.0</v>
      </c>
      <c r="E16" s="133">
        <v>11190.0</v>
      </c>
      <c r="F16" s="133">
        <v>11533.0</v>
      </c>
      <c r="G16" s="133">
        <v>11808.0</v>
      </c>
      <c r="H16" s="134">
        <v>12042.0</v>
      </c>
      <c r="I16" s="1"/>
      <c r="J16" s="1"/>
      <c r="K16" s="1"/>
      <c r="L16" s="15" t="s">
        <v>65</v>
      </c>
      <c r="M16" s="118">
        <v>26.0</v>
      </c>
      <c r="N16" s="19">
        <f>M16/M4*100</f>
        <v>11.55555556</v>
      </c>
      <c r="O16" s="118">
        <v>39.0</v>
      </c>
      <c r="P16" s="19">
        <f>O16/O4*100</f>
        <v>17.03056769</v>
      </c>
      <c r="Q16" s="129">
        <v>31.0</v>
      </c>
      <c r="R16" s="19">
        <f>Q16/Q4*100</f>
        <v>11.39705882</v>
      </c>
      <c r="S16" s="118">
        <v>26.0</v>
      </c>
      <c r="T16" s="19">
        <f>S16/S4*100</f>
        <v>10.97046414</v>
      </c>
      <c r="U16" s="118">
        <v>33.0</v>
      </c>
      <c r="V16" s="19">
        <f>U16/U4*100</f>
        <v>16.58291457</v>
      </c>
      <c r="W16" s="118">
        <v>12.0</v>
      </c>
      <c r="X16" s="19">
        <f>W16/W4*100</f>
        <v>12.5</v>
      </c>
      <c r="Y16" s="19">
        <f t="shared" ref="Y16:Z16" si="17">((M16+O16+Q16+S16)/4)</f>
        <v>30.5</v>
      </c>
      <c r="Z16" s="19">
        <f t="shared" si="17"/>
        <v>12.73841155</v>
      </c>
      <c r="AA16" s="19">
        <f t="shared" si="3"/>
        <v>29.5</v>
      </c>
      <c r="AB16" s="19">
        <f t="shared" si="4"/>
        <v>14.54145729</v>
      </c>
      <c r="AC16" s="22" t="s">
        <v>30</v>
      </c>
    </row>
    <row r="17" ht="14.25" customHeight="1">
      <c r="A17" s="1"/>
      <c r="B17" s="32" t="s">
        <v>66</v>
      </c>
      <c r="C17" s="133">
        <v>5407.0</v>
      </c>
      <c r="D17" s="133">
        <v>5569.0</v>
      </c>
      <c r="E17" s="133">
        <v>5696.0</v>
      </c>
      <c r="F17" s="133">
        <v>5811.0</v>
      </c>
      <c r="G17" s="133">
        <v>5894.0</v>
      </c>
      <c r="H17" s="134">
        <v>5973.0</v>
      </c>
      <c r="I17" s="1"/>
      <c r="J17" s="1"/>
      <c r="K17" s="1"/>
      <c r="L17" s="15" t="s">
        <v>67</v>
      </c>
      <c r="M17" s="118">
        <v>13.0</v>
      </c>
      <c r="N17" s="19">
        <f>M17/M4*100</f>
        <v>5.777777778</v>
      </c>
      <c r="O17" s="118">
        <v>7.0</v>
      </c>
      <c r="P17" s="19">
        <f>O17/O4*100</f>
        <v>3.056768559</v>
      </c>
      <c r="Q17" s="129">
        <v>16.0</v>
      </c>
      <c r="R17" s="19">
        <f>Q17/Q4*100</f>
        <v>5.882352941</v>
      </c>
      <c r="S17" s="118">
        <v>12.0</v>
      </c>
      <c r="T17" s="19">
        <f>S17/S4*100</f>
        <v>5.063291139</v>
      </c>
      <c r="U17" s="118">
        <v>15.0</v>
      </c>
      <c r="V17" s="19">
        <f>U17/U4*100</f>
        <v>7.537688442</v>
      </c>
      <c r="W17" s="118">
        <v>5.0</v>
      </c>
      <c r="X17" s="19">
        <f>W17/W4*100</f>
        <v>5.208333333</v>
      </c>
      <c r="Y17" s="19">
        <f t="shared" ref="Y17:Z17" si="18">((M17+O17+Q17+S17)/4)</f>
        <v>12</v>
      </c>
      <c r="Z17" s="19">
        <f t="shared" si="18"/>
        <v>4.945047604</v>
      </c>
      <c r="AA17" s="19">
        <f t="shared" si="3"/>
        <v>13.5</v>
      </c>
      <c r="AB17" s="19">
        <f t="shared" si="4"/>
        <v>6.373010888</v>
      </c>
      <c r="AC17" s="22" t="s">
        <v>30</v>
      </c>
    </row>
    <row r="18" ht="14.25" customHeight="1">
      <c r="A18" s="1"/>
      <c r="B18" s="32" t="s">
        <v>68</v>
      </c>
      <c r="C18" s="133">
        <v>8270.0</v>
      </c>
      <c r="D18" s="133">
        <v>8631.0</v>
      </c>
      <c r="E18" s="133">
        <v>8925.0</v>
      </c>
      <c r="F18" s="133">
        <v>9197.0</v>
      </c>
      <c r="G18" s="133">
        <v>9419.0</v>
      </c>
      <c r="H18" s="134">
        <v>9596.0</v>
      </c>
      <c r="I18" s="1"/>
      <c r="J18" s="1"/>
      <c r="K18" s="1"/>
      <c r="L18" s="15" t="s">
        <v>69</v>
      </c>
      <c r="M18" s="124">
        <v>2.0</v>
      </c>
      <c r="N18" s="57">
        <f>M18/C15*1000</f>
        <v>1.09229929</v>
      </c>
      <c r="O18" s="118">
        <v>8.0</v>
      </c>
      <c r="P18" s="57">
        <f>O18/D15*1000</f>
        <v>4.24403183</v>
      </c>
      <c r="Q18" s="129">
        <v>12.0</v>
      </c>
      <c r="R18" s="57">
        <f>Q18/E15*1000</f>
        <v>6.237006237</v>
      </c>
      <c r="S18" s="124">
        <v>5.0</v>
      </c>
      <c r="T18" s="57">
        <f>S18/F15*1000</f>
        <v>2.56147541</v>
      </c>
      <c r="U18" s="124">
        <v>6.0</v>
      </c>
      <c r="V18" s="57">
        <f>U18/G15*1000</f>
        <v>3.105590062</v>
      </c>
      <c r="W18" s="124">
        <v>6.0</v>
      </c>
      <c r="X18" s="57">
        <f>W18/H15*1000</f>
        <v>3.086419753</v>
      </c>
      <c r="Y18" s="19">
        <f t="shared" ref="Y18:Z18" si="19">((M18+O18+Q18+S18)/4)</f>
        <v>6.75</v>
      </c>
      <c r="Z18" s="19">
        <f t="shared" si="19"/>
        <v>3.533703192</v>
      </c>
      <c r="AA18" s="19">
        <f t="shared" si="3"/>
        <v>5.5</v>
      </c>
      <c r="AB18" s="19">
        <f t="shared" si="4"/>
        <v>3.096004908</v>
      </c>
      <c r="AC18" s="22" t="s">
        <v>57</v>
      </c>
    </row>
    <row r="19" ht="14.25" customHeight="1">
      <c r="A19" s="1"/>
      <c r="B19" s="32" t="s">
        <v>70</v>
      </c>
      <c r="C19" s="133">
        <v>8270.0</v>
      </c>
      <c r="D19" s="133">
        <v>8631.0</v>
      </c>
      <c r="E19" s="133">
        <v>8925.0</v>
      </c>
      <c r="F19" s="133">
        <v>9197.0</v>
      </c>
      <c r="G19" s="133">
        <v>9419.0</v>
      </c>
      <c r="H19" s="134">
        <v>9596.0</v>
      </c>
      <c r="I19" s="1"/>
      <c r="J19" s="1"/>
      <c r="K19" s="1"/>
      <c r="L19" s="15" t="s">
        <v>71</v>
      </c>
      <c r="M19" s="118">
        <v>42.0</v>
      </c>
      <c r="N19" s="19">
        <f>M19/M4*100</f>
        <v>18.66666667</v>
      </c>
      <c r="O19" s="118">
        <v>33.0</v>
      </c>
      <c r="P19" s="19">
        <f>O19/O4*100</f>
        <v>14.41048035</v>
      </c>
      <c r="Q19" s="129">
        <v>55.0</v>
      </c>
      <c r="R19" s="19">
        <f>Q19/Q4*100</f>
        <v>20.22058824</v>
      </c>
      <c r="S19" s="118">
        <v>40.0</v>
      </c>
      <c r="T19" s="19">
        <f>S19/S4*100</f>
        <v>16.87763713</v>
      </c>
      <c r="U19" s="118">
        <v>40.0</v>
      </c>
      <c r="V19" s="19">
        <f>U19/U4*100</f>
        <v>20.10050251</v>
      </c>
      <c r="W19" s="118">
        <v>14.0</v>
      </c>
      <c r="X19" s="19">
        <f>W19/W4*100</f>
        <v>14.58333333</v>
      </c>
      <c r="Y19" s="19">
        <f t="shared" ref="Y19:Z19" si="20">((M19+O19+Q19+S19)/4)</f>
        <v>42.5</v>
      </c>
      <c r="Z19" s="19">
        <f t="shared" si="20"/>
        <v>17.5438431</v>
      </c>
      <c r="AA19" s="19">
        <f t="shared" si="3"/>
        <v>40</v>
      </c>
      <c r="AB19" s="19">
        <f t="shared" si="4"/>
        <v>17.34191792</v>
      </c>
      <c r="AC19" s="22" t="s">
        <v>72</v>
      </c>
    </row>
    <row r="20" ht="14.25" customHeight="1">
      <c r="A20" s="1"/>
      <c r="B20" s="32" t="s">
        <v>73</v>
      </c>
      <c r="C20" s="133">
        <v>615.0</v>
      </c>
      <c r="D20" s="131">
        <v>635.0</v>
      </c>
      <c r="E20" s="133">
        <v>654.0</v>
      </c>
      <c r="F20" s="133">
        <v>672.0</v>
      </c>
      <c r="G20" s="133">
        <v>692.0</v>
      </c>
      <c r="H20" s="134">
        <v>708.0</v>
      </c>
      <c r="I20" s="1"/>
      <c r="J20" s="1"/>
      <c r="K20" s="1"/>
      <c r="L20" s="15" t="s">
        <v>74</v>
      </c>
      <c r="M20" s="118">
        <v>0.0</v>
      </c>
      <c r="N20" s="19">
        <f t="shared" ref="N20:N21" si="22">M20/C20*1000</f>
        <v>0</v>
      </c>
      <c r="O20" s="118">
        <v>3.0</v>
      </c>
      <c r="P20" s="19">
        <f t="shared" ref="P20:P21" si="23">O20/D20*1000</f>
        <v>4.724409449</v>
      </c>
      <c r="Q20" s="129">
        <v>0.0</v>
      </c>
      <c r="R20" s="19">
        <f t="shared" ref="R20:R21" si="24">Q20/E20*1000</f>
        <v>0</v>
      </c>
      <c r="S20" s="118">
        <v>1.0</v>
      </c>
      <c r="T20" s="19">
        <f t="shared" ref="T20:T21" si="25">S20/F20*1000</f>
        <v>1.488095238</v>
      </c>
      <c r="U20" s="118">
        <v>1.0</v>
      </c>
      <c r="V20" s="19">
        <f t="shared" ref="V20:V21" si="26">U20/G20*1000</f>
        <v>1.445086705</v>
      </c>
      <c r="W20" s="118">
        <v>0.0</v>
      </c>
      <c r="X20" s="19">
        <f t="shared" ref="X20:X21" si="27">W20/H20*1000</f>
        <v>0</v>
      </c>
      <c r="Y20" s="19">
        <f t="shared" ref="Y20:Z20" si="21">((M20+O20+Q20+S20)/4)</f>
        <v>1</v>
      </c>
      <c r="Z20" s="19">
        <f t="shared" si="21"/>
        <v>1.553126172</v>
      </c>
      <c r="AA20" s="19">
        <f t="shared" si="3"/>
        <v>1</v>
      </c>
      <c r="AB20" s="19">
        <f t="shared" si="4"/>
        <v>0.7225433526</v>
      </c>
      <c r="AC20" s="22" t="s">
        <v>72</v>
      </c>
    </row>
    <row r="21" ht="14.25" customHeight="1">
      <c r="A21" s="1"/>
      <c r="B21" s="32" t="s">
        <v>75</v>
      </c>
      <c r="C21" s="133">
        <v>646.0</v>
      </c>
      <c r="D21" s="131">
        <v>659.0</v>
      </c>
      <c r="E21" s="133">
        <v>667.0</v>
      </c>
      <c r="F21" s="133">
        <v>675.0</v>
      </c>
      <c r="G21" s="133">
        <v>686.0</v>
      </c>
      <c r="H21" s="134">
        <v>694.0</v>
      </c>
      <c r="I21" s="1"/>
      <c r="J21" s="1"/>
      <c r="K21" s="1"/>
      <c r="L21" s="15" t="s">
        <v>76</v>
      </c>
      <c r="M21" s="118">
        <v>42.0</v>
      </c>
      <c r="N21" s="19">
        <f t="shared" si="22"/>
        <v>65.01547988</v>
      </c>
      <c r="O21" s="118">
        <v>30.0</v>
      </c>
      <c r="P21" s="19">
        <f t="shared" si="23"/>
        <v>45.52352049</v>
      </c>
      <c r="Q21" s="129">
        <v>55.0</v>
      </c>
      <c r="R21" s="19">
        <f t="shared" si="24"/>
        <v>82.45877061</v>
      </c>
      <c r="S21" s="118">
        <v>39.0</v>
      </c>
      <c r="T21" s="19">
        <f t="shared" si="25"/>
        <v>57.77777778</v>
      </c>
      <c r="U21" s="118">
        <v>39.0</v>
      </c>
      <c r="V21" s="19">
        <f t="shared" si="26"/>
        <v>56.85131195</v>
      </c>
      <c r="W21" s="118">
        <v>14.0</v>
      </c>
      <c r="X21" s="19">
        <f t="shared" si="27"/>
        <v>20.17291066</v>
      </c>
      <c r="Y21" s="19">
        <f t="shared" ref="Y21:Z21" si="28">((M21+O21+Q21+S21)/4)</f>
        <v>41.5</v>
      </c>
      <c r="Z21" s="19">
        <f t="shared" si="28"/>
        <v>62.69388719</v>
      </c>
      <c r="AA21" s="19">
        <f t="shared" si="3"/>
        <v>39</v>
      </c>
      <c r="AB21" s="19">
        <f t="shared" si="4"/>
        <v>38.51211131</v>
      </c>
      <c r="AC21" s="22" t="s">
        <v>72</v>
      </c>
    </row>
    <row r="22" ht="14.25" customHeight="1">
      <c r="A22" s="1"/>
      <c r="B22" s="32" t="s">
        <v>77</v>
      </c>
      <c r="C22" s="133">
        <v>4499.0</v>
      </c>
      <c r="D22" s="133">
        <v>4668.0</v>
      </c>
      <c r="E22" s="133">
        <v>4803.0</v>
      </c>
      <c r="F22" s="133">
        <v>4928.0</v>
      </c>
      <c r="G22" s="133">
        <v>5036.0</v>
      </c>
      <c r="H22" s="134">
        <v>5118.0</v>
      </c>
      <c r="I22" s="1"/>
      <c r="J22" s="1"/>
      <c r="K22" s="1"/>
      <c r="L22" s="15" t="s">
        <v>78</v>
      </c>
      <c r="M22" s="124">
        <v>1.0</v>
      </c>
      <c r="N22" s="57">
        <f>M22/C7*100000</f>
        <v>6.881365263</v>
      </c>
      <c r="O22" s="118">
        <v>5.0</v>
      </c>
      <c r="P22" s="57">
        <f>O22/D7*100000</f>
        <v>33.09285856</v>
      </c>
      <c r="Q22" s="129">
        <v>3.0</v>
      </c>
      <c r="R22" s="57">
        <f>Q22/E7*100000</f>
        <v>19.24927815</v>
      </c>
      <c r="S22" s="124">
        <v>6.0</v>
      </c>
      <c r="T22" s="57">
        <f>S22/F7*100000</f>
        <v>37.43682536</v>
      </c>
      <c r="U22" s="124">
        <v>4.0</v>
      </c>
      <c r="V22" s="57">
        <f>U22/G7*100000</f>
        <v>24.44390125</v>
      </c>
      <c r="W22" s="124">
        <v>3.0</v>
      </c>
      <c r="X22" s="57">
        <f>W22/H7*100000</f>
        <v>18.00288046</v>
      </c>
      <c r="Y22" s="19">
        <f t="shared" ref="Y22:Z22" si="29">((M22+O22+Q22+S22)/4)</f>
        <v>3.75</v>
      </c>
      <c r="Z22" s="19">
        <f t="shared" si="29"/>
        <v>24.16508183</v>
      </c>
      <c r="AA22" s="19">
        <f t="shared" si="3"/>
        <v>5</v>
      </c>
      <c r="AB22" s="19">
        <f t="shared" si="4"/>
        <v>21.22339085</v>
      </c>
      <c r="AC22" s="22" t="s">
        <v>28</v>
      </c>
    </row>
    <row r="23" ht="14.25" customHeight="1">
      <c r="A23" s="1"/>
      <c r="B23" s="32" t="s">
        <v>79</v>
      </c>
      <c r="C23" s="133">
        <v>1831.0</v>
      </c>
      <c r="D23" s="133">
        <v>1885.0</v>
      </c>
      <c r="E23" s="133">
        <v>1924.0</v>
      </c>
      <c r="F23" s="133">
        <v>1952.0</v>
      </c>
      <c r="G23" s="133">
        <v>1932.0</v>
      </c>
      <c r="H23" s="134">
        <v>1944.0</v>
      </c>
      <c r="I23" s="1"/>
      <c r="J23" s="1"/>
      <c r="K23" s="1"/>
      <c r="L23" s="15" t="s">
        <v>80</v>
      </c>
      <c r="M23" s="124">
        <v>1.0</v>
      </c>
      <c r="N23" s="57">
        <f>M23/C7*100000</f>
        <v>6.881365263</v>
      </c>
      <c r="O23" s="118">
        <v>2.0</v>
      </c>
      <c r="P23" s="57">
        <f>O23/D7*100000</f>
        <v>13.23714342</v>
      </c>
      <c r="Q23" s="129">
        <v>0.0</v>
      </c>
      <c r="R23" s="57">
        <f>Q23/E7*100000</f>
        <v>0</v>
      </c>
      <c r="S23" s="124">
        <v>2.0</v>
      </c>
      <c r="T23" s="57">
        <f>S23/F7*100000</f>
        <v>12.47894179</v>
      </c>
      <c r="U23" s="124">
        <v>0.0</v>
      </c>
      <c r="V23" s="57">
        <f>U23/G7*100000</f>
        <v>0</v>
      </c>
      <c r="W23" s="124">
        <v>2.0</v>
      </c>
      <c r="X23" s="57">
        <f>W23/H7*100000</f>
        <v>12.00192031</v>
      </c>
      <c r="Y23" s="19">
        <f t="shared" ref="Y23:Z23" si="30">((M23+O23+Q23+S23)/4)</f>
        <v>1.25</v>
      </c>
      <c r="Z23" s="19">
        <f t="shared" si="30"/>
        <v>8.149362618</v>
      </c>
      <c r="AA23" s="19">
        <f t="shared" si="3"/>
        <v>1</v>
      </c>
      <c r="AB23" s="19">
        <f t="shared" si="4"/>
        <v>6.000960154</v>
      </c>
      <c r="AC23" s="22" t="s">
        <v>28</v>
      </c>
    </row>
    <row r="24" ht="14.25" customHeight="1">
      <c r="A24" s="1"/>
      <c r="B24" s="32" t="s">
        <v>81</v>
      </c>
      <c r="C24" s="133">
        <v>1580.0</v>
      </c>
      <c r="D24" s="133">
        <v>1643.0</v>
      </c>
      <c r="E24" s="133">
        <v>1698.0</v>
      </c>
      <c r="F24" s="133">
        <v>1750.0</v>
      </c>
      <c r="G24" s="133">
        <v>1809.0</v>
      </c>
      <c r="H24" s="134">
        <v>1847.0</v>
      </c>
      <c r="I24" s="1"/>
      <c r="J24" s="1"/>
      <c r="K24" s="1"/>
      <c r="L24" s="15" t="s">
        <v>82</v>
      </c>
      <c r="M24" s="124">
        <v>0.0</v>
      </c>
      <c r="N24" s="57">
        <f>M24/C7*100000</f>
        <v>0</v>
      </c>
      <c r="O24" s="118">
        <v>1.0</v>
      </c>
      <c r="P24" s="57">
        <f>O24/D7*100000</f>
        <v>6.618571712</v>
      </c>
      <c r="Q24" s="129">
        <v>0.0</v>
      </c>
      <c r="R24" s="57">
        <f>Q24/E7*100000</f>
        <v>0</v>
      </c>
      <c r="S24" s="124">
        <v>1.0</v>
      </c>
      <c r="T24" s="57">
        <f>S24/F7*100000</f>
        <v>6.239470893</v>
      </c>
      <c r="U24" s="124">
        <v>0.0</v>
      </c>
      <c r="V24" s="57">
        <f>U24/G7*100000</f>
        <v>0</v>
      </c>
      <c r="W24" s="124">
        <v>0.0</v>
      </c>
      <c r="X24" s="57">
        <f>W24/H7*100000</f>
        <v>0</v>
      </c>
      <c r="Y24" s="19">
        <f t="shared" ref="Y24:Z24" si="31">((M24+O24+Q24+S24)/4)</f>
        <v>0.5</v>
      </c>
      <c r="Z24" s="19">
        <f t="shared" si="31"/>
        <v>3.214510651</v>
      </c>
      <c r="AA24" s="19">
        <f t="shared" si="3"/>
        <v>0.5</v>
      </c>
      <c r="AB24" s="19">
        <f t="shared" si="4"/>
        <v>0</v>
      </c>
      <c r="AC24" s="22" t="s">
        <v>28</v>
      </c>
    </row>
    <row r="25" ht="14.25" customHeight="1">
      <c r="A25" s="1"/>
      <c r="B25" s="32" t="s">
        <v>83</v>
      </c>
      <c r="C25" s="133">
        <v>1483.0</v>
      </c>
      <c r="D25" s="133">
        <v>1519.0</v>
      </c>
      <c r="E25" s="133">
        <v>1549.0</v>
      </c>
      <c r="F25" s="133">
        <v>1582.0</v>
      </c>
      <c r="G25" s="133">
        <v>1615.0</v>
      </c>
      <c r="H25" s="134">
        <v>1642.0</v>
      </c>
      <c r="I25" s="1"/>
      <c r="J25" s="1"/>
      <c r="K25" s="1"/>
      <c r="L25" s="15" t="s">
        <v>84</v>
      </c>
      <c r="M25" s="124">
        <v>13.0</v>
      </c>
      <c r="N25" s="57">
        <f>M25/C7*100000</f>
        <v>89.45774842</v>
      </c>
      <c r="O25" s="118">
        <v>7.0</v>
      </c>
      <c r="P25" s="57">
        <f>O25/D7*100000</f>
        <v>46.33000199</v>
      </c>
      <c r="Q25" s="129">
        <v>14.0</v>
      </c>
      <c r="R25" s="57">
        <f>Q25/E7*100000</f>
        <v>89.82996471</v>
      </c>
      <c r="S25" s="124">
        <v>15.0</v>
      </c>
      <c r="T25" s="57">
        <f>S25/F7*100000</f>
        <v>93.59206339</v>
      </c>
      <c r="U25" s="124">
        <v>24.0</v>
      </c>
      <c r="V25" s="57">
        <f>U25/G7*100000</f>
        <v>146.6634075</v>
      </c>
      <c r="W25" s="124">
        <v>9.0</v>
      </c>
      <c r="X25" s="57">
        <f>W25/H7*100000</f>
        <v>54.00864138</v>
      </c>
      <c r="Y25" s="19">
        <f t="shared" ref="Y25:Z25" si="32">((M25+O25+Q25+S25)/4)</f>
        <v>12.25</v>
      </c>
      <c r="Z25" s="19">
        <f t="shared" si="32"/>
        <v>79.80244463</v>
      </c>
      <c r="AA25" s="19">
        <f t="shared" si="3"/>
        <v>19.5</v>
      </c>
      <c r="AB25" s="19">
        <f t="shared" si="4"/>
        <v>100.3360244</v>
      </c>
      <c r="AC25" s="22" t="s">
        <v>57</v>
      </c>
    </row>
    <row r="26" ht="14.25" customHeight="1">
      <c r="A26" s="1"/>
      <c r="B26" s="32" t="s">
        <v>85</v>
      </c>
      <c r="C26" s="144">
        <v>2864.0</v>
      </c>
      <c r="D26" s="144">
        <v>2955.0</v>
      </c>
      <c r="E26" s="144">
        <v>3008.0</v>
      </c>
      <c r="F26" s="144">
        <v>3044.0</v>
      </c>
      <c r="G26" s="144">
        <v>3058.0</v>
      </c>
      <c r="H26" s="134">
        <v>3071.0</v>
      </c>
      <c r="I26" s="1"/>
      <c r="J26" s="1"/>
      <c r="K26" s="1"/>
      <c r="L26" s="15" t="s">
        <v>86</v>
      </c>
      <c r="M26" s="118">
        <v>25.0</v>
      </c>
      <c r="N26" s="19">
        <f>M26/C7*100000</f>
        <v>172.0341316</v>
      </c>
      <c r="O26" s="118">
        <v>51.0</v>
      </c>
      <c r="P26" s="19">
        <f>O26/D7*100000</f>
        <v>337.5471573</v>
      </c>
      <c r="Q26" s="129">
        <v>31.0</v>
      </c>
      <c r="R26" s="19">
        <f>Q26/E7*100000</f>
        <v>198.9092076</v>
      </c>
      <c r="S26" s="118">
        <v>29.0</v>
      </c>
      <c r="T26" s="19">
        <f>S26/F7*100000</f>
        <v>180.9446559</v>
      </c>
      <c r="U26" s="118">
        <v>26.0</v>
      </c>
      <c r="V26" s="19">
        <f>U26/G7*100000</f>
        <v>158.8853581</v>
      </c>
      <c r="W26" s="118">
        <v>12.0</v>
      </c>
      <c r="X26" s="19">
        <f>W26/H7*100000</f>
        <v>72.01152184</v>
      </c>
      <c r="Y26" s="19">
        <f t="shared" ref="Y26:Z26" si="33">((M26+O26+Q26+S26)/4)</f>
        <v>34</v>
      </c>
      <c r="Z26" s="19">
        <f t="shared" si="33"/>
        <v>222.3587881</v>
      </c>
      <c r="AA26" s="19">
        <f t="shared" si="3"/>
        <v>27.5</v>
      </c>
      <c r="AB26" s="19">
        <f t="shared" si="4"/>
        <v>115.44844</v>
      </c>
      <c r="AC26" s="22" t="s">
        <v>28</v>
      </c>
    </row>
    <row r="27" ht="14.25" customHeight="1">
      <c r="A27" s="1"/>
      <c r="B27" s="62" t="s">
        <v>87</v>
      </c>
      <c r="C27" s="145">
        <v>1399.0</v>
      </c>
      <c r="D27" s="145">
        <v>1488.0</v>
      </c>
      <c r="E27" s="146">
        <v>1575.0</v>
      </c>
      <c r="F27" s="146">
        <v>1661.0</v>
      </c>
      <c r="G27" s="146">
        <v>1723.0</v>
      </c>
      <c r="H27" s="147">
        <v>1793.0</v>
      </c>
      <c r="I27" s="1"/>
      <c r="J27" s="1"/>
      <c r="K27" s="1"/>
      <c r="L27" s="15" t="s">
        <v>88</v>
      </c>
      <c r="M27" s="118">
        <v>0.0</v>
      </c>
      <c r="N27" s="19">
        <f>M27/C11*100000</f>
        <v>0</v>
      </c>
      <c r="O27" s="118">
        <v>0.0</v>
      </c>
      <c r="P27" s="19">
        <f>O27/D11*100000</f>
        <v>0</v>
      </c>
      <c r="Q27" s="129">
        <v>0.0</v>
      </c>
      <c r="R27" s="19">
        <f>Q27/E11*100000</f>
        <v>0</v>
      </c>
      <c r="S27" s="118">
        <v>1.0</v>
      </c>
      <c r="T27" s="19">
        <f>S27/F11*100000</f>
        <v>12.34567901</v>
      </c>
      <c r="U27" s="118">
        <v>0.0</v>
      </c>
      <c r="V27" s="19">
        <f>U27/G11*100000</f>
        <v>0</v>
      </c>
      <c r="W27" s="118">
        <v>0.0</v>
      </c>
      <c r="X27" s="19">
        <f>W27/H11*100000</f>
        <v>0</v>
      </c>
      <c r="Y27" s="19">
        <f t="shared" ref="Y27:Z27" si="34">((M27+O27+Q27+S27)/4)</f>
        <v>0.25</v>
      </c>
      <c r="Z27" s="19">
        <f t="shared" si="34"/>
        <v>3.086419753</v>
      </c>
      <c r="AA27" s="19">
        <f t="shared" si="3"/>
        <v>0.5</v>
      </c>
      <c r="AB27" s="19">
        <f t="shared" si="4"/>
        <v>0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8">
        <v>0.0</v>
      </c>
      <c r="N28" s="19">
        <f>M28/C11*100000</f>
        <v>0</v>
      </c>
      <c r="O28" s="118">
        <v>0.0</v>
      </c>
      <c r="P28" s="19">
        <f>O28/D11*100000</f>
        <v>0</v>
      </c>
      <c r="Q28" s="129">
        <v>0.0</v>
      </c>
      <c r="R28" s="19">
        <f>Q28/E11*100000</f>
        <v>0</v>
      </c>
      <c r="S28" s="118">
        <v>0.0</v>
      </c>
      <c r="T28" s="19">
        <f>S28/F11*100000</f>
        <v>0</v>
      </c>
      <c r="U28" s="118">
        <v>0.0</v>
      </c>
      <c r="V28" s="19">
        <f>U28/G11*100000</f>
        <v>0</v>
      </c>
      <c r="W28" s="118">
        <v>0.0</v>
      </c>
      <c r="X28" s="19">
        <f>W28/H11*100000</f>
        <v>0</v>
      </c>
      <c r="Y28" s="19">
        <f t="shared" ref="Y28:Z28" si="35">((M28+O28+Q28+S28)/4)</f>
        <v>0</v>
      </c>
      <c r="Z28" s="19">
        <f t="shared" si="35"/>
        <v>0</v>
      </c>
      <c r="AA28" s="19">
        <f t="shared" si="3"/>
        <v>0</v>
      </c>
      <c r="AB28" s="19">
        <f t="shared" si="4"/>
        <v>0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8">
        <v>0.0</v>
      </c>
      <c r="N29" s="19">
        <f>M29/C10*100000</f>
        <v>0</v>
      </c>
      <c r="O29" s="118">
        <v>0.0</v>
      </c>
      <c r="P29" s="19">
        <f>O29/D10*100000</f>
        <v>0</v>
      </c>
      <c r="Q29" s="129">
        <v>0.0</v>
      </c>
      <c r="R29" s="19">
        <f>Q29/E10*100000</f>
        <v>0</v>
      </c>
      <c r="S29" s="118">
        <v>1.0</v>
      </c>
      <c r="T29" s="19">
        <f>S29/F10*100000</f>
        <v>12.61511291</v>
      </c>
      <c r="U29" s="118">
        <v>1.0</v>
      </c>
      <c r="V29" s="19">
        <f>U29/G10*100000</f>
        <v>12.35330451</v>
      </c>
      <c r="W29" s="118">
        <v>0.0</v>
      </c>
      <c r="X29" s="19">
        <f>W29/H10*100000</f>
        <v>0</v>
      </c>
      <c r="Y29" s="19">
        <f t="shared" ref="Y29:Z29" si="36">((M29+O29+Q29+S29)/4)</f>
        <v>0.25</v>
      </c>
      <c r="Z29" s="19">
        <f t="shared" si="36"/>
        <v>3.153778226</v>
      </c>
      <c r="AA29" s="19">
        <f t="shared" si="3"/>
        <v>1</v>
      </c>
      <c r="AB29" s="19">
        <f t="shared" si="4"/>
        <v>6.176652254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8">
        <v>16.0</v>
      </c>
      <c r="N30" s="19">
        <f>M30/C7*100000</f>
        <v>110.1018442</v>
      </c>
      <c r="O30" s="118">
        <v>37.0</v>
      </c>
      <c r="P30" s="19">
        <f>O30/D7*100000</f>
        <v>244.8871534</v>
      </c>
      <c r="Q30" s="129">
        <v>6.0</v>
      </c>
      <c r="R30" s="19">
        <f>Q30/E7*100000</f>
        <v>38.4985563</v>
      </c>
      <c r="S30" s="118">
        <v>3.0</v>
      </c>
      <c r="T30" s="19">
        <f>S30/F7*100000</f>
        <v>18.71841268</v>
      </c>
      <c r="U30" s="118">
        <v>5.0</v>
      </c>
      <c r="V30" s="19">
        <f>U30/G7*100000</f>
        <v>30.55487656</v>
      </c>
      <c r="W30" s="118">
        <v>1.0</v>
      </c>
      <c r="X30" s="19">
        <f>W30/H7*100000</f>
        <v>6.000960154</v>
      </c>
      <c r="Y30" s="19">
        <f t="shared" ref="Y30:Z30" si="37">((M30+O30+Q30+S30)/4)</f>
        <v>15.5</v>
      </c>
      <c r="Z30" s="19">
        <f t="shared" si="37"/>
        <v>103.0514916</v>
      </c>
      <c r="AA30" s="19">
        <f t="shared" si="3"/>
        <v>4</v>
      </c>
      <c r="AB30" s="19">
        <f t="shared" si="4"/>
        <v>18.27791836</v>
      </c>
      <c r="AC30" s="22" t="s">
        <v>28</v>
      </c>
    </row>
    <row r="31" ht="14.25" customHeight="1">
      <c r="A31" s="1"/>
      <c r="B31" s="71" t="s">
        <v>93</v>
      </c>
      <c r="C31" s="126">
        <v>1831.0</v>
      </c>
      <c r="D31" s="126">
        <v>1885.0</v>
      </c>
      <c r="E31" s="126">
        <v>1924.0</v>
      </c>
      <c r="F31" s="126">
        <v>1952.0</v>
      </c>
      <c r="G31" s="126">
        <v>1932.0</v>
      </c>
      <c r="H31" s="126">
        <v>1944.0</v>
      </c>
      <c r="I31" s="1"/>
      <c r="J31" s="1"/>
      <c r="K31" s="1"/>
      <c r="L31" s="15" t="s">
        <v>94</v>
      </c>
      <c r="M31" s="118">
        <v>0.0</v>
      </c>
      <c r="N31" s="19">
        <f>M31/C7*100000</f>
        <v>0</v>
      </c>
      <c r="O31" s="118">
        <v>0.0</v>
      </c>
      <c r="P31" s="19">
        <f>O31/D7*100000</f>
        <v>0</v>
      </c>
      <c r="Q31" s="129">
        <v>0.0</v>
      </c>
      <c r="R31" s="19">
        <f>Q31/E7*100000</f>
        <v>0</v>
      </c>
      <c r="S31" s="118">
        <v>0.0</v>
      </c>
      <c r="T31" s="19">
        <f>S31/F7*100000</f>
        <v>0</v>
      </c>
      <c r="U31" s="118">
        <v>0.0</v>
      </c>
      <c r="V31" s="19">
        <f>U31/G7*100000</f>
        <v>0</v>
      </c>
      <c r="W31" s="118">
        <v>1.0</v>
      </c>
      <c r="X31" s="19">
        <f>W31/H7*100000</f>
        <v>6.000960154</v>
      </c>
      <c r="Y31" s="19">
        <f t="shared" ref="Y31:Z31" si="38">((M31+O31+Q31+S31)/4)</f>
        <v>0</v>
      </c>
      <c r="Z31" s="19">
        <f t="shared" si="38"/>
        <v>0</v>
      </c>
      <c r="AA31" s="19">
        <f t="shared" si="3"/>
        <v>0</v>
      </c>
      <c r="AB31" s="19">
        <f t="shared" si="4"/>
        <v>3.000480077</v>
      </c>
      <c r="AC31" s="22" t="s">
        <v>28</v>
      </c>
    </row>
    <row r="32" ht="14.25" customHeight="1">
      <c r="A32" s="1"/>
      <c r="B32" s="71" t="s">
        <v>95</v>
      </c>
      <c r="C32" s="126">
        <v>1580.0</v>
      </c>
      <c r="D32" s="126">
        <v>1643.0</v>
      </c>
      <c r="E32" s="126">
        <v>1698.0</v>
      </c>
      <c r="F32" s="126">
        <v>1750.0</v>
      </c>
      <c r="G32" s="126">
        <v>1809.0</v>
      </c>
      <c r="H32" s="126">
        <v>1847.0</v>
      </c>
      <c r="I32" s="1"/>
      <c r="J32" s="1"/>
      <c r="K32" s="1"/>
      <c r="L32" s="15" t="s">
        <v>96</v>
      </c>
      <c r="M32" s="124">
        <v>1.0</v>
      </c>
      <c r="N32" s="72">
        <f>M32/C7*100</f>
        <v>0.006881365263</v>
      </c>
      <c r="O32" s="118">
        <v>3.0</v>
      </c>
      <c r="P32" s="72">
        <f>O32/D7*100</f>
        <v>0.01985571514</v>
      </c>
      <c r="Q32" s="129">
        <v>10.0</v>
      </c>
      <c r="R32" s="72">
        <f>Q32/E7*100</f>
        <v>0.06416426051</v>
      </c>
      <c r="S32" s="124">
        <v>2.0</v>
      </c>
      <c r="T32" s="72">
        <f>S32/F7*100</f>
        <v>0.01247894179</v>
      </c>
      <c r="U32" s="124">
        <v>2.0</v>
      </c>
      <c r="V32" s="72">
        <f>U32/G7*100</f>
        <v>0.01222195062</v>
      </c>
      <c r="W32" s="124">
        <v>7.0</v>
      </c>
      <c r="X32" s="72">
        <f>W32/H7*100</f>
        <v>0.04200672108</v>
      </c>
      <c r="Y32" s="19">
        <f t="shared" ref="Y32:Z32" si="39">((M32+O32+Q32+S32)/4)</f>
        <v>4</v>
      </c>
      <c r="Z32" s="74">
        <f t="shared" si="39"/>
        <v>0.02584507067</v>
      </c>
      <c r="AA32" s="19">
        <f t="shared" si="3"/>
        <v>2</v>
      </c>
      <c r="AB32" s="19">
        <f t="shared" si="4"/>
        <v>0.02711433585</v>
      </c>
      <c r="AC32" s="22" t="s">
        <v>57</v>
      </c>
    </row>
    <row r="33" ht="14.25" customHeight="1">
      <c r="A33" s="1"/>
      <c r="B33" s="71" t="s">
        <v>99</v>
      </c>
      <c r="C33" s="126">
        <v>1483.0</v>
      </c>
      <c r="D33" s="126">
        <v>1519.0</v>
      </c>
      <c r="E33" s="126">
        <v>1549.0</v>
      </c>
      <c r="F33" s="126">
        <v>1582.0</v>
      </c>
      <c r="G33" s="126">
        <v>1615.0</v>
      </c>
      <c r="H33" s="126">
        <v>1642.0</v>
      </c>
      <c r="I33" s="1"/>
      <c r="J33" s="1"/>
      <c r="K33" s="1"/>
      <c r="L33" s="15" t="s">
        <v>100</v>
      </c>
      <c r="M33" s="118">
        <v>1859.0</v>
      </c>
      <c r="N33" s="19">
        <f>M33/C7*10000</f>
        <v>1279.245802</v>
      </c>
      <c r="O33" s="118">
        <v>2563.0</v>
      </c>
      <c r="P33" s="19">
        <f>O33/D7*10000</f>
        <v>1696.33993</v>
      </c>
      <c r="Q33" s="129">
        <v>4990.0</v>
      </c>
      <c r="R33" s="19">
        <f>Q33/E7*10000</f>
        <v>3201.796599</v>
      </c>
      <c r="S33" s="118">
        <v>4529.0</v>
      </c>
      <c r="T33" s="19">
        <f>S33/F7*10000</f>
        <v>2825.856367</v>
      </c>
      <c r="U33" s="118">
        <v>1660.0</v>
      </c>
      <c r="V33" s="19">
        <f>U33/G7*10000</f>
        <v>1014.421902</v>
      </c>
      <c r="W33" s="118">
        <v>1624.0</v>
      </c>
      <c r="X33" s="19">
        <f>W33/H7*10000</f>
        <v>974.5559289</v>
      </c>
      <c r="Y33" s="19">
        <f t="shared" ref="Y33:Z33" si="40">((M33+O33+Q33+S33)/4)</f>
        <v>3485.25</v>
      </c>
      <c r="Z33" s="19">
        <f t="shared" si="40"/>
        <v>2250.809675</v>
      </c>
      <c r="AA33" s="19">
        <f t="shared" si="3"/>
        <v>3094.5</v>
      </c>
      <c r="AB33" s="19">
        <f t="shared" si="4"/>
        <v>994.4889153</v>
      </c>
      <c r="AC33" s="22" t="s">
        <v>57</v>
      </c>
    </row>
    <row r="34" ht="14.25" customHeight="1">
      <c r="A34" s="1"/>
      <c r="B34" s="71" t="s">
        <v>101</v>
      </c>
      <c r="C34" s="126">
        <v>2864.0</v>
      </c>
      <c r="D34" s="126">
        <v>2955.0</v>
      </c>
      <c r="E34" s="126">
        <v>3008.0</v>
      </c>
      <c r="F34" s="126">
        <v>3044.0</v>
      </c>
      <c r="G34" s="126">
        <v>3058.0</v>
      </c>
      <c r="H34" s="126">
        <v>3071.0</v>
      </c>
      <c r="I34" s="1"/>
      <c r="J34" s="1"/>
      <c r="K34" s="1"/>
      <c r="L34" s="15" t="s">
        <v>102</v>
      </c>
      <c r="M34" s="118">
        <v>699.0</v>
      </c>
      <c r="N34" s="19">
        <f>M34/C7*10000</f>
        <v>481.0074319</v>
      </c>
      <c r="O34" s="118">
        <v>650.0</v>
      </c>
      <c r="P34" s="19">
        <f>O34/D7*10000</f>
        <v>430.2071613</v>
      </c>
      <c r="Q34" s="129">
        <v>1060.0</v>
      </c>
      <c r="R34" s="19">
        <f>Q34/E7*10000</f>
        <v>680.1411614</v>
      </c>
      <c r="S34" s="118">
        <v>614.0</v>
      </c>
      <c r="T34" s="19">
        <f>S34/F7*10000</f>
        <v>383.1035128</v>
      </c>
      <c r="U34" s="118">
        <v>1764.0</v>
      </c>
      <c r="V34" s="19">
        <f>U34/G7*10000</f>
        <v>1077.976045</v>
      </c>
      <c r="W34" s="118">
        <v>1227.0</v>
      </c>
      <c r="X34" s="19">
        <f>W34/H7*10000</f>
        <v>736.3178108</v>
      </c>
      <c r="Y34" s="19">
        <f t="shared" ref="Y34:Z34" si="41">((M34+O34+Q34+S34)/4)</f>
        <v>755.75</v>
      </c>
      <c r="Z34" s="19">
        <f t="shared" si="41"/>
        <v>493.6148168</v>
      </c>
      <c r="AA34" s="19">
        <f t="shared" si="3"/>
        <v>1189</v>
      </c>
      <c r="AB34" s="19">
        <f t="shared" si="4"/>
        <v>907.1469279</v>
      </c>
      <c r="AC34" s="22" t="s">
        <v>57</v>
      </c>
    </row>
    <row r="35" ht="14.25" customHeight="1">
      <c r="A35" s="1"/>
      <c r="B35" s="71" t="s">
        <v>103</v>
      </c>
      <c r="C35" s="126">
        <v>5375.0</v>
      </c>
      <c r="D35" s="126">
        <v>5619.0</v>
      </c>
      <c r="E35" s="126">
        <v>5831.0</v>
      </c>
      <c r="F35" s="126">
        <v>6038.0</v>
      </c>
      <c r="G35" s="126">
        <v>6227.0</v>
      </c>
      <c r="H35" s="126">
        <v>6367.0</v>
      </c>
      <c r="I35" s="1"/>
      <c r="J35" s="1"/>
      <c r="K35" s="1"/>
      <c r="L35" s="15" t="s">
        <v>104</v>
      </c>
      <c r="M35" s="118">
        <v>19.0</v>
      </c>
      <c r="N35" s="19">
        <f>M35/M4*1000</f>
        <v>84.44444444</v>
      </c>
      <c r="O35" s="118">
        <v>19.0</v>
      </c>
      <c r="P35" s="19">
        <f>O35/O4*1000</f>
        <v>82.96943231</v>
      </c>
      <c r="Q35" s="129">
        <v>39.0</v>
      </c>
      <c r="R35" s="19">
        <f>Q35/Q4*1000</f>
        <v>143.3823529</v>
      </c>
      <c r="S35" s="118">
        <v>13.0</v>
      </c>
      <c r="T35" s="19">
        <f>S35/S4*1000</f>
        <v>54.85232068</v>
      </c>
      <c r="U35" s="118">
        <v>30.0</v>
      </c>
      <c r="V35" s="19">
        <f>U35/U4*1000</f>
        <v>150.7537688</v>
      </c>
      <c r="W35" s="118">
        <v>9.0</v>
      </c>
      <c r="X35" s="19">
        <f>W35/W4*1000</f>
        <v>93.75</v>
      </c>
      <c r="Y35" s="19">
        <f t="shared" ref="Y35:Z35" si="42">((M35+O35+Q35+S35)/4)</f>
        <v>22.5</v>
      </c>
      <c r="Z35" s="19">
        <f t="shared" si="42"/>
        <v>91.41213759</v>
      </c>
      <c r="AA35" s="19">
        <f t="shared" si="3"/>
        <v>21.5</v>
      </c>
      <c r="AB35" s="19">
        <f t="shared" si="4"/>
        <v>122.2518844</v>
      </c>
      <c r="AC35" s="22" t="s">
        <v>57</v>
      </c>
    </row>
    <row r="36" ht="14.25" customHeight="1">
      <c r="A36" s="1"/>
      <c r="B36" s="71" t="s">
        <v>105</v>
      </c>
      <c r="C36" s="126">
        <v>1399.0</v>
      </c>
      <c r="D36" s="126">
        <v>1488.0</v>
      </c>
      <c r="E36" s="126">
        <v>1575.0</v>
      </c>
      <c r="F36" s="126">
        <v>1661.0</v>
      </c>
      <c r="G36" s="126">
        <v>1723.0</v>
      </c>
      <c r="H36" s="126">
        <v>1793.0</v>
      </c>
      <c r="I36" s="1"/>
      <c r="J36" s="1"/>
      <c r="K36" s="1"/>
      <c r="L36" s="15" t="s">
        <v>106</v>
      </c>
      <c r="M36" s="118">
        <v>6.0</v>
      </c>
      <c r="N36" s="19">
        <f>M36/M4*1000</f>
        <v>26.66666667</v>
      </c>
      <c r="O36" s="118">
        <v>1.0</v>
      </c>
      <c r="P36" s="19">
        <f>O36/O4*1000</f>
        <v>4.366812227</v>
      </c>
      <c r="Q36" s="129">
        <v>1.0</v>
      </c>
      <c r="R36" s="19">
        <f>Q36/Q4*1000</f>
        <v>3.676470588</v>
      </c>
      <c r="S36" s="118">
        <v>3.0</v>
      </c>
      <c r="T36" s="19">
        <f>S36/S4*1000</f>
        <v>12.65822785</v>
      </c>
      <c r="U36" s="118">
        <v>3.0</v>
      </c>
      <c r="V36" s="19">
        <f>U36/U4*1000</f>
        <v>15.07537688</v>
      </c>
      <c r="W36" s="118">
        <v>2.0</v>
      </c>
      <c r="X36" s="19">
        <f>W36/W4*1000</f>
        <v>20.83333333</v>
      </c>
      <c r="Y36" s="19">
        <f t="shared" ref="Y36:Z36" si="43">((M36+O36+Q36+S36)/4)</f>
        <v>2.75</v>
      </c>
      <c r="Z36" s="19">
        <f t="shared" si="43"/>
        <v>11.84204433</v>
      </c>
      <c r="AA36" s="19">
        <f t="shared" si="3"/>
        <v>3</v>
      </c>
      <c r="AB36" s="19">
        <f t="shared" si="4"/>
        <v>17.95435511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18">
        <v>0.0</v>
      </c>
      <c r="N37" s="36"/>
      <c r="O37" s="118">
        <v>0.0</v>
      </c>
      <c r="P37" s="36"/>
      <c r="Q37" s="129">
        <v>0.0</v>
      </c>
      <c r="R37" s="36"/>
      <c r="S37" s="118">
        <v>0.0</v>
      </c>
      <c r="T37" s="36"/>
      <c r="U37" s="118">
        <v>0.0</v>
      </c>
      <c r="V37" s="36"/>
      <c r="W37" s="118">
        <v>0.0</v>
      </c>
      <c r="X37" s="36"/>
      <c r="Y37" s="19">
        <f t="shared" ref="Y37:Z37" si="44">((M37+O37+Q37+S37)/4)</f>
        <v>0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18">
        <v>0.0</v>
      </c>
      <c r="N38" s="19">
        <f>M38/C7*10000</f>
        <v>0</v>
      </c>
      <c r="O38" s="118">
        <v>0.0</v>
      </c>
      <c r="P38" s="19">
        <f>O38/E7*10000</f>
        <v>0</v>
      </c>
      <c r="Q38" s="129">
        <v>0.0</v>
      </c>
      <c r="R38" s="19">
        <f>Q38/E7*10000</f>
        <v>0</v>
      </c>
      <c r="S38" s="118">
        <v>10.0</v>
      </c>
      <c r="T38" s="19">
        <f>S38/F7*10000</f>
        <v>6.239470893</v>
      </c>
      <c r="U38" s="118">
        <v>4.0</v>
      </c>
      <c r="V38" s="19">
        <f>U38/G7*10000</f>
        <v>2.444390125</v>
      </c>
      <c r="W38" s="118">
        <v>0.0</v>
      </c>
      <c r="X38" s="19">
        <f>W38/H7*10000</f>
        <v>0</v>
      </c>
      <c r="Y38" s="19">
        <f t="shared" ref="Y38:Z38" si="45">((M38+O38+Q38+S38)/4)</f>
        <v>2.5</v>
      </c>
      <c r="Z38" s="19">
        <f t="shared" si="45"/>
        <v>1.559867723</v>
      </c>
      <c r="AA38" s="19">
        <f t="shared" si="3"/>
        <v>7</v>
      </c>
      <c r="AB38" s="19">
        <f t="shared" si="4"/>
        <v>1.222195062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18">
        <v>21.0</v>
      </c>
      <c r="N39" s="19">
        <f>M39/C17*10000</f>
        <v>38.83854263</v>
      </c>
      <c r="O39" s="118">
        <v>13.0</v>
      </c>
      <c r="P39" s="19">
        <f>O39/D17*10000</f>
        <v>23.34350871</v>
      </c>
      <c r="Q39" s="129">
        <v>44.0</v>
      </c>
      <c r="R39" s="19">
        <f>Q39/E17*100000</f>
        <v>772.4719101</v>
      </c>
      <c r="S39" s="118">
        <v>43.0</v>
      </c>
      <c r="T39" s="19">
        <f>S39/F17*100000</f>
        <v>739.9759078</v>
      </c>
      <c r="U39" s="118">
        <v>40.0</v>
      </c>
      <c r="V39" s="19">
        <f>U39/G17*100000</f>
        <v>678.6562606</v>
      </c>
      <c r="W39" s="118">
        <v>31.0</v>
      </c>
      <c r="X39" s="19">
        <f>W39/H17*100000</f>
        <v>519.0021765</v>
      </c>
      <c r="Y39" s="19">
        <f t="shared" ref="Y39:Z39" si="46">((M39+O39+Q39+S39)/4)</f>
        <v>30.25</v>
      </c>
      <c r="Z39" s="19">
        <f t="shared" si="46"/>
        <v>393.6574673</v>
      </c>
      <c r="AA39" s="19">
        <f t="shared" si="3"/>
        <v>41.5</v>
      </c>
      <c r="AB39" s="19">
        <f t="shared" si="4"/>
        <v>598.8292185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18">
        <v>11.0</v>
      </c>
      <c r="N40" s="19">
        <f>M40/C7*100000</f>
        <v>75.69501789</v>
      </c>
      <c r="O40" s="118">
        <v>8.0</v>
      </c>
      <c r="P40" s="19">
        <f>O40/D7*100000</f>
        <v>52.9485737</v>
      </c>
      <c r="Q40" s="129">
        <v>23.0</v>
      </c>
      <c r="R40" s="19">
        <f>Q40/E7*100000</f>
        <v>147.5777992</v>
      </c>
      <c r="S40" s="118">
        <v>30.0</v>
      </c>
      <c r="T40" s="19">
        <f>S40/F7*100000</f>
        <v>187.1841268</v>
      </c>
      <c r="U40" s="118">
        <v>28.0</v>
      </c>
      <c r="V40" s="19">
        <f>U40/G7*100000</f>
        <v>171.1073087</v>
      </c>
      <c r="W40" s="118">
        <v>16.0</v>
      </c>
      <c r="X40" s="19">
        <f>W40/H7*100000</f>
        <v>96.01536246</v>
      </c>
      <c r="Y40" s="19">
        <f t="shared" ref="Y40:Z40" si="47">((M40+O40+Q40+S40)/4)</f>
        <v>18</v>
      </c>
      <c r="Z40" s="19">
        <f t="shared" si="47"/>
        <v>115.8513794</v>
      </c>
      <c r="AA40" s="19">
        <f t="shared" si="3"/>
        <v>29</v>
      </c>
      <c r="AB40" s="19">
        <f t="shared" si="4"/>
        <v>133.5613356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24">
        <v>126.0</v>
      </c>
      <c r="N41" s="57">
        <f>M41/C7*10000</f>
        <v>86.70520231</v>
      </c>
      <c r="O41" s="118">
        <v>101.0</v>
      </c>
      <c r="P41" s="57">
        <f>O41/D7*10000</f>
        <v>66.84757429</v>
      </c>
      <c r="Q41" s="129">
        <v>155.0</v>
      </c>
      <c r="R41" s="57">
        <f>Q41/E7*10000</f>
        <v>99.45460379</v>
      </c>
      <c r="S41" s="124">
        <v>148.0</v>
      </c>
      <c r="T41" s="57">
        <f>S41/F7*10000</f>
        <v>92.34416921</v>
      </c>
      <c r="U41" s="124">
        <v>163.0</v>
      </c>
      <c r="V41" s="57">
        <f>U41/G7*10000</f>
        <v>99.60889758</v>
      </c>
      <c r="W41" s="124">
        <v>94.0</v>
      </c>
      <c r="X41" s="57">
        <f>W41/H7*10000</f>
        <v>56.40902544</v>
      </c>
      <c r="Y41" s="19">
        <f t="shared" ref="Y41:Z41" si="48">((M41+O41+Q41+S41)/4)</f>
        <v>132.5</v>
      </c>
      <c r="Z41" s="19">
        <f t="shared" si="48"/>
        <v>86.3378874</v>
      </c>
      <c r="AA41" s="19">
        <f t="shared" si="3"/>
        <v>155.5</v>
      </c>
      <c r="AB41" s="19">
        <f t="shared" si="4"/>
        <v>78.00896151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24">
        <v>22.0</v>
      </c>
      <c r="N42" s="57">
        <f>M42/C7*10000</f>
        <v>15.13900358</v>
      </c>
      <c r="O42" s="118">
        <v>6.0</v>
      </c>
      <c r="P42" s="57">
        <f>O42/D7*10000</f>
        <v>3.971143027</v>
      </c>
      <c r="Q42" s="129">
        <v>32.0</v>
      </c>
      <c r="R42" s="57">
        <f>Q42/E7*10000</f>
        <v>20.53256336</v>
      </c>
      <c r="S42" s="124">
        <v>7.0</v>
      </c>
      <c r="T42" s="57">
        <f>S42/F7*10000</f>
        <v>4.367629625</v>
      </c>
      <c r="U42" s="124">
        <v>41.0</v>
      </c>
      <c r="V42" s="57">
        <f>U42/G7*10000</f>
        <v>25.05499878</v>
      </c>
      <c r="W42" s="124">
        <v>23.0</v>
      </c>
      <c r="X42" s="57">
        <f>W42/H7*10000</f>
        <v>13.80220835</v>
      </c>
      <c r="Y42" s="19">
        <f t="shared" ref="Y42:Z42" si="49">((M42+O42+Q42+S42)/4)</f>
        <v>16.75</v>
      </c>
      <c r="Z42" s="19">
        <f t="shared" si="49"/>
        <v>11.0025849</v>
      </c>
      <c r="AA42" s="19">
        <f t="shared" si="3"/>
        <v>24</v>
      </c>
      <c r="AB42" s="19">
        <f t="shared" si="4"/>
        <v>19.42860357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24">
        <v>18.0</v>
      </c>
      <c r="N43" s="57">
        <f>M43/C16*10000</f>
        <v>17.32768579</v>
      </c>
      <c r="O43" s="118">
        <v>12.0</v>
      </c>
      <c r="P43" s="57">
        <f>O43/D16*10000</f>
        <v>11.0834026</v>
      </c>
      <c r="Q43" s="129">
        <v>36.0</v>
      </c>
      <c r="R43" s="57">
        <f>Q43/E16*100000</f>
        <v>321.7158177</v>
      </c>
      <c r="S43" s="124">
        <v>29.0</v>
      </c>
      <c r="T43" s="57">
        <f>S43/F16*100000</f>
        <v>251.4523541</v>
      </c>
      <c r="U43" s="124">
        <v>37.0</v>
      </c>
      <c r="V43" s="57">
        <f>U43/G16*100000</f>
        <v>313.3468835</v>
      </c>
      <c r="W43" s="124">
        <v>19.0</v>
      </c>
      <c r="X43" s="57">
        <f>W43/H16*100000</f>
        <v>157.7810995</v>
      </c>
      <c r="Y43" s="19">
        <f t="shared" ref="Y43:Z43" si="50">((M43+O43+Q43+S43)/4)</f>
        <v>23.75</v>
      </c>
      <c r="Z43" s="19">
        <f t="shared" si="50"/>
        <v>150.3948151</v>
      </c>
      <c r="AA43" s="19">
        <f t="shared" si="3"/>
        <v>33</v>
      </c>
      <c r="AB43" s="19">
        <f t="shared" si="4"/>
        <v>235.5639915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16.0</v>
      </c>
      <c r="N44" s="57">
        <f>M44/C7*100000</f>
        <v>110.1018442</v>
      </c>
      <c r="O44" s="118">
        <v>18.0</v>
      </c>
      <c r="P44" s="57">
        <f>O44/D7*100000</f>
        <v>119.1342908</v>
      </c>
      <c r="Q44" s="118">
        <v>22.0</v>
      </c>
      <c r="R44" s="19">
        <f>Q44/E7*100000</f>
        <v>141.1613731</v>
      </c>
      <c r="S44" s="118">
        <v>21.0</v>
      </c>
      <c r="T44" s="19">
        <f>S44/F7*100000</f>
        <v>131.0288888</v>
      </c>
      <c r="U44" s="118">
        <v>23.0</v>
      </c>
      <c r="V44" s="19">
        <f>U44/G7*100000</f>
        <v>140.5524322</v>
      </c>
      <c r="W44" s="17"/>
      <c r="X44" s="19">
        <f>W44/H7*100000</f>
        <v>0</v>
      </c>
      <c r="Y44" s="19">
        <f t="shared" ref="Y44:Z44" si="51">((M44+O44+Q44+S44)/4)</f>
        <v>19.25</v>
      </c>
      <c r="Z44" s="19">
        <f t="shared" si="51"/>
        <v>125.3565992</v>
      </c>
      <c r="AA44" s="19">
        <f t="shared" si="3"/>
        <v>22</v>
      </c>
      <c r="AB44" s="19">
        <f t="shared" si="4"/>
        <v>70.27621608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127">
        <v>223.0</v>
      </c>
      <c r="N45" s="57">
        <f>M45/M4*100</f>
        <v>99.11111111</v>
      </c>
      <c r="O45" s="118">
        <v>229.0</v>
      </c>
      <c r="P45" s="57">
        <f>O45/O4*100</f>
        <v>100</v>
      </c>
      <c r="Q45" s="118">
        <v>272.0</v>
      </c>
      <c r="R45" s="19">
        <f>Q45/Q4*100</f>
        <v>100</v>
      </c>
      <c r="S45" s="118">
        <v>237.0</v>
      </c>
      <c r="T45" s="19">
        <f>S45/S4*100</f>
        <v>100</v>
      </c>
      <c r="U45" s="118">
        <v>198.0</v>
      </c>
      <c r="V45" s="19">
        <f>U45/U4*100</f>
        <v>99.49748744</v>
      </c>
      <c r="W45" s="118">
        <v>95.0</v>
      </c>
      <c r="X45" s="19">
        <f>W45/W4*100</f>
        <v>98.95833333</v>
      </c>
      <c r="Y45" s="19">
        <f t="shared" ref="Y45:Z45" si="52">((M45+O45+Q45+S45)/4)</f>
        <v>240.25</v>
      </c>
      <c r="Z45" s="19">
        <f t="shared" si="52"/>
        <v>99.77777778</v>
      </c>
      <c r="AA45" s="19">
        <f t="shared" si="3"/>
        <v>217.5</v>
      </c>
      <c r="AB45" s="19">
        <f t="shared" si="4"/>
        <v>99.22791039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127">
        <v>184.0</v>
      </c>
      <c r="N46" s="57">
        <f>M46/M4*100</f>
        <v>81.77777778</v>
      </c>
      <c r="O46" s="118">
        <v>193.0</v>
      </c>
      <c r="P46" s="57">
        <f>O46/O4*100</f>
        <v>84.27947598</v>
      </c>
      <c r="Q46" s="118">
        <v>236.0</v>
      </c>
      <c r="R46" s="19">
        <f>Q46/Q4*100</f>
        <v>86.76470588</v>
      </c>
      <c r="S46" s="118">
        <v>204.0</v>
      </c>
      <c r="T46" s="19">
        <f>S46/S4*100</f>
        <v>86.07594937</v>
      </c>
      <c r="U46" s="118">
        <v>175.0</v>
      </c>
      <c r="V46" s="19">
        <f>U46/U4*100</f>
        <v>87.93969849</v>
      </c>
      <c r="W46" s="118">
        <v>80.0</v>
      </c>
      <c r="X46" s="19">
        <f>W46/W4*100</f>
        <v>83.33333333</v>
      </c>
      <c r="Y46" s="19">
        <f t="shared" ref="Y46:Z46" si="53">((M46+O46+Q46+S46)/4)</f>
        <v>204.25</v>
      </c>
      <c r="Z46" s="19">
        <f t="shared" si="53"/>
        <v>84.72447725</v>
      </c>
      <c r="AA46" s="19">
        <f t="shared" si="3"/>
        <v>189.5</v>
      </c>
      <c r="AB46" s="19">
        <f t="shared" si="4"/>
        <v>85.63651591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129">
        <v>2.0</v>
      </c>
      <c r="N47" s="19">
        <f>M47/C7*100000</f>
        <v>13.76273053</v>
      </c>
      <c r="O47" s="129">
        <v>4.0</v>
      </c>
      <c r="P47" s="19">
        <f>O47/D7*100000</f>
        <v>26.47428685</v>
      </c>
      <c r="Q47" s="129">
        <v>3.0</v>
      </c>
      <c r="R47" s="19">
        <f>Q47/E7*100000</f>
        <v>19.24927815</v>
      </c>
      <c r="S47" s="118">
        <v>1.0</v>
      </c>
      <c r="T47" s="19">
        <f>S47/F7*100000</f>
        <v>6.239470893</v>
      </c>
      <c r="U47" s="118">
        <v>5.0</v>
      </c>
      <c r="V47" s="19">
        <f>U47/G7*100000</f>
        <v>30.55487656</v>
      </c>
      <c r="W47" s="118">
        <v>1.0</v>
      </c>
      <c r="X47" s="19">
        <f>W47/H7*100000</f>
        <v>6.000960154</v>
      </c>
      <c r="Y47" s="19">
        <f t="shared" ref="Y47:Z47" si="54">((M47+O47+Q47+S47)/4)</f>
        <v>2.5</v>
      </c>
      <c r="Z47" s="19">
        <f t="shared" si="54"/>
        <v>16.4314416</v>
      </c>
      <c r="AA47" s="19">
        <f t="shared" si="3"/>
        <v>3</v>
      </c>
      <c r="AB47" s="19">
        <f t="shared" si="4"/>
        <v>18.27791836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129">
        <v>1.0</v>
      </c>
      <c r="N48" s="19">
        <f>M48/C7*100000</f>
        <v>6.881365263</v>
      </c>
      <c r="O48" s="118">
        <v>2.0</v>
      </c>
      <c r="P48" s="19">
        <f>O48/D7*100000</f>
        <v>13.23714342</v>
      </c>
      <c r="Q48" s="129">
        <v>1.0</v>
      </c>
      <c r="R48" s="19">
        <f>Q48/E7*100000</f>
        <v>6.416426051</v>
      </c>
      <c r="S48" s="118">
        <v>2.0</v>
      </c>
      <c r="T48" s="19">
        <f>S48/F7*100000</f>
        <v>12.47894179</v>
      </c>
      <c r="U48" s="118">
        <v>4.0</v>
      </c>
      <c r="V48" s="19">
        <f>U48/G7*100000</f>
        <v>24.44390125</v>
      </c>
      <c r="W48" s="118">
        <v>2.0</v>
      </c>
      <c r="X48" s="19">
        <f>W48/H7*100000</f>
        <v>12.00192031</v>
      </c>
      <c r="Y48" s="19">
        <f t="shared" ref="Y48:Z48" si="55">((M48+O48+Q48+S48)/4)</f>
        <v>1.5</v>
      </c>
      <c r="Z48" s="19">
        <f t="shared" si="55"/>
        <v>9.753469131</v>
      </c>
      <c r="AA48" s="19">
        <f t="shared" si="3"/>
        <v>3</v>
      </c>
      <c r="AB48" s="19">
        <f t="shared" si="4"/>
        <v>18.22291078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29">
        <v>5.0</v>
      </c>
      <c r="N49" s="19">
        <f>M49/C7*100000</f>
        <v>34.40682631</v>
      </c>
      <c r="O49" s="118">
        <v>1.0</v>
      </c>
      <c r="P49" s="19">
        <f>O49/D7*100000</f>
        <v>6.618571712</v>
      </c>
      <c r="Q49" s="129">
        <v>1.0</v>
      </c>
      <c r="R49" s="19">
        <f>Q49/E7*100000</f>
        <v>6.416426051</v>
      </c>
      <c r="S49" s="118">
        <v>1.0</v>
      </c>
      <c r="T49" s="19">
        <f>S49/F7*100000</f>
        <v>6.239470893</v>
      </c>
      <c r="U49" s="118">
        <v>2.0</v>
      </c>
      <c r="V49" s="19">
        <f>U49/G7*100000</f>
        <v>12.22195062</v>
      </c>
      <c r="W49" s="118">
        <v>0.0</v>
      </c>
      <c r="X49" s="19">
        <f>W49/H7*100000</f>
        <v>0</v>
      </c>
      <c r="Y49" s="19">
        <f t="shared" ref="Y49:Z49" si="56">((M49+O49+Q49+S49)/4)</f>
        <v>2</v>
      </c>
      <c r="Z49" s="19">
        <f t="shared" si="56"/>
        <v>13.42032374</v>
      </c>
      <c r="AA49" s="19">
        <f t="shared" si="3"/>
        <v>1.5</v>
      </c>
      <c r="AB49" s="19">
        <f t="shared" si="4"/>
        <v>6.110975312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129">
        <v>0.0</v>
      </c>
      <c r="N50" s="19">
        <f>M50/C7*100000</f>
        <v>0</v>
      </c>
      <c r="O50" s="129">
        <v>1.0</v>
      </c>
      <c r="P50" s="19">
        <f>O50/D7*100000</f>
        <v>6.618571712</v>
      </c>
      <c r="Q50" s="129">
        <v>0.0</v>
      </c>
      <c r="R50" s="19">
        <f>Q50/E7*100000</f>
        <v>0</v>
      </c>
      <c r="S50" s="118">
        <v>0.0</v>
      </c>
      <c r="T50" s="19">
        <f>S50/F7*100000</f>
        <v>0</v>
      </c>
      <c r="U50" s="118">
        <v>1.0</v>
      </c>
      <c r="V50" s="19">
        <f>U50/G7*100000</f>
        <v>6.110975312</v>
      </c>
      <c r="W50" s="118">
        <v>0.0</v>
      </c>
      <c r="X50" s="19">
        <f>W50/H7*100000</f>
        <v>0</v>
      </c>
      <c r="Y50" s="19">
        <f t="shared" ref="Y50:Z50" si="57">((M50+O50+Q50+S50)/4)</f>
        <v>0.25</v>
      </c>
      <c r="Z50" s="19">
        <f t="shared" si="57"/>
        <v>1.654642928</v>
      </c>
      <c r="AA50" s="19">
        <f t="shared" si="3"/>
        <v>0.5</v>
      </c>
      <c r="AB50" s="19">
        <f t="shared" si="4"/>
        <v>3.055487656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29">
        <v>0.0</v>
      </c>
      <c r="N51" s="19">
        <f>M51/C7*100000</f>
        <v>0</v>
      </c>
      <c r="O51" s="129">
        <v>0.0</v>
      </c>
      <c r="P51" s="19">
        <f>O51/D7*100000</f>
        <v>0</v>
      </c>
      <c r="Q51" s="129">
        <v>0.0</v>
      </c>
      <c r="R51" s="19">
        <f>Q51/E7*100000</f>
        <v>0</v>
      </c>
      <c r="S51" s="118">
        <v>0.0</v>
      </c>
      <c r="T51" s="19">
        <f>S51/F7*100000</f>
        <v>0</v>
      </c>
      <c r="U51" s="118">
        <v>0.0</v>
      </c>
      <c r="V51" s="19">
        <f>U51/G7*100000</f>
        <v>0</v>
      </c>
      <c r="W51" s="118">
        <v>0.0</v>
      </c>
      <c r="X51" s="19">
        <f>W51/H7*100000</f>
        <v>0</v>
      </c>
      <c r="Y51" s="19">
        <f t="shared" ref="Y51:Z51" si="58">((M51+O51+Q51+S51)/4)</f>
        <v>0</v>
      </c>
      <c r="Z51" s="19">
        <f t="shared" si="58"/>
        <v>0</v>
      </c>
      <c r="AA51" s="19">
        <f t="shared" si="3"/>
        <v>0</v>
      </c>
      <c r="AB51" s="19">
        <f t="shared" si="4"/>
        <v>0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29">
        <v>2.0</v>
      </c>
      <c r="N52" s="19">
        <f>M52/C7*100000</f>
        <v>13.76273053</v>
      </c>
      <c r="O52" s="129">
        <v>1.0</v>
      </c>
      <c r="P52" s="19">
        <f>O52/D7*100000</f>
        <v>6.618571712</v>
      </c>
      <c r="Q52" s="129">
        <v>2.0</v>
      </c>
      <c r="R52" s="19">
        <f>Q52/E7*100000</f>
        <v>12.8328521</v>
      </c>
      <c r="S52" s="118">
        <v>2.0</v>
      </c>
      <c r="T52" s="19">
        <f>S52/F7*100000</f>
        <v>12.47894179</v>
      </c>
      <c r="U52" s="118">
        <v>0.0</v>
      </c>
      <c r="V52" s="19">
        <f>U52/G7*100000</f>
        <v>0</v>
      </c>
      <c r="W52" s="118">
        <v>1.0</v>
      </c>
      <c r="X52" s="19">
        <f>W52/H7*100000</f>
        <v>6.000960154</v>
      </c>
      <c r="Y52" s="19">
        <f t="shared" ref="Y52:Z52" si="59">((M52+O52+Q52+S52)/4)</f>
        <v>1.75</v>
      </c>
      <c r="Z52" s="19">
        <f t="shared" si="59"/>
        <v>11.42327403</v>
      </c>
      <c r="AA52" s="19">
        <f t="shared" si="3"/>
        <v>1</v>
      </c>
      <c r="AB52" s="19">
        <f t="shared" si="4"/>
        <v>3.000480077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129">
        <v>0.0</v>
      </c>
      <c r="N53" s="19">
        <f>M53/C17*100000</f>
        <v>0</v>
      </c>
      <c r="O53" s="129">
        <v>0.0</v>
      </c>
      <c r="P53" s="19">
        <f>O53/D17*100000</f>
        <v>0</v>
      </c>
      <c r="Q53" s="129">
        <v>0.0</v>
      </c>
      <c r="R53" s="19">
        <f>Q53/E17*100000</f>
        <v>0</v>
      </c>
      <c r="S53" s="118">
        <v>0.0</v>
      </c>
      <c r="T53" s="19">
        <f>S53/F17*100000</f>
        <v>0</v>
      </c>
      <c r="U53" s="118">
        <v>0.0</v>
      </c>
      <c r="V53" s="19">
        <f>U53/G17*100000</f>
        <v>0</v>
      </c>
      <c r="W53" s="118">
        <v>0.0</v>
      </c>
      <c r="X53" s="19">
        <f>W53/H17*100000</f>
        <v>0</v>
      </c>
      <c r="Y53" s="19">
        <f t="shared" ref="Y53:Z53" si="60">((M53+O53+Q53+S53)/4)</f>
        <v>0</v>
      </c>
      <c r="Z53" s="19">
        <f t="shared" si="60"/>
        <v>0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129">
        <v>0.0</v>
      </c>
      <c r="N54" s="19">
        <f>M54/C19*100000</f>
        <v>0</v>
      </c>
      <c r="O54" s="129">
        <v>0.0</v>
      </c>
      <c r="P54" s="19">
        <f>O54/D19*100000</f>
        <v>0</v>
      </c>
      <c r="Q54" s="129">
        <v>0.0</v>
      </c>
      <c r="R54" s="19">
        <f>Q54/E19*100000</f>
        <v>0</v>
      </c>
      <c r="S54" s="118">
        <v>0.0</v>
      </c>
      <c r="T54" s="19">
        <f>S54/F19*100000</f>
        <v>0</v>
      </c>
      <c r="U54" s="118">
        <v>0.0</v>
      </c>
      <c r="V54" s="19">
        <f>U54/G19*100000</f>
        <v>0</v>
      </c>
      <c r="W54" s="118">
        <v>0.0</v>
      </c>
      <c r="X54" s="19">
        <f>W54/H19*100000</f>
        <v>0</v>
      </c>
      <c r="Y54" s="19">
        <f t="shared" ref="Y54:Z54" si="61">((M54+O54+Q54+S54)/4)</f>
        <v>0</v>
      </c>
      <c r="Z54" s="19">
        <f t="shared" si="61"/>
        <v>0</v>
      </c>
      <c r="AA54" s="19">
        <f t="shared" si="3"/>
        <v>0</v>
      </c>
      <c r="AB54" s="19">
        <f t="shared" si="4"/>
        <v>0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129">
        <v>0.0</v>
      </c>
      <c r="N55" s="19">
        <f>M55/C19*100000</f>
        <v>0</v>
      </c>
      <c r="O55" s="129">
        <v>0.0</v>
      </c>
      <c r="P55" s="19">
        <f>O55/D19*100000</f>
        <v>0</v>
      </c>
      <c r="Q55" s="129">
        <v>0.0</v>
      </c>
      <c r="R55" s="19">
        <f>Q55/E19*100000</f>
        <v>0</v>
      </c>
      <c r="S55" s="118">
        <v>1.0</v>
      </c>
      <c r="T55" s="19">
        <f>S55/F19*100000</f>
        <v>10.8731108</v>
      </c>
      <c r="U55" s="118">
        <v>1.0</v>
      </c>
      <c r="V55" s="19">
        <f>U55/G19*100000</f>
        <v>10.61683831</v>
      </c>
      <c r="W55" s="118">
        <v>0.0</v>
      </c>
      <c r="X55" s="19">
        <f>W55/H19*100000</f>
        <v>0</v>
      </c>
      <c r="Y55" s="19">
        <f t="shared" ref="Y55:Z55" si="62">((M55+O55+Q55+S55)/4)</f>
        <v>0.25</v>
      </c>
      <c r="Z55" s="19">
        <f t="shared" si="62"/>
        <v>2.718277699</v>
      </c>
      <c r="AA55" s="19">
        <f t="shared" si="3"/>
        <v>1</v>
      </c>
      <c r="AB55" s="19">
        <f t="shared" si="4"/>
        <v>5.308419153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29">
        <v>0.0</v>
      </c>
      <c r="N56" s="19">
        <f>M56/C7*100000</f>
        <v>0</v>
      </c>
      <c r="O56" s="129">
        <v>0.0</v>
      </c>
      <c r="P56" s="19">
        <f>O56/D7*100000</f>
        <v>0</v>
      </c>
      <c r="Q56" s="129">
        <v>0.0</v>
      </c>
      <c r="R56" s="19">
        <f>Q56/E7*100000</f>
        <v>0</v>
      </c>
      <c r="S56" s="118">
        <v>0.0</v>
      </c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29">
        <v>0.0</v>
      </c>
      <c r="N57" s="19">
        <f>M57/M4*100000</f>
        <v>0</v>
      </c>
      <c r="O57" s="129">
        <v>0.0</v>
      </c>
      <c r="P57" s="19">
        <f>O57/O4*100000</f>
        <v>0</v>
      </c>
      <c r="Q57" s="129">
        <v>0.0</v>
      </c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127">
        <v>9.0</v>
      </c>
      <c r="N58" s="57">
        <f>M58/C7*100000</f>
        <v>61.93228737</v>
      </c>
      <c r="O58" s="127">
        <v>5.0</v>
      </c>
      <c r="P58" s="57">
        <f>O58/D7*100000</f>
        <v>33.09285856</v>
      </c>
      <c r="Q58" s="127">
        <v>7.0</v>
      </c>
      <c r="R58" s="57">
        <f>Q58/E7*100000</f>
        <v>44.91498235</v>
      </c>
      <c r="S58" s="124">
        <v>11.0</v>
      </c>
      <c r="T58" s="57">
        <f>S58/F7*100000</f>
        <v>68.63417982</v>
      </c>
      <c r="U58" s="124">
        <v>21.0</v>
      </c>
      <c r="V58" s="57">
        <f>U58/G7*100000</f>
        <v>128.3304815</v>
      </c>
      <c r="W58" s="124">
        <v>1.0</v>
      </c>
      <c r="X58" s="57">
        <f>W58/H7*100000</f>
        <v>6.000960154</v>
      </c>
      <c r="Y58" s="19">
        <f t="shared" ref="Y58:Z58" si="65">((M58+O58+Q58+S58)/4)</f>
        <v>8</v>
      </c>
      <c r="Z58" s="19">
        <f t="shared" si="65"/>
        <v>52.14357703</v>
      </c>
      <c r="AA58" s="19">
        <f t="shared" si="3"/>
        <v>16</v>
      </c>
      <c r="AB58" s="19">
        <f t="shared" si="4"/>
        <v>67.16572085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127">
        <v>0.0</v>
      </c>
      <c r="N59" s="57">
        <f>M59/C7*100000</f>
        <v>0</v>
      </c>
      <c r="O59" s="127">
        <v>0.0</v>
      </c>
      <c r="P59" s="57">
        <f>O59/D7*100000</f>
        <v>0</v>
      </c>
      <c r="Q59" s="127">
        <v>0.0</v>
      </c>
      <c r="R59" s="57">
        <f>Q59/E7*100000</f>
        <v>0</v>
      </c>
      <c r="S59" s="137">
        <v>0.0</v>
      </c>
      <c r="T59" s="98">
        <f>S59/F7*100000</f>
        <v>0</v>
      </c>
      <c r="U59" s="137">
        <v>0.0</v>
      </c>
      <c r="V59" s="98">
        <f>U59/G7*100000</f>
        <v>0</v>
      </c>
      <c r="W59" s="137">
        <v>1.0</v>
      </c>
      <c r="X59" s="98">
        <f>W59/H7*100000</f>
        <v>6.000960154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>
        <f t="shared" si="4"/>
        <v>3.000480077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127">
        <v>0.0</v>
      </c>
      <c r="N60" s="57">
        <f>M60/C17*100000</f>
        <v>0</v>
      </c>
      <c r="O60" s="127">
        <v>0.0</v>
      </c>
      <c r="P60" s="57">
        <f>O60/D17*100000</f>
        <v>0</v>
      </c>
      <c r="Q60" s="127">
        <v>0.0</v>
      </c>
      <c r="R60" s="57">
        <f>Q60/E17*100000</f>
        <v>0</v>
      </c>
      <c r="S60" s="124">
        <v>0.0</v>
      </c>
      <c r="T60" s="57">
        <f>S60/F17*100000</f>
        <v>0</v>
      </c>
      <c r="U60" s="124">
        <v>0.0</v>
      </c>
      <c r="V60" s="57">
        <f>U60/G17*100000</f>
        <v>0</v>
      </c>
      <c r="W60" s="124">
        <v>0.0</v>
      </c>
      <c r="X60" s="57">
        <f>W60/H17*100000</f>
        <v>0</v>
      </c>
      <c r="Y60" s="99">
        <f>((M60+O60+Q60+S60)/4)</f>
        <v>0</v>
      </c>
      <c r="Z60" s="99">
        <f>((N60+P60+R60+T60)/1)</f>
        <v>0</v>
      </c>
      <c r="AA60" s="19">
        <f t="shared" si="3"/>
        <v>0</v>
      </c>
      <c r="AB60" s="19">
        <f t="shared" si="4"/>
        <v>0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127">
        <v>224.0</v>
      </c>
      <c r="N61" s="57">
        <f>M61/C15*1000</f>
        <v>122.3375205</v>
      </c>
      <c r="O61" s="127">
        <v>120.0</v>
      </c>
      <c r="P61" s="57">
        <f>O61/D15*1000</f>
        <v>63.66047745</v>
      </c>
      <c r="Q61" s="127">
        <v>112.0</v>
      </c>
      <c r="R61" s="57">
        <f>Q61/E15*1000</f>
        <v>58.21205821</v>
      </c>
      <c r="S61" s="124">
        <v>34.0</v>
      </c>
      <c r="T61" s="57">
        <f>S61/F15*1000</f>
        <v>17.41803279</v>
      </c>
      <c r="U61" s="124">
        <v>149.0</v>
      </c>
      <c r="V61" s="57">
        <f>U61/G15*1000</f>
        <v>77.12215321</v>
      </c>
      <c r="W61" s="124">
        <v>86.0</v>
      </c>
      <c r="X61" s="57">
        <f>W61/H23*1000</f>
        <v>44.23868313</v>
      </c>
      <c r="Y61" s="99">
        <f t="shared" ref="Y61:Z61" si="67">((M61+O61+Q61+S61)/1)</f>
        <v>490</v>
      </c>
      <c r="Z61" s="99">
        <f t="shared" si="67"/>
        <v>261.6280889</v>
      </c>
      <c r="AA61" s="19">
        <f t="shared" si="3"/>
        <v>91.5</v>
      </c>
      <c r="AB61" s="19">
        <f t="shared" si="4"/>
        <v>60.68041817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127">
        <v>973.0</v>
      </c>
      <c r="N62" s="57">
        <f>M62/C15*1000</f>
        <v>531.4036046</v>
      </c>
      <c r="O62" s="127">
        <v>1285.0</v>
      </c>
      <c r="P62" s="57">
        <f>O62/D15*1000</f>
        <v>681.6976127</v>
      </c>
      <c r="Q62" s="127">
        <v>2122.0</v>
      </c>
      <c r="R62" s="57">
        <f>Q62/E15*1000</f>
        <v>1102.910603</v>
      </c>
      <c r="S62" s="124">
        <v>2886.0</v>
      </c>
      <c r="T62" s="57">
        <f>S62/F15*1000</f>
        <v>1478.483607</v>
      </c>
      <c r="U62" s="124">
        <v>709.0</v>
      </c>
      <c r="V62" s="57">
        <f>U62/G15*1000</f>
        <v>366.9772257</v>
      </c>
      <c r="W62" s="124">
        <v>450.0</v>
      </c>
      <c r="X62" s="57">
        <f>W62/H15*1000</f>
        <v>231.4814815</v>
      </c>
      <c r="Y62" s="99">
        <f t="shared" ref="Y62:Z62" si="68">((M62+O62+Q62+S62)/1)</f>
        <v>7266</v>
      </c>
      <c r="Z62" s="99">
        <f t="shared" si="68"/>
        <v>3794.495427</v>
      </c>
      <c r="AA62" s="19">
        <f t="shared" si="3"/>
        <v>1797.5</v>
      </c>
      <c r="AB62" s="19">
        <f t="shared" si="4"/>
        <v>299.2293536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127">
        <v>3.0</v>
      </c>
      <c r="N63" s="57">
        <f>M63/C17*100000</f>
        <v>55.48363233</v>
      </c>
      <c r="O63" s="127">
        <v>2.0</v>
      </c>
      <c r="P63" s="57">
        <f>O63/D17*100000</f>
        <v>35.91309032</v>
      </c>
      <c r="Q63" s="127">
        <v>4.0</v>
      </c>
      <c r="R63" s="57">
        <f>Q63/E17*100000</f>
        <v>70.2247191</v>
      </c>
      <c r="S63" s="124">
        <v>2.0</v>
      </c>
      <c r="T63" s="57">
        <f>S63/F17*100000</f>
        <v>34.41748408</v>
      </c>
      <c r="U63" s="124">
        <v>4.0</v>
      </c>
      <c r="V63" s="57">
        <f>U63/G17*100000</f>
        <v>67.86562606</v>
      </c>
      <c r="W63" s="124">
        <v>6.0</v>
      </c>
      <c r="X63" s="57">
        <f>W63/H17*100000</f>
        <v>100.4520342</v>
      </c>
      <c r="Y63" s="99">
        <f t="shared" ref="Y63:Z63" si="69">((M63+O63+Q63+S63)/1)</f>
        <v>11</v>
      </c>
      <c r="Z63" s="99">
        <f t="shared" si="69"/>
        <v>196.0389258</v>
      </c>
      <c r="AA63" s="19">
        <f t="shared" si="3"/>
        <v>3</v>
      </c>
      <c r="AB63" s="19">
        <f t="shared" si="4"/>
        <v>84.15883011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127">
        <v>0.0</v>
      </c>
      <c r="N64" s="57">
        <f>M64/C17*100000</f>
        <v>0</v>
      </c>
      <c r="O64" s="127">
        <v>5.0</v>
      </c>
      <c r="P64" s="57">
        <f>O64/D17*100000</f>
        <v>89.7827258</v>
      </c>
      <c r="Q64" s="127">
        <v>4.0</v>
      </c>
      <c r="R64" s="57">
        <f>Q64/E17*100000</f>
        <v>70.2247191</v>
      </c>
      <c r="S64" s="124">
        <v>6.0</v>
      </c>
      <c r="T64" s="57">
        <f>S64/F17*100000</f>
        <v>103.2524522</v>
      </c>
      <c r="U64" s="139">
        <v>1.0</v>
      </c>
      <c r="V64" s="57">
        <f>U64/G17*100000</f>
        <v>16.96640652</v>
      </c>
      <c r="W64" s="124">
        <v>1.0</v>
      </c>
      <c r="X64" s="57">
        <f>W64/H17*100000</f>
        <v>16.74200569</v>
      </c>
      <c r="Y64" s="99">
        <f t="shared" ref="Y64:Z64" si="70">((M64+O64+Q64+S64)/1)</f>
        <v>15</v>
      </c>
      <c r="Z64" s="99">
        <f t="shared" si="70"/>
        <v>263.2598972</v>
      </c>
      <c r="AA64" s="19">
        <f t="shared" si="3"/>
        <v>3.5</v>
      </c>
      <c r="AB64" s="19">
        <f t="shared" si="4"/>
        <v>16.8542061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127">
        <v>10.0</v>
      </c>
      <c r="N65" s="57">
        <f>M65/C17*100000</f>
        <v>184.9454411</v>
      </c>
      <c r="O65" s="127">
        <v>6.0</v>
      </c>
      <c r="P65" s="57">
        <f>O65/D17*100000</f>
        <v>107.739271</v>
      </c>
      <c r="Q65" s="127">
        <v>9.0</v>
      </c>
      <c r="R65" s="57">
        <f>Q65/E17*100000</f>
        <v>158.005618</v>
      </c>
      <c r="S65" s="127">
        <v>12.0</v>
      </c>
      <c r="T65" s="57">
        <f>S65/F17*100000</f>
        <v>206.5049045</v>
      </c>
      <c r="U65" s="127">
        <v>17.0</v>
      </c>
      <c r="V65" s="57">
        <f>U65/G17*100000</f>
        <v>288.4289108</v>
      </c>
      <c r="W65" s="124">
        <v>6.0</v>
      </c>
      <c r="X65" s="57">
        <f>W65/H17*100000</f>
        <v>100.4520342</v>
      </c>
      <c r="Y65" s="99">
        <f t="shared" ref="Y65:Z65" si="71">((M65+O65+Q65+S65)/1)</f>
        <v>37</v>
      </c>
      <c r="Z65" s="99">
        <f t="shared" si="71"/>
        <v>657.1952345</v>
      </c>
      <c r="AA65" s="19">
        <f t="shared" si="3"/>
        <v>14.5</v>
      </c>
      <c r="AB65" s="19">
        <f t="shared" si="4"/>
        <v>194.4404725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127">
        <v>8.0</v>
      </c>
      <c r="N66" s="57">
        <f>M66/C17*100000</f>
        <v>147.9563529</v>
      </c>
      <c r="O66" s="127">
        <v>4.0</v>
      </c>
      <c r="P66" s="57">
        <f>O66/D17*100000</f>
        <v>71.82618064</v>
      </c>
      <c r="Q66" s="127">
        <v>10.0</v>
      </c>
      <c r="R66" s="57">
        <f>Q66/E17*100000</f>
        <v>175.5617978</v>
      </c>
      <c r="S66" s="127">
        <v>17.0</v>
      </c>
      <c r="T66" s="57">
        <f>S66/F17*100000</f>
        <v>292.5486147</v>
      </c>
      <c r="U66" s="127">
        <v>13.0</v>
      </c>
      <c r="V66" s="57">
        <f>U66/G17*100000</f>
        <v>220.5632847</v>
      </c>
      <c r="W66" s="124">
        <v>12.0</v>
      </c>
      <c r="X66" s="57">
        <f>W66/H17*100000</f>
        <v>200.9040683</v>
      </c>
      <c r="Y66" s="99">
        <f t="shared" ref="Y66:Z66" si="72">((M66+O66+Q66+S66)/1)</f>
        <v>39</v>
      </c>
      <c r="Z66" s="99">
        <f t="shared" si="72"/>
        <v>687.892946</v>
      </c>
      <c r="AA66" s="19">
        <f t="shared" si="3"/>
        <v>15</v>
      </c>
      <c r="AB66" s="19">
        <f t="shared" si="4"/>
        <v>210.7336765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127">
        <v>2.0</v>
      </c>
      <c r="N67" s="57">
        <f>M67/C17*100000</f>
        <v>36.98908822</v>
      </c>
      <c r="O67" s="127">
        <v>4.0</v>
      </c>
      <c r="P67" s="57">
        <f>O67/D17*100000</f>
        <v>71.82618064</v>
      </c>
      <c r="Q67" s="127">
        <v>3.0</v>
      </c>
      <c r="R67" s="57">
        <f>Q67/E17*100000</f>
        <v>52.66853933</v>
      </c>
      <c r="S67" s="127">
        <v>1.0</v>
      </c>
      <c r="T67" s="57">
        <f>S67/F17*100000</f>
        <v>17.20874204</v>
      </c>
      <c r="U67" s="127">
        <v>5.0</v>
      </c>
      <c r="V67" s="57">
        <f>U67/G17*100000</f>
        <v>84.83203258</v>
      </c>
      <c r="W67" s="124">
        <v>1.0</v>
      </c>
      <c r="X67" s="57">
        <f>W67/H17*100000</f>
        <v>16.74200569</v>
      </c>
      <c r="Y67" s="99">
        <f t="shared" ref="Y67:Z67" si="73">((M67+O67+Q67+S67)/1)</f>
        <v>10</v>
      </c>
      <c r="Z67" s="99">
        <f t="shared" si="73"/>
        <v>178.6925502</v>
      </c>
      <c r="AA67" s="19">
        <f t="shared" si="3"/>
        <v>3</v>
      </c>
      <c r="AB67" s="19">
        <f t="shared" si="4"/>
        <v>50.78701913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127">
        <v>2.0</v>
      </c>
      <c r="N68" s="57">
        <f>M68/C11*100000</f>
        <v>27.2888525</v>
      </c>
      <c r="O68" s="127">
        <v>1.0</v>
      </c>
      <c r="P68" s="57">
        <f>O68/D11*100000</f>
        <v>13.10959622</v>
      </c>
      <c r="Q68" s="127">
        <v>0.0</v>
      </c>
      <c r="R68" s="57">
        <f>Q68/E11*100000</f>
        <v>0</v>
      </c>
      <c r="S68" s="127">
        <v>1.0</v>
      </c>
      <c r="T68" s="57">
        <f>S68/F11*100000</f>
        <v>12.34567901</v>
      </c>
      <c r="U68" s="127">
        <v>3.0</v>
      </c>
      <c r="V68" s="57">
        <f>U68/G11*100000</f>
        <v>36.28008223</v>
      </c>
      <c r="W68" s="124">
        <v>0.0</v>
      </c>
      <c r="X68" s="57">
        <f>W68/H11*100000</f>
        <v>0</v>
      </c>
      <c r="Y68" s="99">
        <f t="shared" ref="Y68:Z68" si="74">((M68+O68+Q68+S68)/2)</f>
        <v>2</v>
      </c>
      <c r="Z68" s="99">
        <f t="shared" si="74"/>
        <v>26.37206387</v>
      </c>
      <c r="AA68" s="19">
        <f t="shared" si="3"/>
        <v>2</v>
      </c>
      <c r="AB68" s="19">
        <f t="shared" si="4"/>
        <v>18.14004112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127">
        <v>1.0</v>
      </c>
      <c r="N69" s="57">
        <f>M69/C11*100000</f>
        <v>13.64442625</v>
      </c>
      <c r="O69" s="127">
        <v>4.0</v>
      </c>
      <c r="P69" s="57">
        <f>O69/D11*100000</f>
        <v>52.4383849</v>
      </c>
      <c r="Q69" s="127">
        <v>0.0</v>
      </c>
      <c r="R69" s="57">
        <f>Q69/E11*100000</f>
        <v>0</v>
      </c>
      <c r="S69" s="127">
        <v>0.0</v>
      </c>
      <c r="T69" s="57">
        <f>S69/F11*100000</f>
        <v>0</v>
      </c>
      <c r="U69" s="127">
        <v>3.0</v>
      </c>
      <c r="V69" s="57">
        <f>U69/G11*100000</f>
        <v>36.28008223</v>
      </c>
      <c r="W69" s="124">
        <v>0.0</v>
      </c>
      <c r="X69" s="57">
        <f>W69/H11*100000</f>
        <v>0</v>
      </c>
      <c r="Y69" s="19">
        <f t="shared" ref="Y69:Z69" si="75">((M69+O69+Q69+S69)/2)</f>
        <v>2.5</v>
      </c>
      <c r="Z69" s="19">
        <f t="shared" si="75"/>
        <v>33.04140557</v>
      </c>
      <c r="AA69" s="19">
        <f t="shared" si="3"/>
        <v>1.5</v>
      </c>
      <c r="AB69" s="19">
        <f t="shared" si="4"/>
        <v>18.14004112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43">
        <v>0.0</v>
      </c>
      <c r="N70" s="98">
        <f>M70/C7*100000</f>
        <v>0</v>
      </c>
      <c r="O70" s="143">
        <v>0.0</v>
      </c>
      <c r="P70" s="98">
        <f>O70/D7*100000</f>
        <v>0</v>
      </c>
      <c r="Q70" s="143">
        <v>0.0</v>
      </c>
      <c r="R70" s="98">
        <f>Q70/E7*100000</f>
        <v>0</v>
      </c>
      <c r="S70" s="143">
        <v>0.0</v>
      </c>
      <c r="T70" s="98">
        <f>S70/F7*100000</f>
        <v>0</v>
      </c>
      <c r="U70" s="143">
        <v>2.0</v>
      </c>
      <c r="V70" s="98">
        <f>U70/G7*100000</f>
        <v>12.22195062</v>
      </c>
      <c r="W70" s="137">
        <v>0.0</v>
      </c>
      <c r="X70" s="98">
        <f>W70/H7*100000</f>
        <v>0</v>
      </c>
      <c r="Y70" s="99">
        <f t="shared" ref="Y70:Z70" si="76">((M70+O70+Q70+S70)/1)</f>
        <v>0</v>
      </c>
      <c r="Z70" s="99">
        <f t="shared" si="76"/>
        <v>0</v>
      </c>
      <c r="AA70" s="99">
        <f t="shared" si="3"/>
        <v>1</v>
      </c>
      <c r="AB70" s="99">
        <f t="shared" si="4"/>
        <v>6.110975312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0.0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2" t="s">
        <v>148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48">
        <v>141.0</v>
      </c>
      <c r="N3" s="19">
        <f>M3/C7*1000</f>
        <v>5.036253884</v>
      </c>
      <c r="O3" s="148">
        <v>157.0</v>
      </c>
      <c r="P3" s="19">
        <f>O3/D7*1000</f>
        <v>5.438547873</v>
      </c>
      <c r="Q3" s="149">
        <v>116.0</v>
      </c>
      <c r="R3" s="19">
        <f>Q3/E7*1000</f>
        <v>3.894316312</v>
      </c>
      <c r="S3" s="148">
        <v>84.0</v>
      </c>
      <c r="T3" s="19">
        <f>S3/F7*1000</f>
        <v>2.729044834</v>
      </c>
      <c r="U3" s="148">
        <v>132.0</v>
      </c>
      <c r="V3" s="19">
        <f>U3/G7*1000</f>
        <v>4.154209284</v>
      </c>
      <c r="W3" s="148">
        <v>75.0</v>
      </c>
      <c r="X3" s="19">
        <f>W3/H7*1000</f>
        <v>2.291825821</v>
      </c>
      <c r="Y3" s="19">
        <f t="shared" ref="Y3:Z3" si="1">((M3+O3+Q3+S3)/4)</f>
        <v>124.5</v>
      </c>
      <c r="Z3" s="19">
        <f t="shared" si="1"/>
        <v>4.274540726</v>
      </c>
      <c r="AA3" s="19">
        <f t="shared" ref="AA3:AA70" si="3">((S3+U3)/2)</f>
        <v>108</v>
      </c>
      <c r="AB3" s="19">
        <f t="shared" ref="AB3:AB70" si="4">(V3+X3)/2</f>
        <v>3.223017553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50">
        <v>253.0</v>
      </c>
      <c r="N4" s="19">
        <f>M4/C7*1000</f>
        <v>9.036682502</v>
      </c>
      <c r="O4" s="150">
        <v>219.0</v>
      </c>
      <c r="P4" s="19">
        <f>O4/D7*1000</f>
        <v>7.586254676</v>
      </c>
      <c r="Q4" s="151">
        <v>204.0</v>
      </c>
      <c r="R4" s="19">
        <f>Q4/E7*1000</f>
        <v>6.848625239</v>
      </c>
      <c r="S4" s="150">
        <v>191.0</v>
      </c>
      <c r="T4" s="19">
        <f>S4/F7*1000</f>
        <v>6.205328135</v>
      </c>
      <c r="U4" s="150">
        <v>189.0</v>
      </c>
      <c r="V4" s="19">
        <f>U4/G7*1000</f>
        <v>5.948072384</v>
      </c>
      <c r="W4" s="150">
        <v>92.0</v>
      </c>
      <c r="X4" s="19">
        <f>W4/H7*1000</f>
        <v>2.811306341</v>
      </c>
      <c r="Y4" s="19">
        <f t="shared" ref="Y4:Z4" si="2">((M4+O4+Q4+S4)/4)</f>
        <v>216.75</v>
      </c>
      <c r="Z4" s="19">
        <f t="shared" si="2"/>
        <v>7.419222638</v>
      </c>
      <c r="AA4" s="19">
        <f t="shared" si="3"/>
        <v>190</v>
      </c>
      <c r="AB4" s="19">
        <f t="shared" si="4"/>
        <v>4.379689362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48">
        <v>0.0</v>
      </c>
      <c r="N5" s="19">
        <f>M5/C12*100000</f>
        <v>0</v>
      </c>
      <c r="O5" s="148">
        <v>0.0</v>
      </c>
      <c r="P5" s="19">
        <f>O5/D12*100000</f>
        <v>0</v>
      </c>
      <c r="Q5" s="149">
        <v>0.0</v>
      </c>
      <c r="R5" s="19">
        <f>Q5/E12*100000</f>
        <v>0</v>
      </c>
      <c r="S5" s="148">
        <v>0.0</v>
      </c>
      <c r="T5" s="19">
        <f>S5/F12*100000</f>
        <v>0</v>
      </c>
      <c r="U5" s="148">
        <v>0.0</v>
      </c>
      <c r="V5" s="19">
        <f>U5/G12*100000</f>
        <v>0</v>
      </c>
      <c r="W5" s="148">
        <v>0.0</v>
      </c>
      <c r="X5" s="19">
        <f>W5/H12*100000</f>
        <v>0</v>
      </c>
      <c r="Y5" s="19">
        <f t="shared" ref="Y5:Z5" si="5">((M5+O5+Q5+S5)/4)</f>
        <v>0</v>
      </c>
      <c r="Z5" s="19">
        <f t="shared" si="5"/>
        <v>0</v>
      </c>
      <c r="AA5" s="19">
        <f t="shared" si="3"/>
        <v>0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50">
        <v>8.0</v>
      </c>
      <c r="N6" s="19">
        <f>M6/M4*1000</f>
        <v>31.62055336</v>
      </c>
      <c r="O6" s="150">
        <v>8.0</v>
      </c>
      <c r="P6" s="19">
        <f>O6/O4*1000</f>
        <v>36.52968037</v>
      </c>
      <c r="Q6" s="151">
        <v>11.0</v>
      </c>
      <c r="R6" s="19">
        <f>Q6/Q4*1000</f>
        <v>53.92156863</v>
      </c>
      <c r="S6" s="150">
        <v>4.0</v>
      </c>
      <c r="T6" s="19">
        <f>S6/S4*1000</f>
        <v>20.94240838</v>
      </c>
      <c r="U6" s="150">
        <v>6.0</v>
      </c>
      <c r="V6" s="19">
        <f>U6/U4*1000</f>
        <v>31.74603175</v>
      </c>
      <c r="W6" s="150">
        <v>5.0</v>
      </c>
      <c r="X6" s="19">
        <f>W6/W4*1000</f>
        <v>54.34782609</v>
      </c>
      <c r="Y6" s="19">
        <f t="shared" ref="Y6:Z6" si="6">((M6+O6+Q6+S6)/4)</f>
        <v>7.75</v>
      </c>
      <c r="Z6" s="19">
        <f t="shared" si="6"/>
        <v>35.75355268</v>
      </c>
      <c r="AA6" s="19">
        <f t="shared" si="3"/>
        <v>5</v>
      </c>
      <c r="AB6" s="19">
        <f t="shared" si="4"/>
        <v>43.04692892</v>
      </c>
      <c r="AC6" s="22" t="s">
        <v>28</v>
      </c>
    </row>
    <row r="7" ht="14.25" customHeight="1">
      <c r="A7" s="1"/>
      <c r="B7" s="32" t="s">
        <v>41</v>
      </c>
      <c r="C7" s="152">
        <v>27997.0</v>
      </c>
      <c r="D7" s="153">
        <v>28868.0</v>
      </c>
      <c r="E7" s="154">
        <v>29787.0</v>
      </c>
      <c r="F7" s="155">
        <v>30780.0</v>
      </c>
      <c r="G7" s="155">
        <v>31775.0</v>
      </c>
      <c r="H7" s="134">
        <v>32725.0</v>
      </c>
      <c r="I7" s="1"/>
      <c r="J7" s="1"/>
      <c r="K7" s="1"/>
      <c r="L7" s="15" t="s">
        <v>42</v>
      </c>
      <c r="M7" s="148">
        <v>3.0</v>
      </c>
      <c r="N7" s="36"/>
      <c r="O7" s="148">
        <v>2.0</v>
      </c>
      <c r="P7" s="36"/>
      <c r="Q7" s="149">
        <v>4.0</v>
      </c>
      <c r="R7" s="36"/>
      <c r="S7" s="148">
        <v>1.0</v>
      </c>
      <c r="T7" s="36"/>
      <c r="U7" s="148">
        <v>5.0</v>
      </c>
      <c r="V7" s="36"/>
      <c r="W7" s="148">
        <v>4.0</v>
      </c>
      <c r="X7" s="36"/>
      <c r="Y7" s="19">
        <f t="shared" ref="Y7:Z7" si="7">((M7+O7+Q7+S7)/4)</f>
        <v>2.5</v>
      </c>
      <c r="Z7" s="19">
        <f t="shared" si="7"/>
        <v>0</v>
      </c>
      <c r="AA7" s="19">
        <f t="shared" si="3"/>
        <v>3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131">
        <v>20217.0</v>
      </c>
      <c r="D8" s="156">
        <v>21127.0</v>
      </c>
      <c r="E8" s="157">
        <v>22026.0</v>
      </c>
      <c r="F8" s="157">
        <v>22969.0</v>
      </c>
      <c r="G8" s="157">
        <v>23903.0</v>
      </c>
      <c r="H8" s="158">
        <v>24782.0</v>
      </c>
      <c r="I8" s="1"/>
      <c r="J8" s="1"/>
      <c r="K8" s="1"/>
      <c r="L8" s="15" t="s">
        <v>45</v>
      </c>
      <c r="M8" s="150">
        <v>0.0</v>
      </c>
      <c r="N8" s="19">
        <f>M8/C15*1000</f>
        <v>0</v>
      </c>
      <c r="O8" s="150">
        <v>0.0</v>
      </c>
      <c r="P8" s="19">
        <f>O8/D15*1000</f>
        <v>0</v>
      </c>
      <c r="Q8" s="151">
        <v>0.0</v>
      </c>
      <c r="R8" s="19">
        <f>Q8/E15*1000</f>
        <v>0</v>
      </c>
      <c r="S8" s="150">
        <v>0.0</v>
      </c>
      <c r="T8" s="19">
        <f>S8/F15*1000</f>
        <v>0</v>
      </c>
      <c r="U8" s="150">
        <v>0.0</v>
      </c>
      <c r="V8" s="19">
        <f>U8/G15*1000</f>
        <v>0</v>
      </c>
      <c r="W8" s="150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31">
        <v>7780.0</v>
      </c>
      <c r="D9" s="159">
        <v>7741.0</v>
      </c>
      <c r="E9" s="155">
        <v>7761.0</v>
      </c>
      <c r="F9" s="155">
        <v>7811.0</v>
      </c>
      <c r="G9" s="155">
        <v>7872.0</v>
      </c>
      <c r="H9" s="160">
        <v>7943.0</v>
      </c>
      <c r="I9" s="1"/>
      <c r="J9" s="1"/>
      <c r="K9" s="1"/>
      <c r="L9" s="15" t="s">
        <v>48</v>
      </c>
      <c r="M9" s="148">
        <v>12.0</v>
      </c>
      <c r="N9" s="19">
        <f>M9/C7*100000</f>
        <v>42.86173519</v>
      </c>
      <c r="O9" s="148">
        <v>6.0</v>
      </c>
      <c r="P9" s="19">
        <f>O9/D7*100000</f>
        <v>20.78425939</v>
      </c>
      <c r="Q9" s="149">
        <v>7.0</v>
      </c>
      <c r="R9" s="19">
        <f>Q9/E7*100000</f>
        <v>23.50018464</v>
      </c>
      <c r="S9" s="148">
        <v>8.0</v>
      </c>
      <c r="T9" s="19">
        <f>S9/F7*100000</f>
        <v>25.99090318</v>
      </c>
      <c r="U9" s="148">
        <v>10.0</v>
      </c>
      <c r="V9" s="19">
        <f>U9/G7*100000</f>
        <v>31.47128245</v>
      </c>
      <c r="W9" s="148">
        <v>3.0</v>
      </c>
      <c r="X9" s="19">
        <f>W9/H7*100000</f>
        <v>9.167303285</v>
      </c>
      <c r="Y9" s="19">
        <f t="shared" ref="Y9:Z9" si="9">((M9+O9+Q9+S9)/4)</f>
        <v>8.25</v>
      </c>
      <c r="Z9" s="19">
        <f t="shared" si="9"/>
        <v>28.2842706</v>
      </c>
      <c r="AA9" s="19">
        <f t="shared" si="3"/>
        <v>9</v>
      </c>
      <c r="AB9" s="19">
        <f t="shared" si="4"/>
        <v>20.31929287</v>
      </c>
      <c r="AC9" s="22" t="s">
        <v>28</v>
      </c>
    </row>
    <row r="10" ht="14.25" customHeight="1">
      <c r="A10" s="1"/>
      <c r="B10" s="32" t="s">
        <v>50</v>
      </c>
      <c r="C10" s="131">
        <v>13720.0</v>
      </c>
      <c r="D10" s="157">
        <v>14.153</v>
      </c>
      <c r="E10" s="157">
        <v>14613.0</v>
      </c>
      <c r="F10" s="161">
        <v>15501.0</v>
      </c>
      <c r="G10" s="156">
        <v>15105.0</v>
      </c>
      <c r="H10" s="158">
        <v>16066.0</v>
      </c>
      <c r="I10" s="1"/>
      <c r="J10" s="1"/>
      <c r="K10" s="1"/>
      <c r="L10" s="15" t="s">
        <v>51</v>
      </c>
      <c r="M10" s="150">
        <v>0.0</v>
      </c>
      <c r="N10" s="19">
        <f>M10/C15*100000</f>
        <v>0</v>
      </c>
      <c r="O10" s="150">
        <v>0.0</v>
      </c>
      <c r="P10" s="19">
        <f t="shared" ref="P10:P11" si="11">O10/D15*100000</f>
        <v>0</v>
      </c>
      <c r="Q10" s="151">
        <v>0.0</v>
      </c>
      <c r="R10" s="19">
        <f>Q10/E15*100000</f>
        <v>0</v>
      </c>
      <c r="S10" s="150">
        <v>0.0</v>
      </c>
      <c r="T10" s="19">
        <f>S10/F15*100000</f>
        <v>0</v>
      </c>
      <c r="U10" s="150">
        <v>0.0</v>
      </c>
      <c r="V10" s="19">
        <f>U10/G15*100000</f>
        <v>0</v>
      </c>
      <c r="W10" s="150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131">
        <v>14277.0</v>
      </c>
      <c r="D11" s="155">
        <v>14.715</v>
      </c>
      <c r="E11" s="155">
        <v>15174.0</v>
      </c>
      <c r="F11" s="161">
        <v>15675.0</v>
      </c>
      <c r="G11" s="159">
        <v>16177.0</v>
      </c>
      <c r="H11" s="160">
        <v>16659.0</v>
      </c>
      <c r="I11" s="1"/>
      <c r="J11" s="1"/>
      <c r="K11" s="1"/>
      <c r="L11" s="15" t="s">
        <v>53</v>
      </c>
      <c r="M11" s="148">
        <v>0.0</v>
      </c>
      <c r="N11" s="19">
        <f>M11/C15*100000</f>
        <v>0</v>
      </c>
      <c r="O11" s="148">
        <v>0.0</v>
      </c>
      <c r="P11" s="19">
        <f t="shared" si="11"/>
        <v>0</v>
      </c>
      <c r="Q11" s="149">
        <v>0.0</v>
      </c>
      <c r="R11" s="19">
        <f>Q11/F16*100000</f>
        <v>0</v>
      </c>
      <c r="S11" s="148">
        <v>0.0</v>
      </c>
      <c r="T11" s="19">
        <f>S11/F15*100000</f>
        <v>0</v>
      </c>
      <c r="U11" s="148">
        <v>0.0</v>
      </c>
      <c r="V11" s="19">
        <f>U11/G15*100000</f>
        <v>0</v>
      </c>
      <c r="W11" s="14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33">
        <v>253.0</v>
      </c>
      <c r="D12" s="157">
        <v>219.0</v>
      </c>
      <c r="E12" s="156">
        <v>204.0</v>
      </c>
      <c r="F12" s="156">
        <v>191.0</v>
      </c>
      <c r="G12" s="157">
        <v>189.0</v>
      </c>
      <c r="H12" s="158">
        <v>92.0</v>
      </c>
      <c r="I12" s="1"/>
      <c r="J12" s="1"/>
      <c r="K12" s="1"/>
      <c r="L12" s="15" t="s">
        <v>55</v>
      </c>
      <c r="M12" s="150">
        <v>51.0</v>
      </c>
      <c r="N12" s="19">
        <f>M12/C7*100000</f>
        <v>182.1623745</v>
      </c>
      <c r="O12" s="150">
        <v>92.0</v>
      </c>
      <c r="P12" s="19">
        <f>O12/D7*100000</f>
        <v>318.6919773</v>
      </c>
      <c r="Q12" s="151">
        <v>142.0</v>
      </c>
      <c r="R12" s="19">
        <f>Q12/E7*100000</f>
        <v>476.7180314</v>
      </c>
      <c r="S12" s="150">
        <v>175.0</v>
      </c>
      <c r="T12" s="19">
        <f>S12/F7*100000</f>
        <v>568.5510071</v>
      </c>
      <c r="U12" s="150">
        <v>220.0</v>
      </c>
      <c r="V12" s="19">
        <f>U12/G7*100000</f>
        <v>692.368214</v>
      </c>
      <c r="W12" s="150">
        <v>115.0</v>
      </c>
      <c r="X12" s="19">
        <f>W12/H7*100000</f>
        <v>351.4132926</v>
      </c>
      <c r="Y12" s="19">
        <f t="shared" ref="Y12:Z12" si="13">((M12+O12+Q12+S12)/4)</f>
        <v>115</v>
      </c>
      <c r="Z12" s="19">
        <f t="shared" si="13"/>
        <v>386.5308476</v>
      </c>
      <c r="AA12" s="19">
        <f t="shared" si="3"/>
        <v>197.5</v>
      </c>
      <c r="AB12" s="19">
        <f t="shared" si="4"/>
        <v>521.8907533</v>
      </c>
      <c r="AC12" s="22" t="s">
        <v>57</v>
      </c>
    </row>
    <row r="13" ht="14.25" customHeight="1">
      <c r="A13" s="1"/>
      <c r="B13" s="32" t="s">
        <v>58</v>
      </c>
      <c r="C13" s="133">
        <v>141.0</v>
      </c>
      <c r="D13" s="155">
        <v>157.0</v>
      </c>
      <c r="E13" s="159">
        <v>116.0</v>
      </c>
      <c r="F13" s="159">
        <v>84.0</v>
      </c>
      <c r="G13" s="155">
        <v>132.0</v>
      </c>
      <c r="H13" s="160">
        <v>75.0</v>
      </c>
      <c r="I13" s="1"/>
      <c r="J13" s="1"/>
      <c r="K13" s="1"/>
      <c r="L13" s="15" t="s">
        <v>59</v>
      </c>
      <c r="M13" s="148">
        <v>44.0</v>
      </c>
      <c r="N13" s="19">
        <f>M13/C11*100000</f>
        <v>308.1879947</v>
      </c>
      <c r="O13" s="148">
        <v>74.0</v>
      </c>
      <c r="P13" s="19">
        <f>O13/D11*100000</f>
        <v>502888.2093</v>
      </c>
      <c r="Q13" s="149">
        <v>110.0</v>
      </c>
      <c r="R13" s="19">
        <f>Q13/E11*100000</f>
        <v>724.9242125</v>
      </c>
      <c r="S13" s="148">
        <v>152.0</v>
      </c>
      <c r="T13" s="19">
        <f>S13/F11*100000</f>
        <v>969.6969697</v>
      </c>
      <c r="U13" s="148">
        <v>170.0</v>
      </c>
      <c r="V13" s="19">
        <f>U13/G11*100000</f>
        <v>1050.874699</v>
      </c>
      <c r="W13" s="148">
        <v>87.0</v>
      </c>
      <c r="X13" s="19">
        <f>W13/H11*100000</f>
        <v>522.2402305</v>
      </c>
      <c r="Y13" s="19">
        <f t="shared" ref="Y13:Z13" si="14">((M13+O13+Q13+S13)/4)</f>
        <v>95</v>
      </c>
      <c r="Z13" s="19">
        <f t="shared" si="14"/>
        <v>126222.7546</v>
      </c>
      <c r="AA13" s="19">
        <f t="shared" si="3"/>
        <v>161</v>
      </c>
      <c r="AB13" s="19">
        <f t="shared" si="4"/>
        <v>786.5574646</v>
      </c>
      <c r="AC13" s="22" t="s">
        <v>57</v>
      </c>
    </row>
    <row r="14" ht="14.25" customHeight="1">
      <c r="A14" s="1"/>
      <c r="B14" s="32" t="s">
        <v>60</v>
      </c>
      <c r="C14" s="133">
        <v>684.0</v>
      </c>
      <c r="D14" s="156">
        <v>680.0</v>
      </c>
      <c r="E14" s="156">
        <v>674.0</v>
      </c>
      <c r="F14" s="156">
        <v>677.0</v>
      </c>
      <c r="G14" s="156">
        <v>687.0</v>
      </c>
      <c r="H14" s="158">
        <v>694.0</v>
      </c>
      <c r="I14" s="1"/>
      <c r="J14" s="1"/>
      <c r="K14" s="1"/>
      <c r="L14" s="15" t="s">
        <v>61</v>
      </c>
      <c r="M14" s="150">
        <v>3.0</v>
      </c>
      <c r="N14" s="19">
        <f>M14/M4*1000</f>
        <v>11.85770751</v>
      </c>
      <c r="O14" s="150">
        <v>4.0</v>
      </c>
      <c r="P14" s="19">
        <f>O14/O4*1000</f>
        <v>18.26484018</v>
      </c>
      <c r="Q14" s="151">
        <v>4.0</v>
      </c>
      <c r="R14" s="19">
        <f>Q14/Q4*1000</f>
        <v>19.60784314</v>
      </c>
      <c r="S14" s="150">
        <v>2.0</v>
      </c>
      <c r="T14" s="19">
        <f>S14/S4*1000</f>
        <v>10.47120419</v>
      </c>
      <c r="U14" s="150">
        <v>3.0</v>
      </c>
      <c r="V14" s="19">
        <f>U14/U4*1000</f>
        <v>15.87301587</v>
      </c>
      <c r="W14" s="150">
        <v>3.0</v>
      </c>
      <c r="X14" s="19">
        <f>W14/W4*1000</f>
        <v>32.60869565</v>
      </c>
      <c r="Y14" s="19">
        <f t="shared" ref="Y14:Z14" si="15">((M14+O14+Q14+S14)/4)</f>
        <v>3.25</v>
      </c>
      <c r="Z14" s="19">
        <f t="shared" si="15"/>
        <v>15.05039875</v>
      </c>
      <c r="AA14" s="19">
        <f t="shared" si="3"/>
        <v>2.5</v>
      </c>
      <c r="AB14" s="19">
        <f t="shared" si="4"/>
        <v>24.24085576</v>
      </c>
      <c r="AC14" s="22" t="s">
        <v>28</v>
      </c>
    </row>
    <row r="15" ht="14.25" customHeight="1">
      <c r="A15" s="1"/>
      <c r="B15" s="32" t="s">
        <v>62</v>
      </c>
      <c r="C15" s="133">
        <v>2094.0</v>
      </c>
      <c r="D15" s="159">
        <v>2124.0</v>
      </c>
      <c r="E15" s="159">
        <v>2151.0</v>
      </c>
      <c r="F15" s="159">
        <v>2178.0</v>
      </c>
      <c r="G15" s="159">
        <v>2189.0</v>
      </c>
      <c r="H15" s="160">
        <v>2195.0</v>
      </c>
      <c r="I15" s="1"/>
      <c r="J15" s="1"/>
      <c r="K15" s="1"/>
      <c r="L15" s="15" t="s">
        <v>63</v>
      </c>
      <c r="M15" s="148">
        <v>3.0</v>
      </c>
      <c r="N15" s="19">
        <f>M15/C15*100000</f>
        <v>143.2664756</v>
      </c>
      <c r="O15" s="148">
        <v>4.0</v>
      </c>
      <c r="P15" s="19">
        <f>O15/D15*100000</f>
        <v>188.3239171</v>
      </c>
      <c r="Q15" s="149">
        <v>4.0</v>
      </c>
      <c r="R15" s="19">
        <f>Q15/E15*100000</f>
        <v>185.9600186</v>
      </c>
      <c r="S15" s="148">
        <v>2.0</v>
      </c>
      <c r="T15" s="19">
        <f>S15/F15*100000</f>
        <v>91.82736455</v>
      </c>
      <c r="U15" s="148">
        <v>3.0</v>
      </c>
      <c r="V15" s="19">
        <f>U15/G15*100000</f>
        <v>137.0488808</v>
      </c>
      <c r="W15" s="148">
        <v>4.0</v>
      </c>
      <c r="X15" s="19">
        <f>W15/H15*100000</f>
        <v>182.2323462</v>
      </c>
      <c r="Y15" s="19">
        <f t="shared" ref="Y15:Z15" si="16">((M15+O15+Q15+S15)/4)</f>
        <v>3.25</v>
      </c>
      <c r="Z15" s="19">
        <f t="shared" si="16"/>
        <v>152.344444</v>
      </c>
      <c r="AA15" s="19">
        <f t="shared" si="3"/>
        <v>2.5</v>
      </c>
      <c r="AB15" s="19">
        <f t="shared" si="4"/>
        <v>159.6406135</v>
      </c>
      <c r="AC15" s="22" t="s">
        <v>28</v>
      </c>
    </row>
    <row r="16" ht="14.25" customHeight="1">
      <c r="A16" s="1"/>
      <c r="B16" s="32" t="s">
        <v>64</v>
      </c>
      <c r="C16" s="133">
        <v>22346.0</v>
      </c>
      <c r="D16" s="156">
        <v>23126.0</v>
      </c>
      <c r="E16" s="156">
        <v>23942.0</v>
      </c>
      <c r="F16" s="156">
        <v>24809.0</v>
      </c>
      <c r="G16" s="156">
        <v>25689.0</v>
      </c>
      <c r="H16" s="158">
        <v>26534.0</v>
      </c>
      <c r="I16" s="1"/>
      <c r="J16" s="1"/>
      <c r="K16" s="1"/>
      <c r="L16" s="15" t="s">
        <v>65</v>
      </c>
      <c r="M16" s="150">
        <v>13.0</v>
      </c>
      <c r="N16" s="19">
        <f>M16/M4*100</f>
        <v>5.138339921</v>
      </c>
      <c r="O16" s="150">
        <v>11.0</v>
      </c>
      <c r="P16" s="19">
        <f>O16/O4*100</f>
        <v>5.02283105</v>
      </c>
      <c r="Q16" s="151">
        <v>11.0</v>
      </c>
      <c r="R16" s="19">
        <f>Q16/Q4*100</f>
        <v>5.392156863</v>
      </c>
      <c r="S16" s="150">
        <v>10.0</v>
      </c>
      <c r="T16" s="19">
        <f>S16/S4*100</f>
        <v>5.235602094</v>
      </c>
      <c r="U16" s="150">
        <v>15.0</v>
      </c>
      <c r="V16" s="19">
        <f>U16/U4*100</f>
        <v>7.936507937</v>
      </c>
      <c r="W16" s="150">
        <v>5.0</v>
      </c>
      <c r="X16" s="19">
        <f>W16/W4*100</f>
        <v>5.434782609</v>
      </c>
      <c r="Y16" s="19">
        <f t="shared" ref="Y16:Z16" si="17">((M16+O16+Q16+S16)/4)</f>
        <v>11.25</v>
      </c>
      <c r="Z16" s="19">
        <f t="shared" si="17"/>
        <v>5.197232482</v>
      </c>
      <c r="AA16" s="19">
        <f t="shared" si="3"/>
        <v>12.5</v>
      </c>
      <c r="AB16" s="19">
        <f t="shared" si="4"/>
        <v>6.685645273</v>
      </c>
      <c r="AC16" s="22" t="s">
        <v>30</v>
      </c>
    </row>
    <row r="17" ht="14.25" customHeight="1">
      <c r="A17" s="1"/>
      <c r="B17" s="32" t="s">
        <v>66</v>
      </c>
      <c r="C17" s="133">
        <v>8005.0</v>
      </c>
      <c r="D17" s="159">
        <v>8104.0</v>
      </c>
      <c r="E17" s="159">
        <v>8219.0</v>
      </c>
      <c r="F17" s="159">
        <v>8366.0</v>
      </c>
      <c r="G17" s="159">
        <v>8506.0</v>
      </c>
      <c r="H17" s="160">
        <v>8639.0</v>
      </c>
      <c r="I17" s="1"/>
      <c r="J17" s="1"/>
      <c r="K17" s="1"/>
      <c r="L17" s="15" t="s">
        <v>67</v>
      </c>
      <c r="M17" s="148">
        <v>13.0</v>
      </c>
      <c r="N17" s="19">
        <f>M17/M4*100</f>
        <v>5.138339921</v>
      </c>
      <c r="O17" s="148">
        <v>11.0</v>
      </c>
      <c r="P17" s="19">
        <f>O17/O4*100</f>
        <v>5.02283105</v>
      </c>
      <c r="Q17" s="149">
        <v>11.0</v>
      </c>
      <c r="R17" s="19">
        <f>Q17/Q4*100</f>
        <v>5.392156863</v>
      </c>
      <c r="S17" s="148">
        <v>10.0</v>
      </c>
      <c r="T17" s="19">
        <f>S17/S4*100</f>
        <v>5.235602094</v>
      </c>
      <c r="U17" s="148">
        <v>15.0</v>
      </c>
      <c r="V17" s="19">
        <f>U17/U4*100</f>
        <v>7.936507937</v>
      </c>
      <c r="W17" s="148">
        <v>5.0</v>
      </c>
      <c r="X17" s="19">
        <f>W17/W4*100</f>
        <v>5.434782609</v>
      </c>
      <c r="Y17" s="19">
        <f t="shared" ref="Y17:Z17" si="18">((M17+O17+Q17+S17)/4)</f>
        <v>11.25</v>
      </c>
      <c r="Z17" s="19">
        <f t="shared" si="18"/>
        <v>5.197232482</v>
      </c>
      <c r="AA17" s="19">
        <f t="shared" si="3"/>
        <v>12.5</v>
      </c>
      <c r="AB17" s="19">
        <f t="shared" si="4"/>
        <v>6.685645273</v>
      </c>
      <c r="AC17" s="22" t="s">
        <v>30</v>
      </c>
    </row>
    <row r="18" ht="14.25" customHeight="1">
      <c r="A18" s="1"/>
      <c r="B18" s="32" t="s">
        <v>68</v>
      </c>
      <c r="C18" s="133">
        <v>26164.0</v>
      </c>
      <c r="D18" s="156">
        <v>26745.0</v>
      </c>
      <c r="E18" s="156">
        <v>27753.0</v>
      </c>
      <c r="F18" s="156">
        <v>28635.0</v>
      </c>
      <c r="G18" s="156">
        <v>29499.0</v>
      </c>
      <c r="H18" s="158">
        <v>30314.0</v>
      </c>
      <c r="I18" s="1"/>
      <c r="J18" s="1"/>
      <c r="K18" s="1"/>
      <c r="L18" s="15" t="s">
        <v>69</v>
      </c>
      <c r="M18" s="162">
        <v>6.0</v>
      </c>
      <c r="N18" s="57">
        <f>M18/C15*1000</f>
        <v>2.865329513</v>
      </c>
      <c r="O18" s="150">
        <v>10.0</v>
      </c>
      <c r="P18" s="57">
        <f>O18/D15*1000</f>
        <v>4.708097928</v>
      </c>
      <c r="Q18" s="151">
        <v>15.0</v>
      </c>
      <c r="R18" s="57">
        <f>Q18/E15*1000</f>
        <v>6.973500697</v>
      </c>
      <c r="S18" s="162">
        <v>5.0</v>
      </c>
      <c r="T18" s="57">
        <f>S18/F15*1000</f>
        <v>2.295684114</v>
      </c>
      <c r="U18" s="162">
        <v>13.0</v>
      </c>
      <c r="V18" s="57">
        <f>U18/G15*1000</f>
        <v>5.938784833</v>
      </c>
      <c r="W18" s="162">
        <v>1.0</v>
      </c>
      <c r="X18" s="57">
        <f>W18/H15*1000</f>
        <v>0.4555808656</v>
      </c>
      <c r="Y18" s="19">
        <f t="shared" ref="Y18:Z18" si="19">((M18+O18+Q18+S18)/4)</f>
        <v>9</v>
      </c>
      <c r="Z18" s="19">
        <f t="shared" si="19"/>
        <v>4.210653063</v>
      </c>
      <c r="AA18" s="19">
        <f t="shared" si="3"/>
        <v>9</v>
      </c>
      <c r="AB18" s="19">
        <f t="shared" si="4"/>
        <v>3.197182849</v>
      </c>
      <c r="AC18" s="22" t="s">
        <v>57</v>
      </c>
    </row>
    <row r="19" ht="14.25" customHeight="1">
      <c r="A19" s="1"/>
      <c r="B19" s="32" t="s">
        <v>70</v>
      </c>
      <c r="C19" s="133">
        <v>18159.0</v>
      </c>
      <c r="D19" s="159">
        <v>18829.0</v>
      </c>
      <c r="E19" s="159">
        <v>19534.0</v>
      </c>
      <c r="F19" s="159">
        <v>20269.0</v>
      </c>
      <c r="G19" s="159">
        <v>20993.0</v>
      </c>
      <c r="H19" s="160">
        <v>21675.0</v>
      </c>
      <c r="I19" s="1"/>
      <c r="J19" s="1"/>
      <c r="K19" s="1"/>
      <c r="L19" s="15" t="s">
        <v>71</v>
      </c>
      <c r="M19" s="148">
        <v>36.0</v>
      </c>
      <c r="N19" s="19">
        <f>M19/M4*100</f>
        <v>14.22924901</v>
      </c>
      <c r="O19" s="148">
        <v>19.0</v>
      </c>
      <c r="P19" s="19">
        <f>O19/O4*100</f>
        <v>8.675799087</v>
      </c>
      <c r="Q19" s="149">
        <v>14.0</v>
      </c>
      <c r="R19" s="19">
        <f>Q19/Q4*100</f>
        <v>6.862745098</v>
      </c>
      <c r="S19" s="148">
        <v>23.0</v>
      </c>
      <c r="T19" s="19">
        <f>S19/S4*100</f>
        <v>12.04188482</v>
      </c>
      <c r="U19" s="148">
        <v>15.0</v>
      </c>
      <c r="V19" s="19">
        <f>U19/U4*100</f>
        <v>7.936507937</v>
      </c>
      <c r="W19" s="148">
        <v>9.0</v>
      </c>
      <c r="X19" s="19">
        <f>W19/W4*100</f>
        <v>9.782608696</v>
      </c>
      <c r="Y19" s="19">
        <f t="shared" ref="Y19:Z19" si="20">((M19+O19+Q19+S19)/4)</f>
        <v>23</v>
      </c>
      <c r="Z19" s="19">
        <f t="shared" si="20"/>
        <v>10.4524195</v>
      </c>
      <c r="AA19" s="19">
        <f t="shared" si="3"/>
        <v>19</v>
      </c>
      <c r="AB19" s="19">
        <f t="shared" si="4"/>
        <v>8.859558316</v>
      </c>
      <c r="AC19" s="22" t="s">
        <v>72</v>
      </c>
    </row>
    <row r="20" ht="14.25" customHeight="1">
      <c r="A20" s="1"/>
      <c r="B20" s="32" t="s">
        <v>73</v>
      </c>
      <c r="C20" s="133">
        <v>1003.0</v>
      </c>
      <c r="D20" s="157">
        <v>1016.0</v>
      </c>
      <c r="E20" s="156">
        <v>1031.0</v>
      </c>
      <c r="F20" s="156">
        <v>1055.0</v>
      </c>
      <c r="G20" s="156">
        <v>1081.0</v>
      </c>
      <c r="H20" s="158">
        <v>1108.0</v>
      </c>
      <c r="I20" s="1"/>
      <c r="J20" s="1"/>
      <c r="K20" s="1"/>
      <c r="L20" s="15" t="s">
        <v>74</v>
      </c>
      <c r="M20" s="150">
        <v>0.0</v>
      </c>
      <c r="N20" s="19">
        <f t="shared" ref="N20:N21" si="22">M20/C20*1000</f>
        <v>0</v>
      </c>
      <c r="O20" s="150">
        <v>1.0</v>
      </c>
      <c r="P20" s="19">
        <f t="shared" ref="P20:P21" si="23">O20/D20*1000</f>
        <v>0.9842519685</v>
      </c>
      <c r="Q20" s="151">
        <v>0.0</v>
      </c>
      <c r="R20" s="19">
        <f t="shared" ref="R20:R21" si="24">Q20/E20*1000</f>
        <v>0</v>
      </c>
      <c r="S20" s="150">
        <v>0.0</v>
      </c>
      <c r="T20" s="19">
        <f t="shared" ref="T20:T21" si="25">S20/F20*1000</f>
        <v>0</v>
      </c>
      <c r="U20" s="150">
        <v>0.0</v>
      </c>
      <c r="V20" s="19">
        <f t="shared" ref="V20:V21" si="26">U20/G20*1000</f>
        <v>0</v>
      </c>
      <c r="W20" s="150">
        <v>2.0</v>
      </c>
      <c r="X20" s="19">
        <f t="shared" ref="X20:X21" si="27">W20/H20*1000</f>
        <v>1.805054152</v>
      </c>
      <c r="Y20" s="19">
        <f t="shared" ref="Y20:Z20" si="21">((M20+O20+Q20+S20)/4)</f>
        <v>0.25</v>
      </c>
      <c r="Z20" s="19">
        <f t="shared" si="21"/>
        <v>0.2460629921</v>
      </c>
      <c r="AA20" s="19">
        <f t="shared" si="3"/>
        <v>0</v>
      </c>
      <c r="AB20" s="19">
        <f t="shared" si="4"/>
        <v>0.9025270758</v>
      </c>
      <c r="AC20" s="22" t="s">
        <v>72</v>
      </c>
    </row>
    <row r="21" ht="14.25" customHeight="1">
      <c r="A21" s="1"/>
      <c r="B21" s="32" t="s">
        <v>75</v>
      </c>
      <c r="C21" s="133">
        <v>1165.0</v>
      </c>
      <c r="D21" s="155">
        <v>1167.0</v>
      </c>
      <c r="E21" s="159">
        <v>1173.0</v>
      </c>
      <c r="F21" s="159">
        <v>1185.0</v>
      </c>
      <c r="G21" s="159">
        <v>1196.0</v>
      </c>
      <c r="H21" s="160">
        <v>1210.0</v>
      </c>
      <c r="I21" s="1"/>
      <c r="J21" s="1"/>
      <c r="K21" s="1"/>
      <c r="L21" s="15" t="s">
        <v>76</v>
      </c>
      <c r="M21" s="148">
        <v>36.0</v>
      </c>
      <c r="N21" s="19">
        <f t="shared" si="22"/>
        <v>30.90128755</v>
      </c>
      <c r="O21" s="148">
        <v>18.0</v>
      </c>
      <c r="P21" s="19">
        <f t="shared" si="23"/>
        <v>15.42416452</v>
      </c>
      <c r="Q21" s="149">
        <v>14.0</v>
      </c>
      <c r="R21" s="19">
        <f t="shared" si="24"/>
        <v>11.93520887</v>
      </c>
      <c r="S21" s="148">
        <v>23.0</v>
      </c>
      <c r="T21" s="19">
        <f t="shared" si="25"/>
        <v>19.4092827</v>
      </c>
      <c r="U21" s="148">
        <v>15.0</v>
      </c>
      <c r="V21" s="19">
        <f t="shared" si="26"/>
        <v>12.54180602</v>
      </c>
      <c r="W21" s="148">
        <v>7.0</v>
      </c>
      <c r="X21" s="19">
        <f t="shared" si="27"/>
        <v>5.785123967</v>
      </c>
      <c r="Y21" s="19">
        <f t="shared" ref="Y21:Z21" si="28">((M21+O21+Q21+S21)/4)</f>
        <v>22.75</v>
      </c>
      <c r="Z21" s="19">
        <f t="shared" si="28"/>
        <v>19.41748591</v>
      </c>
      <c r="AA21" s="19">
        <f t="shared" si="3"/>
        <v>19</v>
      </c>
      <c r="AB21" s="19">
        <f t="shared" si="4"/>
        <v>9.163464994</v>
      </c>
      <c r="AC21" s="22" t="s">
        <v>72</v>
      </c>
    </row>
    <row r="22" ht="14.25" customHeight="1">
      <c r="A22" s="1"/>
      <c r="B22" s="32" t="s">
        <v>77</v>
      </c>
      <c r="C22" s="133">
        <v>8130.0</v>
      </c>
      <c r="D22" s="156">
        <v>8373.0</v>
      </c>
      <c r="E22" s="156">
        <v>8639.0</v>
      </c>
      <c r="F22" s="156">
        <v>8928.0</v>
      </c>
      <c r="G22" s="156">
        <v>9208.0</v>
      </c>
      <c r="H22" s="158">
        <v>9468.0</v>
      </c>
      <c r="I22" s="1"/>
      <c r="J22" s="1"/>
      <c r="K22" s="1"/>
      <c r="L22" s="15" t="s">
        <v>78</v>
      </c>
      <c r="M22" s="162">
        <v>1.0</v>
      </c>
      <c r="N22" s="57">
        <f>M22/C7*100000</f>
        <v>3.571811265</v>
      </c>
      <c r="O22" s="150">
        <v>2.0</v>
      </c>
      <c r="P22" s="57">
        <f>O22/D7*100000</f>
        <v>6.928086463</v>
      </c>
      <c r="Q22" s="151">
        <v>2.0</v>
      </c>
      <c r="R22" s="57">
        <f>Q22/E7*100000</f>
        <v>6.71433847</v>
      </c>
      <c r="S22" s="162">
        <v>3.0</v>
      </c>
      <c r="T22" s="57">
        <f>S22/F7*100000</f>
        <v>9.746588694</v>
      </c>
      <c r="U22" s="162">
        <v>5.0</v>
      </c>
      <c r="V22" s="57">
        <f>U22/G7*100000</f>
        <v>15.73564123</v>
      </c>
      <c r="W22" s="162">
        <v>3.0</v>
      </c>
      <c r="X22" s="57">
        <f>W22/H7*100000</f>
        <v>9.167303285</v>
      </c>
      <c r="Y22" s="19">
        <f t="shared" ref="Y22:Z22" si="29">((M22+O22+Q22+S22)/4)</f>
        <v>2</v>
      </c>
      <c r="Z22" s="19">
        <f t="shared" si="29"/>
        <v>6.740206223</v>
      </c>
      <c r="AA22" s="19">
        <f t="shared" si="3"/>
        <v>4</v>
      </c>
      <c r="AB22" s="19">
        <f t="shared" si="4"/>
        <v>12.45147226</v>
      </c>
      <c r="AC22" s="22" t="s">
        <v>28</v>
      </c>
    </row>
    <row r="23" ht="14.25" customHeight="1">
      <c r="A23" s="1"/>
      <c r="B23" s="32" t="s">
        <v>79</v>
      </c>
      <c r="C23" s="133">
        <v>2094.0</v>
      </c>
      <c r="D23" s="159">
        <v>2124.0</v>
      </c>
      <c r="E23" s="159">
        <v>2151.0</v>
      </c>
      <c r="F23" s="159">
        <v>2178.0</v>
      </c>
      <c r="G23" s="159">
        <v>2189.0</v>
      </c>
      <c r="H23" s="160">
        <v>2195.0</v>
      </c>
      <c r="I23" s="1"/>
      <c r="J23" s="1"/>
      <c r="K23" s="1"/>
      <c r="L23" s="15" t="s">
        <v>80</v>
      </c>
      <c r="M23" s="163">
        <v>3.0</v>
      </c>
      <c r="N23" s="57">
        <f>M23/C7*100000</f>
        <v>10.7154338</v>
      </c>
      <c r="O23" s="148">
        <v>1.0</v>
      </c>
      <c r="P23" s="57">
        <f>O23/D7*100000</f>
        <v>3.464043231</v>
      </c>
      <c r="Q23" s="149">
        <v>2.0</v>
      </c>
      <c r="R23" s="57">
        <f>Q23/E7*100000</f>
        <v>6.71433847</v>
      </c>
      <c r="S23" s="163">
        <v>0.0</v>
      </c>
      <c r="T23" s="57">
        <f>S23/F7*100000</f>
        <v>0</v>
      </c>
      <c r="U23" s="163">
        <v>1.0</v>
      </c>
      <c r="V23" s="57">
        <f>U23/G7*100000</f>
        <v>3.147128245</v>
      </c>
      <c r="W23" s="164"/>
      <c r="X23" s="57">
        <f>W23/H7*100000</f>
        <v>0</v>
      </c>
      <c r="Y23" s="19">
        <f t="shared" ref="Y23:Z23" si="30">((M23+O23+Q23+S23)/4)</f>
        <v>1.5</v>
      </c>
      <c r="Z23" s="19">
        <f t="shared" si="30"/>
        <v>5.223453874</v>
      </c>
      <c r="AA23" s="19">
        <f t="shared" si="3"/>
        <v>0.5</v>
      </c>
      <c r="AB23" s="19">
        <f t="shared" si="4"/>
        <v>1.573564123</v>
      </c>
      <c r="AC23" s="22" t="s">
        <v>28</v>
      </c>
    </row>
    <row r="24" ht="14.25" customHeight="1">
      <c r="A24" s="1"/>
      <c r="B24" s="32" t="s">
        <v>81</v>
      </c>
      <c r="C24" s="133">
        <v>2282.0</v>
      </c>
      <c r="D24" s="156">
        <v>2333.0</v>
      </c>
      <c r="E24" s="156">
        <v>2390.0</v>
      </c>
      <c r="F24" s="156">
        <v>2464.0</v>
      </c>
      <c r="G24" s="156">
        <v>2536.0</v>
      </c>
      <c r="H24" s="158">
        <v>2603.0</v>
      </c>
      <c r="I24" s="1"/>
      <c r="J24" s="1"/>
      <c r="K24" s="1"/>
      <c r="L24" s="15" t="s">
        <v>82</v>
      </c>
      <c r="M24" s="162">
        <v>0.0</v>
      </c>
      <c r="N24" s="57">
        <f>M24/C7*100000</f>
        <v>0</v>
      </c>
      <c r="O24" s="150">
        <v>1.0</v>
      </c>
      <c r="P24" s="57">
        <f>O24/D7*100000</f>
        <v>3.464043231</v>
      </c>
      <c r="Q24" s="151">
        <v>0.0</v>
      </c>
      <c r="R24" s="57">
        <f>Q24/E7*100000</f>
        <v>0</v>
      </c>
      <c r="S24" s="162">
        <v>1.0</v>
      </c>
      <c r="T24" s="57">
        <f>S24/F7*100000</f>
        <v>3.248862898</v>
      </c>
      <c r="U24" s="162">
        <v>1.0</v>
      </c>
      <c r="V24" s="57">
        <f>U24/G7*100000</f>
        <v>3.147128245</v>
      </c>
      <c r="W24" s="162">
        <v>0.0</v>
      </c>
      <c r="X24" s="57">
        <f>W24/H7*100000</f>
        <v>0</v>
      </c>
      <c r="Y24" s="19">
        <f t="shared" ref="Y24:Z24" si="31">((M24+O24+Q24+S24)/4)</f>
        <v>0.5</v>
      </c>
      <c r="Z24" s="19">
        <f t="shared" si="31"/>
        <v>1.678226532</v>
      </c>
      <c r="AA24" s="19">
        <f t="shared" si="3"/>
        <v>1</v>
      </c>
      <c r="AB24" s="19">
        <f t="shared" si="4"/>
        <v>1.573564123</v>
      </c>
      <c r="AC24" s="22" t="s">
        <v>28</v>
      </c>
    </row>
    <row r="25" ht="14.25" customHeight="1">
      <c r="A25" s="1"/>
      <c r="B25" s="32" t="s">
        <v>83</v>
      </c>
      <c r="C25" s="133">
        <v>2657.0</v>
      </c>
      <c r="D25" s="159">
        <v>2674.0</v>
      </c>
      <c r="E25" s="159">
        <v>2702.0</v>
      </c>
      <c r="F25" s="159">
        <v>2742.0</v>
      </c>
      <c r="G25" s="159">
        <v>2794.0</v>
      </c>
      <c r="H25" s="160">
        <v>2847.0</v>
      </c>
      <c r="I25" s="1"/>
      <c r="J25" s="1"/>
      <c r="K25" s="1"/>
      <c r="L25" s="15" t="s">
        <v>84</v>
      </c>
      <c r="M25" s="163">
        <v>11.0</v>
      </c>
      <c r="N25" s="57">
        <f>M25/C7*100000</f>
        <v>39.28992392</v>
      </c>
      <c r="O25" s="148">
        <v>10.0</v>
      </c>
      <c r="P25" s="57">
        <f>O25/D7*100000</f>
        <v>34.64043231</v>
      </c>
      <c r="Q25" s="149">
        <v>27.0</v>
      </c>
      <c r="R25" s="57">
        <f>Q25/E7*100000</f>
        <v>90.64356934</v>
      </c>
      <c r="S25" s="163">
        <v>37.0</v>
      </c>
      <c r="T25" s="57">
        <f>S25/F7*100000</f>
        <v>120.2079272</v>
      </c>
      <c r="U25" s="163">
        <v>31.0</v>
      </c>
      <c r="V25" s="57">
        <f>U25/G7*100000</f>
        <v>97.56097561</v>
      </c>
      <c r="W25" s="163">
        <v>12.0</v>
      </c>
      <c r="X25" s="57">
        <f>W25/H7*100000</f>
        <v>36.66921314</v>
      </c>
      <c r="Y25" s="19">
        <f t="shared" ref="Y25:Z25" si="32">((M25+O25+Q25+S25)/4)</f>
        <v>21.25</v>
      </c>
      <c r="Z25" s="19">
        <f t="shared" si="32"/>
        <v>71.1954632</v>
      </c>
      <c r="AA25" s="19">
        <f t="shared" si="3"/>
        <v>34</v>
      </c>
      <c r="AB25" s="19">
        <f t="shared" si="4"/>
        <v>67.11509437</v>
      </c>
      <c r="AC25" s="22" t="s">
        <v>57</v>
      </c>
    </row>
    <row r="26" ht="14.25" customHeight="1">
      <c r="A26" s="1"/>
      <c r="B26" s="32" t="s">
        <v>85</v>
      </c>
      <c r="C26" s="144">
        <v>5490.0</v>
      </c>
      <c r="D26" s="165">
        <v>5611.0</v>
      </c>
      <c r="E26" s="165">
        <v>5724.0</v>
      </c>
      <c r="F26" s="165">
        <v>5808.0</v>
      </c>
      <c r="G26" s="165">
        <v>5881.0</v>
      </c>
      <c r="H26" s="158">
        <v>5927.0</v>
      </c>
      <c r="I26" s="1"/>
      <c r="J26" s="1"/>
      <c r="K26" s="1"/>
      <c r="L26" s="15" t="s">
        <v>86</v>
      </c>
      <c r="M26" s="150">
        <v>27.0</v>
      </c>
      <c r="N26" s="19">
        <f>M26/C7*100000</f>
        <v>96.43890417</v>
      </c>
      <c r="O26" s="150">
        <v>46.0</v>
      </c>
      <c r="P26" s="19">
        <f>O26/D7*100000</f>
        <v>159.3459886</v>
      </c>
      <c r="Q26" s="151">
        <v>31.0</v>
      </c>
      <c r="R26" s="19">
        <f>Q26/E7*100000</f>
        <v>104.0722463</v>
      </c>
      <c r="S26" s="150">
        <v>11.0</v>
      </c>
      <c r="T26" s="19">
        <f>S26/F7*100000</f>
        <v>35.73749188</v>
      </c>
      <c r="U26" s="150">
        <v>22.0</v>
      </c>
      <c r="V26" s="19">
        <f>U26/G7*100000</f>
        <v>69.2368214</v>
      </c>
      <c r="W26" s="150">
        <v>4.0</v>
      </c>
      <c r="X26" s="19">
        <f>W26/H7*100000</f>
        <v>12.22307105</v>
      </c>
      <c r="Y26" s="19">
        <f t="shared" ref="Y26:Z26" si="33">((M26+O26+Q26+S26)/4)</f>
        <v>28.75</v>
      </c>
      <c r="Z26" s="19">
        <f t="shared" si="33"/>
        <v>98.89865774</v>
      </c>
      <c r="AA26" s="19">
        <f t="shared" si="3"/>
        <v>16.5</v>
      </c>
      <c r="AB26" s="19">
        <f t="shared" si="4"/>
        <v>40.72994622</v>
      </c>
      <c r="AC26" s="22" t="s">
        <v>28</v>
      </c>
    </row>
    <row r="27" ht="14.25" customHeight="1">
      <c r="A27" s="1"/>
      <c r="B27" s="62" t="s">
        <v>87</v>
      </c>
      <c r="C27" s="145">
        <v>3115.0</v>
      </c>
      <c r="D27" s="166">
        <v>3308.0</v>
      </c>
      <c r="E27" s="167">
        <v>3476.0</v>
      </c>
      <c r="F27" s="167">
        <v>3665.0</v>
      </c>
      <c r="G27" s="167">
        <v>3875.0</v>
      </c>
      <c r="H27" s="168">
        <v>4082.0</v>
      </c>
      <c r="I27" s="1"/>
      <c r="J27" s="1"/>
      <c r="K27" s="1"/>
      <c r="L27" s="15" t="s">
        <v>88</v>
      </c>
      <c r="M27" s="148">
        <v>0.0</v>
      </c>
      <c r="N27" s="19">
        <f>M27/C11*100000</f>
        <v>0</v>
      </c>
      <c r="O27" s="148">
        <v>0.0</v>
      </c>
      <c r="P27" s="19">
        <f>O27/D11*100000</f>
        <v>0</v>
      </c>
      <c r="Q27" s="149">
        <v>0.0</v>
      </c>
      <c r="R27" s="19">
        <f>Q27/E11*100000</f>
        <v>0</v>
      </c>
      <c r="S27" s="148">
        <v>1.0</v>
      </c>
      <c r="T27" s="19">
        <f>S27/F11*100000</f>
        <v>6.379585327</v>
      </c>
      <c r="U27" s="148">
        <v>2.0</v>
      </c>
      <c r="V27" s="19">
        <f>U27/G11*100000</f>
        <v>12.36323175</v>
      </c>
      <c r="W27" s="148">
        <v>0.0</v>
      </c>
      <c r="X27" s="19">
        <f>W27/H11*100000</f>
        <v>0</v>
      </c>
      <c r="Y27" s="19">
        <f t="shared" ref="Y27:Z27" si="34">((M27+O27+Q27+S27)/4)</f>
        <v>0.25</v>
      </c>
      <c r="Z27" s="19">
        <f t="shared" si="34"/>
        <v>1.594896332</v>
      </c>
      <c r="AA27" s="19">
        <f t="shared" si="3"/>
        <v>1.5</v>
      </c>
      <c r="AB27" s="19">
        <f t="shared" si="4"/>
        <v>6.181615874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50">
        <v>2.0</v>
      </c>
      <c r="N28" s="19">
        <f>M28/C11*100000</f>
        <v>14.00854521</v>
      </c>
      <c r="O28" s="150">
        <v>1.0</v>
      </c>
      <c r="P28" s="19">
        <f>O28/D11*100000</f>
        <v>6795.786612</v>
      </c>
      <c r="Q28" s="151">
        <v>2.0</v>
      </c>
      <c r="R28" s="19">
        <f>Q28/E11*100000</f>
        <v>13.18044023</v>
      </c>
      <c r="S28" s="150">
        <v>0.0</v>
      </c>
      <c r="T28" s="19">
        <f>S28/F11*100000</f>
        <v>0</v>
      </c>
      <c r="U28" s="150">
        <v>1.0</v>
      </c>
      <c r="V28" s="19">
        <f>U28/G11*100000</f>
        <v>6.181615874</v>
      </c>
      <c r="W28" s="150">
        <v>0.0</v>
      </c>
      <c r="X28" s="19">
        <f>W28/H11*100000</f>
        <v>0</v>
      </c>
      <c r="Y28" s="19">
        <f t="shared" ref="Y28:Z28" si="35">((M28+O28+Q28+S28)/4)</f>
        <v>1.25</v>
      </c>
      <c r="Z28" s="19">
        <f t="shared" si="35"/>
        <v>1705.743899</v>
      </c>
      <c r="AA28" s="19">
        <f t="shared" si="3"/>
        <v>0.5</v>
      </c>
      <c r="AB28" s="19">
        <f t="shared" si="4"/>
        <v>3.090807937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48">
        <v>1.0</v>
      </c>
      <c r="N29" s="19">
        <f>M29/C10*100000</f>
        <v>7.288629738</v>
      </c>
      <c r="O29" s="148">
        <v>3.0</v>
      </c>
      <c r="P29" s="19">
        <f>O29/D10*100000</f>
        <v>21196.91938</v>
      </c>
      <c r="Q29" s="149">
        <v>1.0</v>
      </c>
      <c r="R29" s="19">
        <f>Q29/E10*100000</f>
        <v>6.843221789</v>
      </c>
      <c r="S29" s="148">
        <v>1.0</v>
      </c>
      <c r="T29" s="19">
        <f>S29/F10*100000</f>
        <v>6.451196697</v>
      </c>
      <c r="U29" s="148">
        <v>2.0</v>
      </c>
      <c r="V29" s="19">
        <f>U29/G10*100000</f>
        <v>13.24064879</v>
      </c>
      <c r="W29" s="148">
        <v>0.0</v>
      </c>
      <c r="X29" s="19">
        <f>W29/H10*100000</f>
        <v>0</v>
      </c>
      <c r="Y29" s="19">
        <f t="shared" ref="Y29:Z29" si="36">((M29+O29+Q29+S29)/4)</f>
        <v>1.5</v>
      </c>
      <c r="Z29" s="19">
        <f t="shared" si="36"/>
        <v>5304.375607</v>
      </c>
      <c r="AA29" s="19">
        <f t="shared" si="3"/>
        <v>1.5</v>
      </c>
      <c r="AB29" s="19">
        <f t="shared" si="4"/>
        <v>6.620324396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50">
        <v>30.0</v>
      </c>
      <c r="N30" s="19">
        <f>M30/C7*100000</f>
        <v>107.154338</v>
      </c>
      <c r="O30" s="150">
        <v>52.0</v>
      </c>
      <c r="P30" s="19">
        <f>O30/D7*100000</f>
        <v>180.130248</v>
      </c>
      <c r="Q30" s="151">
        <v>8.0</v>
      </c>
      <c r="R30" s="19">
        <f>Q30/E7*100000</f>
        <v>26.85735388</v>
      </c>
      <c r="S30" s="150">
        <v>2.0</v>
      </c>
      <c r="T30" s="19">
        <f>S30/F7*100000</f>
        <v>6.497725796</v>
      </c>
      <c r="U30" s="150">
        <v>6.0</v>
      </c>
      <c r="V30" s="19">
        <f>U30/G7*100000</f>
        <v>18.88276947</v>
      </c>
      <c r="W30" s="169"/>
      <c r="X30" s="19">
        <f>W30/H7*100000</f>
        <v>0</v>
      </c>
      <c r="Y30" s="19">
        <f t="shared" ref="Y30:Z30" si="37">((M30+O30+Q30+S30)/4)</f>
        <v>23</v>
      </c>
      <c r="Z30" s="19">
        <f t="shared" si="37"/>
        <v>80.15991642</v>
      </c>
      <c r="AA30" s="19">
        <f t="shared" si="3"/>
        <v>4</v>
      </c>
      <c r="AB30" s="19">
        <f t="shared" si="4"/>
        <v>9.441384736</v>
      </c>
      <c r="AC30" s="22" t="s">
        <v>28</v>
      </c>
    </row>
    <row r="31" ht="14.25" customHeight="1">
      <c r="A31" s="1"/>
      <c r="B31" s="71" t="s">
        <v>93</v>
      </c>
      <c r="C31" s="170">
        <v>2094.0</v>
      </c>
      <c r="D31" s="156">
        <v>2124.0</v>
      </c>
      <c r="E31" s="156">
        <v>2151.0</v>
      </c>
      <c r="F31" s="156">
        <v>2178.0</v>
      </c>
      <c r="G31" s="156">
        <v>2189.0</v>
      </c>
      <c r="H31" s="171">
        <v>2.195</v>
      </c>
      <c r="I31" s="1"/>
      <c r="J31" s="1"/>
      <c r="K31" s="1"/>
      <c r="L31" s="15" t="s">
        <v>94</v>
      </c>
      <c r="M31" s="148">
        <v>3.0</v>
      </c>
      <c r="N31" s="19">
        <f>M31/C7*100000</f>
        <v>10.7154338</v>
      </c>
      <c r="O31" s="148">
        <v>0.0</v>
      </c>
      <c r="P31" s="19">
        <f>O31/D7*100000</f>
        <v>0</v>
      </c>
      <c r="Q31" s="149">
        <v>1.0</v>
      </c>
      <c r="R31" s="19">
        <f>Q31/E7*100000</f>
        <v>3.357169235</v>
      </c>
      <c r="S31" s="148">
        <v>0.0</v>
      </c>
      <c r="T31" s="19">
        <f>S31/F7*100000</f>
        <v>0</v>
      </c>
      <c r="U31" s="148">
        <v>1.0</v>
      </c>
      <c r="V31" s="19">
        <f>U31/G7*100000</f>
        <v>3.147128245</v>
      </c>
      <c r="W31" s="148">
        <v>0.0</v>
      </c>
      <c r="X31" s="19">
        <f>W31/H7*100000</f>
        <v>0</v>
      </c>
      <c r="Y31" s="19">
        <f t="shared" ref="Y31:Z31" si="38">((M31+O31+Q31+S31)/4)</f>
        <v>1</v>
      </c>
      <c r="Z31" s="19">
        <f t="shared" si="38"/>
        <v>3.518150758</v>
      </c>
      <c r="AA31" s="19">
        <f t="shared" si="3"/>
        <v>0.5</v>
      </c>
      <c r="AB31" s="19">
        <f t="shared" si="4"/>
        <v>1.573564123</v>
      </c>
      <c r="AC31" s="22" t="s">
        <v>28</v>
      </c>
    </row>
    <row r="32" ht="14.25" customHeight="1">
      <c r="A32" s="1"/>
      <c r="B32" s="71" t="s">
        <v>95</v>
      </c>
      <c r="C32" s="159">
        <v>2282.0</v>
      </c>
      <c r="D32" s="159">
        <v>2333.0</v>
      </c>
      <c r="E32" s="159">
        <v>2390.0</v>
      </c>
      <c r="F32" s="159">
        <v>2464.0</v>
      </c>
      <c r="G32" s="159">
        <v>2536.0</v>
      </c>
      <c r="H32" s="172">
        <v>2.603</v>
      </c>
      <c r="I32" s="1"/>
      <c r="J32" s="1"/>
      <c r="K32" s="1"/>
      <c r="L32" s="15" t="s">
        <v>96</v>
      </c>
      <c r="M32" s="162">
        <v>5.0</v>
      </c>
      <c r="N32" s="72">
        <f>M32/C7*100</f>
        <v>0.01785905633</v>
      </c>
      <c r="O32" s="150">
        <v>8.0</v>
      </c>
      <c r="P32" s="72">
        <f>O32/D7*100</f>
        <v>0.02771234585</v>
      </c>
      <c r="Q32" s="151">
        <v>7.0</v>
      </c>
      <c r="R32" s="72">
        <f>Q32/E7*100</f>
        <v>0.02350018464</v>
      </c>
      <c r="S32" s="162">
        <v>5.0</v>
      </c>
      <c r="T32" s="72">
        <f>S32/F7*100</f>
        <v>0.01624431449</v>
      </c>
      <c r="U32" s="162">
        <v>9.0</v>
      </c>
      <c r="V32" s="72">
        <f>U32/G7*100</f>
        <v>0.02832415421</v>
      </c>
      <c r="W32" s="162">
        <v>2.0</v>
      </c>
      <c r="X32" s="72">
        <f>W32/H7*100</f>
        <v>0.006111535523</v>
      </c>
      <c r="Y32" s="19">
        <f t="shared" ref="Y32:Z32" si="39">((M32+O32+Q32+S32)/4)</f>
        <v>6.25</v>
      </c>
      <c r="Z32" s="74">
        <f t="shared" si="39"/>
        <v>0.02132897533</v>
      </c>
      <c r="AA32" s="19">
        <f t="shared" si="3"/>
        <v>7</v>
      </c>
      <c r="AB32" s="19">
        <f t="shared" si="4"/>
        <v>0.01721784487</v>
      </c>
      <c r="AC32" s="22" t="s">
        <v>57</v>
      </c>
    </row>
    <row r="33" ht="14.25" customHeight="1">
      <c r="A33" s="1"/>
      <c r="B33" s="71" t="s">
        <v>99</v>
      </c>
      <c r="C33" s="156">
        <v>2657.0</v>
      </c>
      <c r="D33" s="156">
        <v>2674.0</v>
      </c>
      <c r="E33" s="156">
        <v>2702.0</v>
      </c>
      <c r="F33" s="156">
        <v>2742.0</v>
      </c>
      <c r="G33" s="156">
        <v>2794.0</v>
      </c>
      <c r="H33" s="171">
        <v>2.847</v>
      </c>
      <c r="I33" s="1"/>
      <c r="J33" s="1"/>
      <c r="K33" s="1"/>
      <c r="L33" s="15" t="s">
        <v>100</v>
      </c>
      <c r="M33" s="148">
        <v>4630.0</v>
      </c>
      <c r="N33" s="19">
        <f>M33/C7*10000</f>
        <v>1653.748616</v>
      </c>
      <c r="O33" s="148">
        <v>5223.0</v>
      </c>
      <c r="P33" s="19">
        <f>O33/D7*10000</f>
        <v>1809.26978</v>
      </c>
      <c r="Q33" s="149">
        <v>1113.0</v>
      </c>
      <c r="R33" s="19">
        <f>Q33/E7*10000</f>
        <v>373.6529358</v>
      </c>
      <c r="S33" s="148">
        <v>5631.0</v>
      </c>
      <c r="T33" s="19">
        <f>S33/F7*10000</f>
        <v>1829.434698</v>
      </c>
      <c r="U33" s="148">
        <v>4527.0</v>
      </c>
      <c r="V33" s="19">
        <f>U33/G7*10000</f>
        <v>1424.704957</v>
      </c>
      <c r="W33" s="148">
        <v>1877.0</v>
      </c>
      <c r="X33" s="19">
        <f>W33/H7*10000</f>
        <v>573.5676089</v>
      </c>
      <c r="Y33" s="19">
        <f t="shared" ref="Y33:Z33" si="40">((M33+O33+Q33+S33)/4)</f>
        <v>4149.25</v>
      </c>
      <c r="Z33" s="19">
        <f t="shared" si="40"/>
        <v>1416.526507</v>
      </c>
      <c r="AA33" s="19">
        <f t="shared" si="3"/>
        <v>5079</v>
      </c>
      <c r="AB33" s="19">
        <f t="shared" si="4"/>
        <v>999.1362828</v>
      </c>
      <c r="AC33" s="22" t="s">
        <v>57</v>
      </c>
    </row>
    <row r="34" ht="14.25" customHeight="1">
      <c r="A34" s="1"/>
      <c r="B34" s="71" t="s">
        <v>101</v>
      </c>
      <c r="C34" s="159">
        <v>5490.0</v>
      </c>
      <c r="D34" s="159">
        <v>5611.0</v>
      </c>
      <c r="E34" s="159">
        <v>5724.0</v>
      </c>
      <c r="F34" s="159">
        <v>5808.0</v>
      </c>
      <c r="G34" s="159">
        <v>5881.0</v>
      </c>
      <c r="H34" s="172">
        <v>5.927</v>
      </c>
      <c r="I34" s="1"/>
      <c r="J34" s="1"/>
      <c r="K34" s="1"/>
      <c r="L34" s="15" t="s">
        <v>102</v>
      </c>
      <c r="M34" s="150">
        <v>2295.0</v>
      </c>
      <c r="N34" s="19">
        <f>M34/C7*10000</f>
        <v>819.7306854</v>
      </c>
      <c r="O34" s="150">
        <v>2000.0</v>
      </c>
      <c r="P34" s="19">
        <f>O34/D7*10000</f>
        <v>692.8086463</v>
      </c>
      <c r="Q34" s="151">
        <v>187.0</v>
      </c>
      <c r="R34" s="19">
        <f>Q34/E7*10000</f>
        <v>62.77906469</v>
      </c>
      <c r="S34" s="150">
        <v>3206.0</v>
      </c>
      <c r="T34" s="19">
        <f>S34/F7*10000</f>
        <v>1041.585445</v>
      </c>
      <c r="U34" s="150">
        <v>4444.0</v>
      </c>
      <c r="V34" s="19">
        <f>U34/G7*10000</f>
        <v>1398.583792</v>
      </c>
      <c r="W34" s="150">
        <v>1872.0</v>
      </c>
      <c r="X34" s="19">
        <f>W34/H7*10000</f>
        <v>572.039725</v>
      </c>
      <c r="Y34" s="19">
        <f t="shared" ref="Y34:Z34" si="41">((M34+O34+Q34+S34)/4)</f>
        <v>1922</v>
      </c>
      <c r="Z34" s="19">
        <f t="shared" si="41"/>
        <v>654.2259604</v>
      </c>
      <c r="AA34" s="19">
        <f t="shared" si="3"/>
        <v>3825</v>
      </c>
      <c r="AB34" s="19">
        <f t="shared" si="4"/>
        <v>985.3117586</v>
      </c>
      <c r="AC34" s="22" t="s">
        <v>57</v>
      </c>
    </row>
    <row r="35" ht="14.25" customHeight="1">
      <c r="A35" s="1"/>
      <c r="B35" s="71" t="s">
        <v>103</v>
      </c>
      <c r="C35" s="170">
        <v>12339.0</v>
      </c>
      <c r="D35" s="170">
        <v>12818.0</v>
      </c>
      <c r="E35" s="170">
        <v>13344.0</v>
      </c>
      <c r="F35" s="170">
        <v>13923.0</v>
      </c>
      <c r="G35" s="170">
        <v>14500.0</v>
      </c>
      <c r="H35" s="170">
        <v>15071.0</v>
      </c>
      <c r="I35" s="1"/>
      <c r="J35" s="1"/>
      <c r="K35" s="1"/>
      <c r="L35" s="15" t="s">
        <v>104</v>
      </c>
      <c r="M35" s="148">
        <v>19.0</v>
      </c>
      <c r="N35" s="19">
        <f>M35/M4*1000</f>
        <v>75.09881423</v>
      </c>
      <c r="O35" s="148">
        <v>12.0</v>
      </c>
      <c r="P35" s="19">
        <f>O35/O4*1000</f>
        <v>54.79452055</v>
      </c>
      <c r="Q35" s="149">
        <v>18.0</v>
      </c>
      <c r="R35" s="19">
        <f>Q35/Q4*1000</f>
        <v>88.23529412</v>
      </c>
      <c r="S35" s="148">
        <v>14.0</v>
      </c>
      <c r="T35" s="19">
        <f>S35/S4*1000</f>
        <v>73.29842932</v>
      </c>
      <c r="U35" s="148">
        <v>20.0</v>
      </c>
      <c r="V35" s="19">
        <f>U35/U4*1000</f>
        <v>105.8201058</v>
      </c>
      <c r="W35" s="148">
        <v>15.0</v>
      </c>
      <c r="X35" s="19">
        <f>W35/W4*1000</f>
        <v>163.0434783</v>
      </c>
      <c r="Y35" s="19">
        <f t="shared" ref="Y35:Z35" si="42">((M35+O35+Q35+S35)/4)</f>
        <v>15.75</v>
      </c>
      <c r="Z35" s="19">
        <f t="shared" si="42"/>
        <v>72.85676455</v>
      </c>
      <c r="AA35" s="19">
        <f t="shared" si="3"/>
        <v>17</v>
      </c>
      <c r="AB35" s="19">
        <f t="shared" si="4"/>
        <v>134.431792</v>
      </c>
      <c r="AC35" s="22" t="s">
        <v>57</v>
      </c>
    </row>
    <row r="36" ht="14.25" customHeight="1">
      <c r="A36" s="1"/>
      <c r="B36" s="71" t="s">
        <v>105</v>
      </c>
      <c r="C36" s="166">
        <v>3135.0</v>
      </c>
      <c r="D36" s="166">
        <v>3308.0</v>
      </c>
      <c r="E36" s="166">
        <v>3.476</v>
      </c>
      <c r="F36" s="166">
        <v>3.665</v>
      </c>
      <c r="G36" s="166">
        <v>3.875</v>
      </c>
      <c r="H36" s="173">
        <v>4.082</v>
      </c>
      <c r="I36" s="1"/>
      <c r="J36" s="1"/>
      <c r="K36" s="1"/>
      <c r="L36" s="15" t="s">
        <v>106</v>
      </c>
      <c r="M36" s="150">
        <v>0.0</v>
      </c>
      <c r="N36" s="19">
        <f>M36/M4*1000</f>
        <v>0</v>
      </c>
      <c r="O36" s="150">
        <v>0.0</v>
      </c>
      <c r="P36" s="19">
        <f>O36/O4*1000</f>
        <v>0</v>
      </c>
      <c r="Q36" s="151">
        <v>2.0</v>
      </c>
      <c r="R36" s="19">
        <f>Q36/Q4*1000</f>
        <v>9.803921569</v>
      </c>
      <c r="S36" s="150">
        <v>1.0</v>
      </c>
      <c r="T36" s="19">
        <f>S36/S4*1000</f>
        <v>5.235602094</v>
      </c>
      <c r="U36" s="150">
        <v>2.0</v>
      </c>
      <c r="V36" s="19">
        <f>U36/U4*1000</f>
        <v>10.58201058</v>
      </c>
      <c r="W36" s="150">
        <v>3.0</v>
      </c>
      <c r="X36" s="19">
        <f>W36/W4*1000</f>
        <v>32.60869565</v>
      </c>
      <c r="Y36" s="19">
        <f t="shared" ref="Y36:Z36" si="43">((M36+O36+Q36+S36)/4)</f>
        <v>0.75</v>
      </c>
      <c r="Z36" s="19">
        <f t="shared" si="43"/>
        <v>3.759880916</v>
      </c>
      <c r="AA36" s="19">
        <f t="shared" si="3"/>
        <v>1.5</v>
      </c>
      <c r="AB36" s="19">
        <f t="shared" si="4"/>
        <v>21.59535312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48">
        <v>0.0</v>
      </c>
      <c r="N37" s="36"/>
      <c r="O37" s="148">
        <v>0.0</v>
      </c>
      <c r="P37" s="36"/>
      <c r="Q37" s="149">
        <v>0.0</v>
      </c>
      <c r="R37" s="36"/>
      <c r="S37" s="148">
        <v>0.0</v>
      </c>
      <c r="T37" s="36"/>
      <c r="U37" s="148">
        <v>0.0</v>
      </c>
      <c r="V37" s="36"/>
      <c r="W37" s="148">
        <v>0.0</v>
      </c>
      <c r="X37" s="36"/>
      <c r="Y37" s="19">
        <f t="shared" ref="Y37:Z37" si="44">((M37+O37+Q37+S37)/4)</f>
        <v>0</v>
      </c>
      <c r="Z37" s="19">
        <f t="shared" si="44"/>
        <v>0</v>
      </c>
      <c r="AA37" s="19">
        <f t="shared" si="3"/>
        <v>0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50">
        <v>0.0</v>
      </c>
      <c r="N38" s="19">
        <f>M38/C7*10000</f>
        <v>0</v>
      </c>
      <c r="O38" s="150">
        <v>1.0</v>
      </c>
      <c r="P38" s="19">
        <f>O38/E7*10000</f>
        <v>0.3357169235</v>
      </c>
      <c r="Q38" s="151">
        <v>0.0</v>
      </c>
      <c r="R38" s="19">
        <f>Q38/E7*10000</f>
        <v>0</v>
      </c>
      <c r="S38" s="150">
        <v>0.0</v>
      </c>
      <c r="T38" s="19">
        <f>S38/F7*10000</f>
        <v>0</v>
      </c>
      <c r="U38" s="150">
        <v>5.0</v>
      </c>
      <c r="V38" s="19">
        <f>U38/G7*10000</f>
        <v>1.573564123</v>
      </c>
      <c r="W38" s="150">
        <v>19.0</v>
      </c>
      <c r="X38" s="19">
        <f>W38/H7*10000</f>
        <v>5.805958747</v>
      </c>
      <c r="Y38" s="19">
        <f t="shared" ref="Y38:Z38" si="45">((M38+O38+Q38+S38)/4)</f>
        <v>0.25</v>
      </c>
      <c r="Z38" s="19">
        <f t="shared" si="45"/>
        <v>0.08392923087</v>
      </c>
      <c r="AA38" s="19">
        <f t="shared" si="3"/>
        <v>2.5</v>
      </c>
      <c r="AB38" s="19">
        <f t="shared" si="4"/>
        <v>3.689761435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48">
        <v>5.0</v>
      </c>
      <c r="N39" s="19">
        <f>M39/C17*10000</f>
        <v>6.24609619</v>
      </c>
      <c r="O39" s="148">
        <v>14.0</v>
      </c>
      <c r="P39" s="19">
        <f>O39/D17*10000</f>
        <v>17.27541955</v>
      </c>
      <c r="Q39" s="149">
        <v>30.0</v>
      </c>
      <c r="R39" s="19">
        <f>Q39/E17*100000</f>
        <v>365.0079085</v>
      </c>
      <c r="S39" s="148">
        <v>60.0</v>
      </c>
      <c r="T39" s="19">
        <f>S39/F17*100000</f>
        <v>717.1886206</v>
      </c>
      <c r="U39" s="148">
        <v>98.0</v>
      </c>
      <c r="V39" s="19">
        <f>U39/G17*100000</f>
        <v>1152.12791</v>
      </c>
      <c r="W39" s="148">
        <v>50.0</v>
      </c>
      <c r="X39" s="19">
        <f>W39/H17*100000</f>
        <v>578.7706911</v>
      </c>
      <c r="Y39" s="19">
        <f t="shared" ref="Y39:Z39" si="46">((M39+O39+Q39+S39)/4)</f>
        <v>27.25</v>
      </c>
      <c r="Z39" s="19">
        <f t="shared" si="46"/>
        <v>276.4295112</v>
      </c>
      <c r="AA39" s="19">
        <f t="shared" si="3"/>
        <v>79</v>
      </c>
      <c r="AB39" s="19">
        <f t="shared" si="4"/>
        <v>865.4493004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50">
        <v>4.0</v>
      </c>
      <c r="N40" s="19">
        <f>M40/C7*100000</f>
        <v>14.28724506</v>
      </c>
      <c r="O40" s="150">
        <v>9.0</v>
      </c>
      <c r="P40" s="19">
        <f>O40/D7*100000</f>
        <v>31.17638908</v>
      </c>
      <c r="Q40" s="151">
        <v>22.0</v>
      </c>
      <c r="R40" s="19">
        <f>Q40/E7*100000</f>
        <v>73.85772317</v>
      </c>
      <c r="S40" s="150">
        <v>35.0</v>
      </c>
      <c r="T40" s="19">
        <f>S40/F7*100000</f>
        <v>113.7102014</v>
      </c>
      <c r="U40" s="150">
        <v>45.0</v>
      </c>
      <c r="V40" s="19">
        <f>U40/G7*100000</f>
        <v>141.620771</v>
      </c>
      <c r="W40" s="150">
        <v>33.0</v>
      </c>
      <c r="X40" s="19">
        <f>W40/H7*100000</f>
        <v>100.8403361</v>
      </c>
      <c r="Y40" s="19">
        <f t="shared" ref="Y40:Z40" si="47">((M40+O40+Q40+S40)/4)</f>
        <v>17.5</v>
      </c>
      <c r="Z40" s="19">
        <f t="shared" si="47"/>
        <v>58.25788969</v>
      </c>
      <c r="AA40" s="19">
        <f t="shared" si="3"/>
        <v>40</v>
      </c>
      <c r="AB40" s="19">
        <f t="shared" si="4"/>
        <v>121.2305536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63">
        <v>106.0</v>
      </c>
      <c r="N41" s="57">
        <f>M41/C7*10000</f>
        <v>37.86119941</v>
      </c>
      <c r="O41" s="148">
        <v>135.0</v>
      </c>
      <c r="P41" s="57">
        <f>O41/D7*10000</f>
        <v>46.76458362</v>
      </c>
      <c r="Q41" s="149">
        <v>178.0</v>
      </c>
      <c r="R41" s="57">
        <f>Q41/E7*10000</f>
        <v>59.75761238</v>
      </c>
      <c r="S41" s="163">
        <v>190.0</v>
      </c>
      <c r="T41" s="57">
        <f>S41/F7*10000</f>
        <v>61.72839506</v>
      </c>
      <c r="U41" s="163">
        <v>269.0</v>
      </c>
      <c r="V41" s="57">
        <f>U41/G7*10000</f>
        <v>84.6577498</v>
      </c>
      <c r="W41" s="163">
        <v>164.0</v>
      </c>
      <c r="X41" s="57">
        <f>W41/H7*10000</f>
        <v>50.11459129</v>
      </c>
      <c r="Y41" s="19">
        <f t="shared" ref="Y41:Z41" si="48">((M41+O41+Q41+S41)/4)</f>
        <v>152.25</v>
      </c>
      <c r="Z41" s="19">
        <f t="shared" si="48"/>
        <v>51.52794762</v>
      </c>
      <c r="AA41" s="19">
        <f t="shared" si="3"/>
        <v>229.5</v>
      </c>
      <c r="AB41" s="19">
        <f t="shared" si="4"/>
        <v>67.38617055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62">
        <v>18.0</v>
      </c>
      <c r="N42" s="57">
        <f>M42/C7*10000</f>
        <v>6.429260278</v>
      </c>
      <c r="O42" s="150">
        <v>15.0</v>
      </c>
      <c r="P42" s="57">
        <f>O42/D7*10000</f>
        <v>5.196064847</v>
      </c>
      <c r="Q42" s="151">
        <v>28.0</v>
      </c>
      <c r="R42" s="57">
        <f>Q42/E7*10000</f>
        <v>9.400073858</v>
      </c>
      <c r="S42" s="162">
        <v>16.0</v>
      </c>
      <c r="T42" s="57">
        <f>S42/F7*10000</f>
        <v>5.198180637</v>
      </c>
      <c r="U42" s="162">
        <v>47.0</v>
      </c>
      <c r="V42" s="57">
        <f>U42/G7*10000</f>
        <v>14.79150275</v>
      </c>
      <c r="W42" s="162">
        <v>37.0</v>
      </c>
      <c r="X42" s="57">
        <f>W42/H7*10000</f>
        <v>11.30634072</v>
      </c>
      <c r="Y42" s="19">
        <f t="shared" ref="Y42:Z42" si="49">((M42+O42+Q42+S42)/4)</f>
        <v>19.25</v>
      </c>
      <c r="Z42" s="19">
        <f t="shared" si="49"/>
        <v>6.555894905</v>
      </c>
      <c r="AA42" s="19">
        <f t="shared" si="3"/>
        <v>31.5</v>
      </c>
      <c r="AB42" s="19">
        <f t="shared" si="4"/>
        <v>13.04892174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63">
        <v>21.0</v>
      </c>
      <c r="N43" s="57">
        <f>M43/C16*10000</f>
        <v>9.397655061</v>
      </c>
      <c r="O43" s="148">
        <v>32.0</v>
      </c>
      <c r="P43" s="57">
        <f>O43/D16*10000</f>
        <v>13.83723947</v>
      </c>
      <c r="Q43" s="149">
        <v>51.0</v>
      </c>
      <c r="R43" s="57">
        <f>Q43/E16*100000</f>
        <v>213.0147857</v>
      </c>
      <c r="S43" s="163">
        <v>65.0</v>
      </c>
      <c r="T43" s="57">
        <f>S43/F16*100000</f>
        <v>262.0016929</v>
      </c>
      <c r="U43" s="163">
        <v>54.0</v>
      </c>
      <c r="V43" s="57">
        <f>U43/G16*100000</f>
        <v>210.2067033</v>
      </c>
      <c r="W43" s="163">
        <v>26.0</v>
      </c>
      <c r="X43" s="57">
        <f>W43/H16*100000</f>
        <v>97.98748775</v>
      </c>
      <c r="Y43" s="19">
        <f t="shared" ref="Y43:Z43" si="50">((M43+O43+Q43+S43)/4)</f>
        <v>42.25</v>
      </c>
      <c r="Z43" s="19">
        <f t="shared" si="50"/>
        <v>124.5628433</v>
      </c>
      <c r="AA43" s="19">
        <f t="shared" si="3"/>
        <v>59.5</v>
      </c>
      <c r="AB43" s="19">
        <f t="shared" si="4"/>
        <v>154.0970955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74">
        <v>38.0</v>
      </c>
      <c r="N44" s="57">
        <f>M44/C7*100000</f>
        <v>135.7288281</v>
      </c>
      <c r="O44" s="150">
        <v>43.0</v>
      </c>
      <c r="P44" s="57">
        <f>O44/D7*100000</f>
        <v>148.9538589</v>
      </c>
      <c r="Q44" s="150">
        <v>26.0</v>
      </c>
      <c r="R44" s="19">
        <f>Q44/E7*100000</f>
        <v>87.28640011</v>
      </c>
      <c r="S44" s="150">
        <v>21.0</v>
      </c>
      <c r="T44" s="19">
        <f>S44/F7*100000</f>
        <v>68.22612086</v>
      </c>
      <c r="U44" s="150">
        <v>38.0</v>
      </c>
      <c r="V44" s="19">
        <f>U44/G7*100000</f>
        <v>119.5908733</v>
      </c>
      <c r="W44" s="150">
        <v>8.0</v>
      </c>
      <c r="X44" s="19">
        <f>W44/H7*100000</f>
        <v>24.44614209</v>
      </c>
      <c r="Y44" s="19">
        <f t="shared" ref="Y44:Z44" si="51">((M44+O44+Q44+S44)/4)</f>
        <v>32</v>
      </c>
      <c r="Z44" s="19">
        <f t="shared" si="51"/>
        <v>110.048802</v>
      </c>
      <c r="AA44" s="19">
        <f t="shared" si="3"/>
        <v>29.5</v>
      </c>
      <c r="AB44" s="19">
        <f t="shared" si="4"/>
        <v>72.01850771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175">
        <v>253.0</v>
      </c>
      <c r="N45" s="57">
        <f>M45/M4*100</f>
        <v>100</v>
      </c>
      <c r="O45" s="148">
        <v>218.0</v>
      </c>
      <c r="P45" s="57">
        <f>O45/O4*100</f>
        <v>99.543379</v>
      </c>
      <c r="Q45" s="148">
        <v>204.0</v>
      </c>
      <c r="R45" s="19">
        <f>Q45/Q4*100</f>
        <v>100</v>
      </c>
      <c r="S45" s="148">
        <v>191.0</v>
      </c>
      <c r="T45" s="19">
        <f>S45/S4*100</f>
        <v>100</v>
      </c>
      <c r="U45" s="148">
        <v>188.0</v>
      </c>
      <c r="V45" s="19">
        <f>U45/U4*100</f>
        <v>99.47089947</v>
      </c>
      <c r="W45" s="148">
        <v>92.0</v>
      </c>
      <c r="X45" s="19">
        <f>W45/W4*100</f>
        <v>100</v>
      </c>
      <c r="Y45" s="19">
        <f t="shared" ref="Y45:Z45" si="52">((M45+O45+Q45+S45)/4)</f>
        <v>216.5</v>
      </c>
      <c r="Z45" s="19">
        <f t="shared" si="52"/>
        <v>99.88584475</v>
      </c>
      <c r="AA45" s="19">
        <f t="shared" si="3"/>
        <v>189.5</v>
      </c>
      <c r="AB45" s="19">
        <f t="shared" si="4"/>
        <v>99.73544974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174">
        <v>228.0</v>
      </c>
      <c r="N46" s="57">
        <f>M46/M4*100</f>
        <v>90.11857708</v>
      </c>
      <c r="O46" s="150">
        <v>209.0</v>
      </c>
      <c r="P46" s="57">
        <f>O46/O4*100</f>
        <v>95.43378995</v>
      </c>
      <c r="Q46" s="150">
        <v>197.0</v>
      </c>
      <c r="R46" s="19">
        <f>Q46/Q4*100</f>
        <v>96.56862745</v>
      </c>
      <c r="S46" s="150">
        <v>179.0</v>
      </c>
      <c r="T46" s="19">
        <f>S46/S4*100</f>
        <v>93.71727749</v>
      </c>
      <c r="U46" s="150">
        <v>168.0</v>
      </c>
      <c r="V46" s="19">
        <f>U46/U4*100</f>
        <v>88.88888889</v>
      </c>
      <c r="W46" s="150">
        <v>85.0</v>
      </c>
      <c r="X46" s="19">
        <f>W46/W4*100</f>
        <v>92.39130435</v>
      </c>
      <c r="Y46" s="19">
        <f t="shared" ref="Y46:Z46" si="53">((M46+O46+Q46+S46)/4)</f>
        <v>203.25</v>
      </c>
      <c r="Z46" s="19">
        <f t="shared" si="53"/>
        <v>93.95956799</v>
      </c>
      <c r="AA46" s="19">
        <f t="shared" si="3"/>
        <v>173.5</v>
      </c>
      <c r="AB46" s="19">
        <f t="shared" si="4"/>
        <v>90.64009662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149">
        <v>10.0</v>
      </c>
      <c r="N47" s="19">
        <f>M47/C7*100000</f>
        <v>35.71811265</v>
      </c>
      <c r="O47" s="149">
        <v>7.0</v>
      </c>
      <c r="P47" s="19">
        <f>O47/D7*100000</f>
        <v>24.24830262</v>
      </c>
      <c r="Q47" s="149">
        <v>9.0</v>
      </c>
      <c r="R47" s="19">
        <f>Q47/E7*100000</f>
        <v>30.21452311</v>
      </c>
      <c r="S47" s="148">
        <v>4.0</v>
      </c>
      <c r="T47" s="19">
        <f>S47/F7*100000</f>
        <v>12.99545159</v>
      </c>
      <c r="U47" s="148">
        <v>7.0</v>
      </c>
      <c r="V47" s="19">
        <f>U47/G7*100000</f>
        <v>22.02989772</v>
      </c>
      <c r="W47" s="148">
        <v>4.0</v>
      </c>
      <c r="X47" s="19">
        <f>W47/H7*100000</f>
        <v>12.22307105</v>
      </c>
      <c r="Y47" s="19">
        <f t="shared" ref="Y47:Z47" si="54">((M47+O47+Q47+S47)/4)</f>
        <v>7.5</v>
      </c>
      <c r="Z47" s="19">
        <f t="shared" si="54"/>
        <v>25.79409749</v>
      </c>
      <c r="AA47" s="19">
        <f t="shared" si="3"/>
        <v>5.5</v>
      </c>
      <c r="AB47" s="19">
        <f t="shared" si="4"/>
        <v>17.12648438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151">
        <v>3.0</v>
      </c>
      <c r="N48" s="19">
        <f>M48/C7*100000</f>
        <v>10.7154338</v>
      </c>
      <c r="O48" s="150">
        <v>8.0</v>
      </c>
      <c r="P48" s="19">
        <f>O48/D7*100000</f>
        <v>27.71234585</v>
      </c>
      <c r="Q48" s="151">
        <v>3.0</v>
      </c>
      <c r="R48" s="19">
        <f>Q48/E7*100000</f>
        <v>10.0715077</v>
      </c>
      <c r="S48" s="150">
        <v>3.0</v>
      </c>
      <c r="T48" s="19">
        <f>S48/F7*100000</f>
        <v>9.746588694</v>
      </c>
      <c r="U48" s="150">
        <v>10.0</v>
      </c>
      <c r="V48" s="19">
        <f>U48/G7*100000</f>
        <v>31.47128245</v>
      </c>
      <c r="W48" s="169"/>
      <c r="X48" s="19">
        <f>W48/H7*100000</f>
        <v>0</v>
      </c>
      <c r="Y48" s="19">
        <f t="shared" ref="Y48:Z48" si="55">((M48+O48+Q48+S48)/4)</f>
        <v>4.25</v>
      </c>
      <c r="Z48" s="19">
        <f t="shared" si="55"/>
        <v>14.56146901</v>
      </c>
      <c r="AA48" s="19">
        <f t="shared" si="3"/>
        <v>6.5</v>
      </c>
      <c r="AB48" s="19">
        <f t="shared" si="4"/>
        <v>15.73564123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49">
        <v>3.0</v>
      </c>
      <c r="N49" s="19">
        <f>M49/C7*100000</f>
        <v>10.7154338</v>
      </c>
      <c r="O49" s="148">
        <v>2.0</v>
      </c>
      <c r="P49" s="19">
        <f>O49/D7*100000</f>
        <v>6.928086463</v>
      </c>
      <c r="Q49" s="149">
        <v>1.0</v>
      </c>
      <c r="R49" s="19">
        <f>Q49/E7*100000</f>
        <v>3.357169235</v>
      </c>
      <c r="S49" s="148">
        <v>2.0</v>
      </c>
      <c r="T49" s="19">
        <f>S49/F7*100000</f>
        <v>6.497725796</v>
      </c>
      <c r="U49" s="148">
        <v>5.0</v>
      </c>
      <c r="V49" s="19">
        <f>U49/G7*100000</f>
        <v>15.73564123</v>
      </c>
      <c r="W49" s="176"/>
      <c r="X49" s="19">
        <f>W49/H7*100000</f>
        <v>0</v>
      </c>
      <c r="Y49" s="19">
        <f t="shared" ref="Y49:Z49" si="56">((M49+O49+Q49+S49)/4)</f>
        <v>2</v>
      </c>
      <c r="Z49" s="19">
        <f t="shared" si="56"/>
        <v>6.874603822</v>
      </c>
      <c r="AA49" s="19">
        <f t="shared" si="3"/>
        <v>3.5</v>
      </c>
      <c r="AB49" s="19">
        <f t="shared" si="4"/>
        <v>7.867820614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151">
        <v>1.0</v>
      </c>
      <c r="N50" s="19">
        <f>M50/C7*100000</f>
        <v>3.571811265</v>
      </c>
      <c r="O50" s="151">
        <v>1.0</v>
      </c>
      <c r="P50" s="19">
        <f>O50/D7*100000</f>
        <v>3.464043231</v>
      </c>
      <c r="Q50" s="151">
        <v>2.0</v>
      </c>
      <c r="R50" s="19">
        <f>Q50/E7*100000</f>
        <v>6.71433847</v>
      </c>
      <c r="S50" s="150">
        <v>1.0</v>
      </c>
      <c r="T50" s="19">
        <f>S50/F7*100000</f>
        <v>3.248862898</v>
      </c>
      <c r="U50" s="150">
        <v>0.0</v>
      </c>
      <c r="V50" s="19">
        <f>U50/G7*100000</f>
        <v>0</v>
      </c>
      <c r="W50" s="150">
        <v>1.0</v>
      </c>
      <c r="X50" s="19">
        <f>W50/H7*100000</f>
        <v>3.055767762</v>
      </c>
      <c r="Y50" s="19">
        <f t="shared" ref="Y50:Z50" si="57">((M50+O50+Q50+S50)/4)</f>
        <v>1.25</v>
      </c>
      <c r="Z50" s="19">
        <f t="shared" si="57"/>
        <v>4.249763966</v>
      </c>
      <c r="AA50" s="19">
        <f t="shared" si="3"/>
        <v>0.5</v>
      </c>
      <c r="AB50" s="19">
        <f t="shared" si="4"/>
        <v>1.527883881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49">
        <v>1.0</v>
      </c>
      <c r="N51" s="19">
        <f>M51/C7*100000</f>
        <v>3.571811265</v>
      </c>
      <c r="O51" s="149">
        <v>0.0</v>
      </c>
      <c r="P51" s="19">
        <f>O51/D7*100000</f>
        <v>0</v>
      </c>
      <c r="Q51" s="149">
        <v>0.0</v>
      </c>
      <c r="R51" s="19">
        <f>Q51/E7*100000</f>
        <v>0</v>
      </c>
      <c r="S51" s="148">
        <v>1.0</v>
      </c>
      <c r="T51" s="19">
        <f>S51/F7*100000</f>
        <v>3.248862898</v>
      </c>
      <c r="U51" s="148">
        <v>1.0</v>
      </c>
      <c r="V51" s="19">
        <f>U51/G7*100000</f>
        <v>3.147128245</v>
      </c>
      <c r="W51" s="148">
        <v>0.0</v>
      </c>
      <c r="X51" s="19">
        <f>W51/H7*100000</f>
        <v>0</v>
      </c>
      <c r="Y51" s="19">
        <f t="shared" ref="Y51:Z51" si="58">((M51+O51+Q51+S51)/4)</f>
        <v>0.5</v>
      </c>
      <c r="Z51" s="19">
        <f t="shared" si="58"/>
        <v>1.705168541</v>
      </c>
      <c r="AA51" s="19">
        <f t="shared" si="3"/>
        <v>1</v>
      </c>
      <c r="AB51" s="19">
        <f t="shared" si="4"/>
        <v>1.573564123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51">
        <v>2.0</v>
      </c>
      <c r="N52" s="19">
        <f>M52/C7*100000</f>
        <v>7.143622531</v>
      </c>
      <c r="O52" s="151">
        <v>1.0</v>
      </c>
      <c r="P52" s="19">
        <f>O52/D7*100000</f>
        <v>3.464043231</v>
      </c>
      <c r="Q52" s="151">
        <v>1.0</v>
      </c>
      <c r="R52" s="19">
        <f>Q52/E7*100000</f>
        <v>3.357169235</v>
      </c>
      <c r="S52" s="150">
        <v>2.0</v>
      </c>
      <c r="T52" s="19">
        <f>S52/F7*100000</f>
        <v>6.497725796</v>
      </c>
      <c r="U52" s="150">
        <v>1.0</v>
      </c>
      <c r="V52" s="19">
        <f>U52/G7*100000</f>
        <v>3.147128245</v>
      </c>
      <c r="W52" s="150">
        <v>2.0</v>
      </c>
      <c r="X52" s="19">
        <f>W52/H7*100000</f>
        <v>6.111535523</v>
      </c>
      <c r="Y52" s="19">
        <f t="shared" ref="Y52:Z52" si="59">((M52+O52+Q52+S52)/4)</f>
        <v>1.5</v>
      </c>
      <c r="Z52" s="19">
        <f t="shared" si="59"/>
        <v>5.115640198</v>
      </c>
      <c r="AA52" s="19">
        <f t="shared" si="3"/>
        <v>1.5</v>
      </c>
      <c r="AB52" s="19">
        <f t="shared" si="4"/>
        <v>4.629331884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149">
        <v>0.0</v>
      </c>
      <c r="N53" s="19">
        <f>M53/C17*100000</f>
        <v>0</v>
      </c>
      <c r="O53" s="149">
        <v>0.0</v>
      </c>
      <c r="P53" s="19">
        <f>O53/D17*100000</f>
        <v>0</v>
      </c>
      <c r="Q53" s="149">
        <v>0.0</v>
      </c>
      <c r="R53" s="19">
        <f>Q53/E17*100000</f>
        <v>0</v>
      </c>
      <c r="S53" s="148">
        <v>0.0</v>
      </c>
      <c r="T53" s="19">
        <f>S53/F17*100000</f>
        <v>0</v>
      </c>
      <c r="U53" s="148">
        <v>0.0</v>
      </c>
      <c r="V53" s="19">
        <f>U53/G17*100000</f>
        <v>0</v>
      </c>
      <c r="W53" s="148">
        <v>0.0</v>
      </c>
      <c r="X53" s="19">
        <f>W53/H17*100000</f>
        <v>0</v>
      </c>
      <c r="Y53" s="19">
        <f t="shared" ref="Y53:Z53" si="60">((M53+O53+Q53+S53)/4)</f>
        <v>0</v>
      </c>
      <c r="Z53" s="19">
        <f t="shared" si="60"/>
        <v>0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151">
        <v>0.0</v>
      </c>
      <c r="N54" s="19">
        <f>M54/C19*100000</f>
        <v>0</v>
      </c>
      <c r="O54" s="151">
        <v>0.0</v>
      </c>
      <c r="P54" s="19">
        <f>O54/D19*100000</f>
        <v>0</v>
      </c>
      <c r="Q54" s="151">
        <v>0.0</v>
      </c>
      <c r="R54" s="19">
        <f>Q54/E19*100000</f>
        <v>0</v>
      </c>
      <c r="S54" s="150">
        <v>0.0</v>
      </c>
      <c r="T54" s="19">
        <f>S54/F19*100000</f>
        <v>0</v>
      </c>
      <c r="U54" s="150">
        <v>0.0</v>
      </c>
      <c r="V54" s="19">
        <f>U54/G19*100000</f>
        <v>0</v>
      </c>
      <c r="W54" s="150">
        <v>0.0</v>
      </c>
      <c r="X54" s="19">
        <f>W54/H19*100000</f>
        <v>0</v>
      </c>
      <c r="Y54" s="19">
        <f t="shared" ref="Y54:Z54" si="61">((M54+O54+Q54+S54)/4)</f>
        <v>0</v>
      </c>
      <c r="Z54" s="19">
        <f t="shared" si="61"/>
        <v>0</v>
      </c>
      <c r="AA54" s="19">
        <f t="shared" si="3"/>
        <v>0</v>
      </c>
      <c r="AB54" s="19">
        <f t="shared" si="4"/>
        <v>0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149">
        <v>0.0</v>
      </c>
      <c r="N55" s="19">
        <f>M55/C19*100000</f>
        <v>0</v>
      </c>
      <c r="O55" s="149">
        <v>1.0</v>
      </c>
      <c r="P55" s="19">
        <f>O55/D19*100000</f>
        <v>5.310956503</v>
      </c>
      <c r="Q55" s="149">
        <v>1.0</v>
      </c>
      <c r="R55" s="19">
        <f>Q55/E19*100000</f>
        <v>5.119279205</v>
      </c>
      <c r="S55" s="148">
        <v>0.0</v>
      </c>
      <c r="T55" s="19">
        <f>S55/F19*100000</f>
        <v>0</v>
      </c>
      <c r="U55" s="148">
        <v>0.0</v>
      </c>
      <c r="V55" s="19">
        <f>U55/G19*100000</f>
        <v>0</v>
      </c>
      <c r="W55" s="148">
        <v>0.0</v>
      </c>
      <c r="X55" s="19">
        <f>W55/H19*100000</f>
        <v>0</v>
      </c>
      <c r="Y55" s="19">
        <f t="shared" ref="Y55:Z55" si="62">((M55+O55+Q55+S55)/4)</f>
        <v>0.5</v>
      </c>
      <c r="Z55" s="19">
        <f t="shared" si="62"/>
        <v>2.607558927</v>
      </c>
      <c r="AA55" s="19">
        <f t="shared" si="3"/>
        <v>0</v>
      </c>
      <c r="AB55" s="19">
        <f t="shared" si="4"/>
        <v>0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51">
        <v>0.0</v>
      </c>
      <c r="N56" s="19">
        <f>M56/C7*100000</f>
        <v>0</v>
      </c>
      <c r="O56" s="151">
        <v>0.0</v>
      </c>
      <c r="P56" s="19">
        <f>O56/D7*100000</f>
        <v>0</v>
      </c>
      <c r="Q56" s="151">
        <v>0.0</v>
      </c>
      <c r="R56" s="19">
        <f>Q56/E7*100000</f>
        <v>0</v>
      </c>
      <c r="S56" s="150">
        <v>0.0</v>
      </c>
      <c r="T56" s="19">
        <f>S56/F7*100000</f>
        <v>0</v>
      </c>
      <c r="U56" s="150">
        <v>0.0</v>
      </c>
      <c r="V56" s="19">
        <f>U56/G7*100000</f>
        <v>0</v>
      </c>
      <c r="W56" s="150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49">
        <v>0.0</v>
      </c>
      <c r="N57" s="19">
        <f>M57/M4*100000</f>
        <v>0</v>
      </c>
      <c r="O57" s="149">
        <v>0.0</v>
      </c>
      <c r="P57" s="19">
        <f>O57/O4*100000</f>
        <v>0</v>
      </c>
      <c r="Q57" s="149">
        <v>0.0</v>
      </c>
      <c r="R57" s="19">
        <f>Q57/Q4*100000</f>
        <v>0</v>
      </c>
      <c r="S57" s="148">
        <v>0.0</v>
      </c>
      <c r="T57" s="19">
        <f>S57/S4*100000</f>
        <v>0</v>
      </c>
      <c r="U57" s="148">
        <v>0.0</v>
      </c>
      <c r="V57" s="19">
        <f>U57/U4*100000</f>
        <v>0</v>
      </c>
      <c r="W57" s="148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174">
        <v>18.0</v>
      </c>
      <c r="N58" s="57">
        <f>M58/C7*100000</f>
        <v>64.29260278</v>
      </c>
      <c r="O58" s="174">
        <v>27.0</v>
      </c>
      <c r="P58" s="57">
        <f>O58/D7*100000</f>
        <v>93.52916724</v>
      </c>
      <c r="Q58" s="174">
        <v>33.0</v>
      </c>
      <c r="R58" s="57">
        <f>Q58/E7*100000</f>
        <v>110.7865848</v>
      </c>
      <c r="S58" s="162">
        <v>22.0</v>
      </c>
      <c r="T58" s="57">
        <f>S58/F7*100000</f>
        <v>71.47498376</v>
      </c>
      <c r="U58" s="162">
        <v>28.0</v>
      </c>
      <c r="V58" s="57">
        <f>U58/G7*100000</f>
        <v>88.11959087</v>
      </c>
      <c r="W58" s="162">
        <v>1.0</v>
      </c>
      <c r="X58" s="57">
        <f>W58/H7*100000</f>
        <v>3.055767762</v>
      </c>
      <c r="Y58" s="19">
        <f t="shared" ref="Y58:Z58" si="65">((M58+O58+Q58+S58)/4)</f>
        <v>25</v>
      </c>
      <c r="Z58" s="19">
        <f t="shared" si="65"/>
        <v>85.02083463</v>
      </c>
      <c r="AA58" s="19">
        <f t="shared" si="3"/>
        <v>25</v>
      </c>
      <c r="AB58" s="19">
        <f t="shared" si="4"/>
        <v>45.58767932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175">
        <v>0.0</v>
      </c>
      <c r="N59" s="57">
        <f>M59/C7*100000</f>
        <v>0</v>
      </c>
      <c r="O59" s="175">
        <v>0.0</v>
      </c>
      <c r="P59" s="57">
        <f>O59/D7*100000</f>
        <v>0</v>
      </c>
      <c r="Q59" s="175">
        <v>0.0</v>
      </c>
      <c r="R59" s="57">
        <f>Q59/E7*100000</f>
        <v>0</v>
      </c>
      <c r="S59" s="177">
        <v>1.0</v>
      </c>
      <c r="T59" s="98">
        <f>S59/F7*100000</f>
        <v>3.248862898</v>
      </c>
      <c r="U59" s="177">
        <v>1.0</v>
      </c>
      <c r="V59" s="98">
        <f>U59/G7*100000</f>
        <v>3.147128245</v>
      </c>
      <c r="W59" s="177">
        <v>0.0</v>
      </c>
      <c r="X59" s="98">
        <f>W59/H7*100000</f>
        <v>0</v>
      </c>
      <c r="Y59" s="99">
        <f t="shared" ref="Y59:Z59" si="66">((M59+O59+Q59+S59)/4)</f>
        <v>0.25</v>
      </c>
      <c r="Z59" s="99">
        <f t="shared" si="66"/>
        <v>0.8122157245</v>
      </c>
      <c r="AA59" s="19">
        <f t="shared" si="3"/>
        <v>1</v>
      </c>
      <c r="AB59" s="19">
        <f t="shared" si="4"/>
        <v>1.573564123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174">
        <v>1.0</v>
      </c>
      <c r="N60" s="57">
        <f>M60/C17*100000</f>
        <v>12.49219238</v>
      </c>
      <c r="O60" s="174">
        <v>1.0</v>
      </c>
      <c r="P60" s="57">
        <f>O60/D17*100000</f>
        <v>12.33958539</v>
      </c>
      <c r="Q60" s="174">
        <v>0.0</v>
      </c>
      <c r="R60" s="57">
        <f>Q60/E17*100000</f>
        <v>0</v>
      </c>
      <c r="S60" s="162">
        <v>2.0</v>
      </c>
      <c r="T60" s="57">
        <f>S60/F17*100000</f>
        <v>23.90628735</v>
      </c>
      <c r="U60" s="162">
        <v>0.0</v>
      </c>
      <c r="V60" s="57">
        <f>U60/G17*100000</f>
        <v>0</v>
      </c>
      <c r="W60" s="178"/>
      <c r="X60" s="57">
        <f>W60/H17*100000</f>
        <v>0</v>
      </c>
      <c r="Y60" s="99">
        <f>((M60+O60+Q60+S60)/4)</f>
        <v>1</v>
      </c>
      <c r="Z60" s="99">
        <f>((N60+P60+R60+T60)/1)</f>
        <v>48.73806512</v>
      </c>
      <c r="AA60" s="19">
        <f t="shared" si="3"/>
        <v>1</v>
      </c>
      <c r="AB60" s="19">
        <f t="shared" si="4"/>
        <v>0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175">
        <v>154.0</v>
      </c>
      <c r="N61" s="57">
        <f>M61/C15*1000</f>
        <v>73.5434575</v>
      </c>
      <c r="O61" s="175">
        <v>210.0</v>
      </c>
      <c r="P61" s="57">
        <f>O61/D15*1000</f>
        <v>98.8700565</v>
      </c>
      <c r="Q61" s="175">
        <v>380.0</v>
      </c>
      <c r="R61" s="57">
        <f>Q61/E15*1000</f>
        <v>176.6620177</v>
      </c>
      <c r="S61" s="163">
        <v>351.0</v>
      </c>
      <c r="T61" s="57">
        <f>S61/F15*1000</f>
        <v>161.1570248</v>
      </c>
      <c r="U61" s="163">
        <v>421.0</v>
      </c>
      <c r="V61" s="57">
        <f>U61/G15*1000</f>
        <v>192.3252627</v>
      </c>
      <c r="W61" s="163">
        <v>189.0</v>
      </c>
      <c r="X61" s="57">
        <f>W61/H23*1000</f>
        <v>86.1047836</v>
      </c>
      <c r="Y61" s="99">
        <f t="shared" ref="Y61:Z61" si="67">((M61+O61+Q61+S61)/1)</f>
        <v>1095</v>
      </c>
      <c r="Z61" s="99">
        <f t="shared" si="67"/>
        <v>510.2325565</v>
      </c>
      <c r="AA61" s="19">
        <f t="shared" si="3"/>
        <v>386</v>
      </c>
      <c r="AB61" s="19">
        <f t="shared" si="4"/>
        <v>139.2150231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174">
        <v>383.0</v>
      </c>
      <c r="N62" s="57">
        <f>M62/C15*1000</f>
        <v>182.9035339</v>
      </c>
      <c r="O62" s="174">
        <v>483.0</v>
      </c>
      <c r="P62" s="57">
        <f>O62/D15*1000</f>
        <v>227.4011299</v>
      </c>
      <c r="Q62" s="174">
        <v>1933.0</v>
      </c>
      <c r="R62" s="57">
        <f>Q62/E15*1000</f>
        <v>898.6517899</v>
      </c>
      <c r="S62" s="162">
        <v>1300.0</v>
      </c>
      <c r="T62" s="57">
        <f>S62/F15*1000</f>
        <v>596.8778696</v>
      </c>
      <c r="U62" s="162">
        <v>966.0</v>
      </c>
      <c r="V62" s="57">
        <f>U62/G15*1000</f>
        <v>441.2973961</v>
      </c>
      <c r="W62" s="162">
        <v>676.0</v>
      </c>
      <c r="X62" s="57">
        <f>W62/H15*1000</f>
        <v>307.9726651</v>
      </c>
      <c r="Y62" s="99">
        <f t="shared" ref="Y62:Z62" si="68">((M62+O62+Q62+S62)/1)</f>
        <v>4099</v>
      </c>
      <c r="Z62" s="99">
        <f t="shared" si="68"/>
        <v>1905.834323</v>
      </c>
      <c r="AA62" s="19">
        <f t="shared" si="3"/>
        <v>1133</v>
      </c>
      <c r="AB62" s="19">
        <f t="shared" si="4"/>
        <v>374.6350306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175">
        <v>9.0</v>
      </c>
      <c r="N63" s="57">
        <f>M63/C17*100000</f>
        <v>112.4297314</v>
      </c>
      <c r="O63" s="175">
        <v>12.0</v>
      </c>
      <c r="P63" s="57">
        <f>O63/D17*100000</f>
        <v>148.0750247</v>
      </c>
      <c r="Q63" s="175">
        <v>25.0</v>
      </c>
      <c r="R63" s="57">
        <f>Q63/E17*100000</f>
        <v>304.1732571</v>
      </c>
      <c r="S63" s="163">
        <v>26.0</v>
      </c>
      <c r="T63" s="57">
        <f>S63/F17*100000</f>
        <v>310.7817356</v>
      </c>
      <c r="U63" s="163">
        <v>21.0</v>
      </c>
      <c r="V63" s="57">
        <f>U63/G17*100000</f>
        <v>246.8845521</v>
      </c>
      <c r="W63" s="163">
        <v>6.0</v>
      </c>
      <c r="X63" s="57">
        <f>W63/H17*100000</f>
        <v>69.45248293</v>
      </c>
      <c r="Y63" s="99">
        <f t="shared" ref="Y63:Z63" si="69">((M63+O63+Q63+S63)/1)</f>
        <v>72</v>
      </c>
      <c r="Z63" s="99">
        <f t="shared" si="69"/>
        <v>875.4597488</v>
      </c>
      <c r="AA63" s="19">
        <f t="shared" si="3"/>
        <v>23.5</v>
      </c>
      <c r="AB63" s="19">
        <f t="shared" si="4"/>
        <v>158.1685175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179"/>
      <c r="N64" s="57">
        <f>M64/C17*100000</f>
        <v>0</v>
      </c>
      <c r="O64" s="180"/>
      <c r="P64" s="57">
        <f>O64/D17*100000</f>
        <v>0</v>
      </c>
      <c r="Q64" s="180"/>
      <c r="R64" s="57">
        <f>Q64/E17*100000</f>
        <v>0</v>
      </c>
      <c r="S64" s="178"/>
      <c r="T64" s="57">
        <f>S64/F17*100000</f>
        <v>0</v>
      </c>
      <c r="U64" s="181"/>
      <c r="V64" s="57">
        <f>U64/G17*100000</f>
        <v>0</v>
      </c>
      <c r="W64" s="178"/>
      <c r="X64" s="57">
        <f>W64/H17*100000</f>
        <v>0</v>
      </c>
      <c r="Y64" s="99">
        <f t="shared" ref="Y64:Z64" si="70">((M64+O64+Q64+S64)/1)</f>
        <v>0</v>
      </c>
      <c r="Z64" s="99">
        <f t="shared" si="70"/>
        <v>0</v>
      </c>
      <c r="AA64" s="19">
        <f t="shared" si="3"/>
        <v>0</v>
      </c>
      <c r="AB64" s="19">
        <f t="shared" si="4"/>
        <v>0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175">
        <v>10.0</v>
      </c>
      <c r="N65" s="57">
        <f>M65/C17*100000</f>
        <v>124.9219238</v>
      </c>
      <c r="O65" s="175">
        <v>8.0</v>
      </c>
      <c r="P65" s="57">
        <f>O65/D17*100000</f>
        <v>98.71668312</v>
      </c>
      <c r="Q65" s="175">
        <v>21.0</v>
      </c>
      <c r="R65" s="57">
        <f>Q65/E17*100000</f>
        <v>255.505536</v>
      </c>
      <c r="S65" s="175">
        <v>24.0</v>
      </c>
      <c r="T65" s="57">
        <f>S65/F17*100000</f>
        <v>286.8754482</v>
      </c>
      <c r="U65" s="175">
        <v>22.0</v>
      </c>
      <c r="V65" s="57">
        <f>U65/G17*100000</f>
        <v>258.6409593</v>
      </c>
      <c r="W65" s="163">
        <v>9.0</v>
      </c>
      <c r="X65" s="57">
        <f>W65/H17*100000</f>
        <v>104.1787244</v>
      </c>
      <c r="Y65" s="99">
        <f t="shared" ref="Y65:Z65" si="71">((M65+O65+Q65+S65)/1)</f>
        <v>63</v>
      </c>
      <c r="Z65" s="99">
        <f t="shared" si="71"/>
        <v>766.0195911</v>
      </c>
      <c r="AA65" s="19">
        <f t="shared" si="3"/>
        <v>23</v>
      </c>
      <c r="AB65" s="19">
        <f t="shared" si="4"/>
        <v>181.4098419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174">
        <v>4.0</v>
      </c>
      <c r="N66" s="57">
        <f>M66/C17*100000</f>
        <v>49.96876952</v>
      </c>
      <c r="O66" s="174">
        <v>7.0</v>
      </c>
      <c r="P66" s="57">
        <f>O66/D17*100000</f>
        <v>86.37709773</v>
      </c>
      <c r="Q66" s="174">
        <v>20.0</v>
      </c>
      <c r="R66" s="57">
        <f>Q66/E17*100000</f>
        <v>243.3386057</v>
      </c>
      <c r="S66" s="174">
        <v>31.0</v>
      </c>
      <c r="T66" s="57">
        <f>S66/F17*100000</f>
        <v>370.547454</v>
      </c>
      <c r="U66" s="174">
        <v>40.0</v>
      </c>
      <c r="V66" s="57">
        <f>U66/G17*100000</f>
        <v>470.2562897</v>
      </c>
      <c r="W66" s="162">
        <v>29.0</v>
      </c>
      <c r="X66" s="57">
        <f>W66/H17*100000</f>
        <v>335.6870008</v>
      </c>
      <c r="Y66" s="99">
        <f t="shared" ref="Y66:Z66" si="72">((M66+O66+Q66+S66)/1)</f>
        <v>62</v>
      </c>
      <c r="Z66" s="99">
        <f t="shared" si="72"/>
        <v>750.2319269</v>
      </c>
      <c r="AA66" s="19">
        <f t="shared" si="3"/>
        <v>35.5</v>
      </c>
      <c r="AB66" s="19">
        <f t="shared" si="4"/>
        <v>402.9716452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175">
        <v>6.0</v>
      </c>
      <c r="N67" s="57">
        <f>M67/C17*100000</f>
        <v>74.95315428</v>
      </c>
      <c r="O67" s="175">
        <v>6.0</v>
      </c>
      <c r="P67" s="57">
        <f>O67/D17*100000</f>
        <v>74.03751234</v>
      </c>
      <c r="Q67" s="175">
        <v>3.0</v>
      </c>
      <c r="R67" s="57">
        <f>Q67/E17*100000</f>
        <v>36.50079085</v>
      </c>
      <c r="S67" s="175">
        <v>1.0</v>
      </c>
      <c r="T67" s="57">
        <f>S67/F17*100000</f>
        <v>11.95314368</v>
      </c>
      <c r="U67" s="175">
        <v>3.0</v>
      </c>
      <c r="V67" s="57">
        <f>U67/G17*100000</f>
        <v>35.26922173</v>
      </c>
      <c r="W67" s="163">
        <v>3.0</v>
      </c>
      <c r="X67" s="57">
        <f>W67/H17*100000</f>
        <v>34.72624146</v>
      </c>
      <c r="Y67" s="99">
        <f t="shared" ref="Y67:Z67" si="73">((M67+O67+Q67+S67)/1)</f>
        <v>16</v>
      </c>
      <c r="Z67" s="99">
        <f t="shared" si="73"/>
        <v>197.4446011</v>
      </c>
      <c r="AA67" s="19">
        <f t="shared" si="3"/>
        <v>2</v>
      </c>
      <c r="AB67" s="19">
        <f t="shared" si="4"/>
        <v>34.99773159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174">
        <v>1.0</v>
      </c>
      <c r="N68" s="57">
        <f>M68/C11*100000</f>
        <v>7.004272606</v>
      </c>
      <c r="O68" s="174">
        <v>4.0</v>
      </c>
      <c r="P68" s="57">
        <f>O68/D11*100000</f>
        <v>27183.14645</v>
      </c>
      <c r="Q68" s="174">
        <v>3.0</v>
      </c>
      <c r="R68" s="57">
        <f>Q68/E11*100000</f>
        <v>19.77066034</v>
      </c>
      <c r="S68" s="174">
        <v>7.0</v>
      </c>
      <c r="T68" s="57">
        <f>S68/F11*100000</f>
        <v>44.65709729</v>
      </c>
      <c r="U68" s="174">
        <v>1.0</v>
      </c>
      <c r="V68" s="57">
        <f>U68/G11*100000</f>
        <v>6.181615874</v>
      </c>
      <c r="W68" s="162">
        <v>4.0</v>
      </c>
      <c r="X68" s="57">
        <f>W68/H11*100000</f>
        <v>24.01104508</v>
      </c>
      <c r="Y68" s="99">
        <f t="shared" ref="Y68:Z68" si="74">((M68+O68+Q68+S68)/2)</f>
        <v>7.5</v>
      </c>
      <c r="Z68" s="99">
        <f t="shared" si="74"/>
        <v>13627.28924</v>
      </c>
      <c r="AA68" s="19">
        <f t="shared" si="3"/>
        <v>4</v>
      </c>
      <c r="AB68" s="19">
        <f t="shared" si="4"/>
        <v>15.09633048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175">
        <v>0.0</v>
      </c>
      <c r="N69" s="57">
        <f>M69/C11*100000</f>
        <v>0</v>
      </c>
      <c r="O69" s="175">
        <v>1.0</v>
      </c>
      <c r="P69" s="57">
        <f>O69/D11*100000</f>
        <v>6795.786612</v>
      </c>
      <c r="Q69" s="175">
        <v>7.0</v>
      </c>
      <c r="R69" s="57">
        <f>Q69/E11*100000</f>
        <v>46.13154079</v>
      </c>
      <c r="S69" s="175">
        <v>4.0</v>
      </c>
      <c r="T69" s="57">
        <f>S69/F11*100000</f>
        <v>25.51834131</v>
      </c>
      <c r="U69" s="175">
        <v>7.0</v>
      </c>
      <c r="V69" s="57">
        <f>U69/G11*100000</f>
        <v>43.27131112</v>
      </c>
      <c r="W69" s="163">
        <v>4.0</v>
      </c>
      <c r="X69" s="57">
        <f>W69/H11*100000</f>
        <v>24.01104508</v>
      </c>
      <c r="Y69" s="19">
        <f t="shared" ref="Y69:Z69" si="75">((M69+O69+Q69+S69)/2)</f>
        <v>6</v>
      </c>
      <c r="Z69" s="19">
        <f t="shared" si="75"/>
        <v>3433.718247</v>
      </c>
      <c r="AA69" s="19">
        <f t="shared" si="3"/>
        <v>5.5</v>
      </c>
      <c r="AB69" s="19">
        <f t="shared" si="4"/>
        <v>33.6411781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82">
        <v>3.0</v>
      </c>
      <c r="N70" s="98">
        <f>M70/C7*100000</f>
        <v>10.7154338</v>
      </c>
      <c r="O70" s="182">
        <v>4.0</v>
      </c>
      <c r="P70" s="98">
        <f>O70/D7*100000</f>
        <v>13.85617293</v>
      </c>
      <c r="Q70" s="182">
        <v>2.0</v>
      </c>
      <c r="R70" s="98">
        <f>Q70/E7*100000</f>
        <v>6.71433847</v>
      </c>
      <c r="S70" s="182">
        <v>3.0</v>
      </c>
      <c r="T70" s="98">
        <f>S70/F7*100000</f>
        <v>9.746588694</v>
      </c>
      <c r="U70" s="182">
        <v>3.0</v>
      </c>
      <c r="V70" s="98">
        <f>U70/G7*100000</f>
        <v>9.441384736</v>
      </c>
      <c r="W70" s="183"/>
      <c r="X70" s="98">
        <f>W70/H7*100000</f>
        <v>0</v>
      </c>
      <c r="Y70" s="99">
        <f t="shared" ref="Y70:Z70" si="76">((M70+O70+Q70+S70)/1)</f>
        <v>12</v>
      </c>
      <c r="Z70" s="99">
        <f t="shared" si="76"/>
        <v>41.03253389</v>
      </c>
      <c r="AA70" s="99">
        <f t="shared" si="3"/>
        <v>3</v>
      </c>
      <c r="AB70" s="99">
        <f t="shared" si="4"/>
        <v>4.720692368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57.75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30" t="s">
        <v>149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18">
        <v>41.0</v>
      </c>
      <c r="N3" s="19">
        <f>M3/C7*1000</f>
        <v>1.750117386</v>
      </c>
      <c r="O3" s="184">
        <v>125.0</v>
      </c>
      <c r="P3" s="19">
        <f>O3/D7*1000</f>
        <v>5.186937217</v>
      </c>
      <c r="Q3" s="184">
        <v>98.0</v>
      </c>
      <c r="R3" s="19">
        <f>Q3/E7*1000</f>
        <v>3.943027279</v>
      </c>
      <c r="S3" s="118">
        <v>50.0</v>
      </c>
      <c r="T3" s="19">
        <f>S3/F7*1000</f>
        <v>1.946131091</v>
      </c>
      <c r="U3" s="118">
        <v>110.0</v>
      </c>
      <c r="V3" s="19">
        <f>U3/G7*1000</f>
        <v>4.150160347</v>
      </c>
      <c r="W3" s="17"/>
      <c r="X3" s="19">
        <f>W3/H7*1000</f>
        <v>0</v>
      </c>
      <c r="Y3" s="19">
        <f t="shared" ref="Y3:Z3" si="1">((M3+O3+Q3+S3)/4)</f>
        <v>78.5</v>
      </c>
      <c r="Z3" s="19">
        <f t="shared" si="1"/>
        <v>3.206553243</v>
      </c>
      <c r="AA3" s="19">
        <f t="shared" ref="AA3:AA70" si="3">((S3+U3)/2)</f>
        <v>80</v>
      </c>
      <c r="AB3" s="19">
        <f t="shared" ref="AB3:AB70" si="4">(V3+X3)/2</f>
        <v>2.075080174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18">
        <v>32.0</v>
      </c>
      <c r="N4" s="19">
        <f>M4/C7*1000</f>
        <v>1.365945277</v>
      </c>
      <c r="O4" s="184">
        <v>246.0</v>
      </c>
      <c r="P4" s="19">
        <f>O4/D7*1000</f>
        <v>10.20789244</v>
      </c>
      <c r="Q4" s="184">
        <v>286.0</v>
      </c>
      <c r="R4" s="19">
        <f>Q4/E7*1000</f>
        <v>11.50720206</v>
      </c>
      <c r="S4" s="118">
        <v>12.0</v>
      </c>
      <c r="T4" s="19">
        <f>S4/F7*1000</f>
        <v>0.4670714619</v>
      </c>
      <c r="U4" s="118">
        <v>241.0</v>
      </c>
      <c r="V4" s="19">
        <f>U4/G7*1000</f>
        <v>9.092624033</v>
      </c>
      <c r="W4" s="17"/>
      <c r="X4" s="19">
        <f>W4/H7*1000</f>
        <v>0</v>
      </c>
      <c r="Y4" s="19">
        <f t="shared" ref="Y4:Z4" si="2">((M4+O4+Q4+S4)/4)</f>
        <v>144</v>
      </c>
      <c r="Z4" s="19">
        <f t="shared" si="2"/>
        <v>5.887027811</v>
      </c>
      <c r="AA4" s="19">
        <f t="shared" si="3"/>
        <v>126.5</v>
      </c>
      <c r="AB4" s="19">
        <f t="shared" si="4"/>
        <v>4.546312017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8">
        <v>0.0</v>
      </c>
      <c r="N5" s="19">
        <f>M5/C12*100000</f>
        <v>0</v>
      </c>
      <c r="O5" s="184">
        <v>0.0</v>
      </c>
      <c r="P5" s="19">
        <f>O5/D12*100000</f>
        <v>0</v>
      </c>
      <c r="Q5" s="185" t="s">
        <v>150</v>
      </c>
      <c r="R5" s="19">
        <f>Q5/E12*100000</f>
        <v>0</v>
      </c>
      <c r="S5" s="184">
        <v>0.0</v>
      </c>
      <c r="T5" s="19">
        <f>S5/F12*100000</f>
        <v>0</v>
      </c>
      <c r="U5" s="118">
        <v>0.0</v>
      </c>
      <c r="V5" s="19">
        <f>U5/G12*100000</f>
        <v>0</v>
      </c>
      <c r="W5" s="118">
        <v>0.0</v>
      </c>
      <c r="X5" s="19" t="str">
        <f>W5/H12*100000</f>
        <v>#DIV/0!</v>
      </c>
      <c r="Y5" s="19">
        <f t="shared" ref="Y5:Z5" si="5">((M5+O5+Q5+S5)/4)</f>
        <v>0</v>
      </c>
      <c r="Z5" s="19">
        <f t="shared" si="5"/>
        <v>0</v>
      </c>
      <c r="AA5" s="19">
        <f t="shared" si="3"/>
        <v>0</v>
      </c>
      <c r="AB5" s="19" t="str">
        <f t="shared" si="4"/>
        <v>#DIV/0!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8">
        <v>10.0</v>
      </c>
      <c r="N6" s="19">
        <f>M6/M4*1000</f>
        <v>312.5</v>
      </c>
      <c r="O6" s="184">
        <v>17.0</v>
      </c>
      <c r="P6" s="19">
        <f>O6/O4*1000</f>
        <v>69.10569106</v>
      </c>
      <c r="Q6" s="184">
        <v>9.0</v>
      </c>
      <c r="R6" s="19">
        <f>Q6/Q4*1000</f>
        <v>31.46853147</v>
      </c>
      <c r="S6" s="184">
        <v>6.0</v>
      </c>
      <c r="T6" s="19">
        <f>S6/S4*1000</f>
        <v>500</v>
      </c>
      <c r="U6" s="118">
        <v>0.0</v>
      </c>
      <c r="V6" s="19">
        <f>U6/U4*1000</f>
        <v>0</v>
      </c>
      <c r="W6" s="118">
        <v>0.0</v>
      </c>
      <c r="X6" s="19" t="str">
        <f>W6/W4*1000</f>
        <v>#DIV/0!</v>
      </c>
      <c r="Y6" s="19">
        <f t="shared" ref="Y6:Z6" si="6">((M6+O6+Q6+S6)/4)</f>
        <v>10.5</v>
      </c>
      <c r="Z6" s="19">
        <f t="shared" si="6"/>
        <v>228.2685556</v>
      </c>
      <c r="AA6" s="19">
        <f t="shared" si="3"/>
        <v>3</v>
      </c>
      <c r="AB6" s="19" t="str">
        <f t="shared" si="4"/>
        <v>#DIV/0!</v>
      </c>
      <c r="AC6" s="22" t="s">
        <v>28</v>
      </c>
    </row>
    <row r="7" ht="14.25" customHeight="1">
      <c r="A7" s="1"/>
      <c r="B7" s="32" t="s">
        <v>41</v>
      </c>
      <c r="C7" s="186">
        <v>23427.0</v>
      </c>
      <c r="D7" s="187">
        <v>24099.0</v>
      </c>
      <c r="E7" s="152">
        <v>24854.0</v>
      </c>
      <c r="F7" s="131">
        <v>25692.0</v>
      </c>
      <c r="G7" s="131">
        <v>26505.0</v>
      </c>
      <c r="H7" s="134">
        <v>27305.0</v>
      </c>
      <c r="I7" s="1"/>
      <c r="J7" s="1"/>
      <c r="K7" s="1"/>
      <c r="L7" s="15" t="s">
        <v>42</v>
      </c>
      <c r="M7" s="118">
        <v>1.0</v>
      </c>
      <c r="N7" s="36"/>
      <c r="O7" s="184">
        <v>3.0</v>
      </c>
      <c r="P7" s="36"/>
      <c r="Q7" s="184">
        <v>4.0</v>
      </c>
      <c r="R7" s="36"/>
      <c r="S7" s="184">
        <v>1.0</v>
      </c>
      <c r="T7" s="36"/>
      <c r="U7" s="118">
        <v>1.0</v>
      </c>
      <c r="V7" s="36"/>
      <c r="W7" s="118">
        <v>0.0</v>
      </c>
      <c r="X7" s="36"/>
      <c r="Y7" s="19">
        <f t="shared" ref="Y7:Z7" si="7">((M7+O7+Q7+S7)/4)</f>
        <v>2.25</v>
      </c>
      <c r="Z7" s="19">
        <f t="shared" si="7"/>
        <v>0</v>
      </c>
      <c r="AA7" s="19">
        <f t="shared" si="3"/>
        <v>1</v>
      </c>
      <c r="AB7" s="19">
        <f t="shared" si="4"/>
        <v>0</v>
      </c>
      <c r="AC7" s="22" t="s">
        <v>43</v>
      </c>
    </row>
    <row r="8" ht="24.0" customHeight="1">
      <c r="A8" s="1"/>
      <c r="B8" s="32" t="s">
        <v>44</v>
      </c>
      <c r="C8" s="186">
        <v>7130.0</v>
      </c>
      <c r="D8" s="131">
        <v>7917.0</v>
      </c>
      <c r="E8" s="131">
        <v>8642.0</v>
      </c>
      <c r="F8" s="131">
        <v>9364.0</v>
      </c>
      <c r="G8" s="131">
        <v>9922.0</v>
      </c>
      <c r="H8" s="134">
        <v>10404.0</v>
      </c>
      <c r="I8" s="1"/>
      <c r="J8" s="1"/>
      <c r="K8" s="1"/>
      <c r="L8" s="15" t="s">
        <v>45</v>
      </c>
      <c r="M8" s="118">
        <v>0.0</v>
      </c>
      <c r="N8" s="19">
        <f>M8/C15*1000</f>
        <v>0</v>
      </c>
      <c r="O8" s="184">
        <v>0.0</v>
      </c>
      <c r="P8" s="19">
        <f>O8/D15*1000</f>
        <v>0</v>
      </c>
      <c r="Q8" s="184">
        <v>0.0</v>
      </c>
      <c r="R8" s="19">
        <f>Q8/E15*1000</f>
        <v>0</v>
      </c>
      <c r="S8" s="184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31">
        <v>16297.0</v>
      </c>
      <c r="D9" s="131">
        <v>16182.0</v>
      </c>
      <c r="E9" s="131">
        <v>16212.0</v>
      </c>
      <c r="F9" s="131">
        <v>16328.0</v>
      </c>
      <c r="G9" s="131">
        <v>16583.0</v>
      </c>
      <c r="H9" s="134">
        <v>16901.0</v>
      </c>
      <c r="I9" s="1"/>
      <c r="J9" s="1"/>
      <c r="K9" s="1"/>
      <c r="L9" s="15" t="s">
        <v>48</v>
      </c>
      <c r="M9" s="118">
        <v>3.0</v>
      </c>
      <c r="N9" s="19">
        <f>M9/C7*100000</f>
        <v>12.80573697</v>
      </c>
      <c r="O9" s="184">
        <v>3.0</v>
      </c>
      <c r="P9" s="19">
        <f>O9/D7*100000</f>
        <v>12.44864932</v>
      </c>
      <c r="Q9" s="184">
        <v>2.0</v>
      </c>
      <c r="R9" s="19">
        <f>Q9/E7*100000</f>
        <v>8.046994448</v>
      </c>
      <c r="S9" s="184">
        <v>0.0</v>
      </c>
      <c r="T9" s="19">
        <f>S9/F7*100000</f>
        <v>0</v>
      </c>
      <c r="U9" s="118">
        <v>7.0</v>
      </c>
      <c r="V9" s="19">
        <f>U9/G7*100000</f>
        <v>26.4101113</v>
      </c>
      <c r="W9" s="17"/>
      <c r="X9" s="19">
        <f>W9/H7*100000</f>
        <v>0</v>
      </c>
      <c r="Y9" s="19">
        <f t="shared" ref="Y9:Z9" si="9">((M9+O9+Q9+S9)/4)</f>
        <v>2</v>
      </c>
      <c r="Z9" s="19">
        <f t="shared" si="9"/>
        <v>8.325345185</v>
      </c>
      <c r="AA9" s="19">
        <f t="shared" si="3"/>
        <v>3.5</v>
      </c>
      <c r="AB9" s="19">
        <f t="shared" si="4"/>
        <v>13.20505565</v>
      </c>
      <c r="AC9" s="22" t="s">
        <v>28</v>
      </c>
    </row>
    <row r="10" ht="14.25" customHeight="1">
      <c r="A10" s="1"/>
      <c r="B10" s="32" t="s">
        <v>50</v>
      </c>
      <c r="C10" s="131">
        <v>11415.0</v>
      </c>
      <c r="D10" s="131">
        <v>11738.0</v>
      </c>
      <c r="E10" s="131">
        <v>12088.0</v>
      </c>
      <c r="F10" s="136">
        <v>12492.0</v>
      </c>
      <c r="G10" s="131">
        <v>12873.0</v>
      </c>
      <c r="H10" s="134">
        <v>13260.0</v>
      </c>
      <c r="I10" s="1"/>
      <c r="J10" s="1"/>
      <c r="K10" s="1"/>
      <c r="L10" s="15" t="s">
        <v>51</v>
      </c>
      <c r="M10" s="118">
        <v>0.0</v>
      </c>
      <c r="N10" s="19">
        <f>M10/C15*100000</f>
        <v>0</v>
      </c>
      <c r="O10" s="184">
        <v>0.0</v>
      </c>
      <c r="P10" s="19">
        <f t="shared" ref="P10:P11" si="11">O10/D15*100000</f>
        <v>0</v>
      </c>
      <c r="Q10" s="184">
        <v>0.0</v>
      </c>
      <c r="R10" s="19">
        <f>Q10/E15*100000</f>
        <v>0</v>
      </c>
      <c r="S10" s="184">
        <v>0.0</v>
      </c>
      <c r="T10" s="19">
        <f>S10/F15*100000</f>
        <v>0</v>
      </c>
      <c r="U10" s="118">
        <v>0.0</v>
      </c>
      <c r="V10" s="19">
        <f>U10/G15*100000</f>
        <v>0</v>
      </c>
      <c r="W10" s="118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131">
        <v>12012.0</v>
      </c>
      <c r="D11" s="131">
        <v>12361.0</v>
      </c>
      <c r="E11" s="131">
        <v>12766.0</v>
      </c>
      <c r="F11" s="136">
        <v>13200.0</v>
      </c>
      <c r="G11" s="131">
        <v>13632.0</v>
      </c>
      <c r="H11" s="134">
        <v>14045.0</v>
      </c>
      <c r="I11" s="1"/>
      <c r="J11" s="1"/>
      <c r="K11" s="1"/>
      <c r="L11" s="15" t="s">
        <v>53</v>
      </c>
      <c r="M11" s="118">
        <v>0.0</v>
      </c>
      <c r="N11" s="19">
        <f>M11/C15*100000</f>
        <v>0</v>
      </c>
      <c r="O11" s="184">
        <v>0.0</v>
      </c>
      <c r="P11" s="19">
        <f t="shared" si="11"/>
        <v>0</v>
      </c>
      <c r="Q11" s="184">
        <v>0.0</v>
      </c>
      <c r="R11" s="19">
        <f>Q11/F16*100000</f>
        <v>0</v>
      </c>
      <c r="S11" s="184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33">
        <v>32.0</v>
      </c>
      <c r="D12" s="131">
        <v>246.0</v>
      </c>
      <c r="E12" s="133">
        <v>286.0</v>
      </c>
      <c r="F12" s="133">
        <v>12.0</v>
      </c>
      <c r="G12" s="131">
        <v>241.0</v>
      </c>
      <c r="H12" s="35"/>
      <c r="I12" s="1"/>
      <c r="J12" s="1"/>
      <c r="K12" s="1"/>
      <c r="L12" s="15" t="s">
        <v>55</v>
      </c>
      <c r="M12" s="118">
        <v>75.0</v>
      </c>
      <c r="N12" s="19">
        <f>M12/C7*100000</f>
        <v>320.1434243</v>
      </c>
      <c r="O12" s="184">
        <v>128.0</v>
      </c>
      <c r="P12" s="19">
        <f>O12/D7*100000</f>
        <v>531.1423711</v>
      </c>
      <c r="Q12" s="184">
        <v>101.0</v>
      </c>
      <c r="R12" s="19">
        <f>Q12/E7*100000</f>
        <v>406.3732196</v>
      </c>
      <c r="S12" s="184">
        <v>135.0</v>
      </c>
      <c r="T12" s="19">
        <f>S12/F7*100000</f>
        <v>525.4553947</v>
      </c>
      <c r="U12" s="17"/>
      <c r="V12" s="19">
        <f>U12/G7*100000</f>
        <v>0</v>
      </c>
      <c r="W12" s="17"/>
      <c r="X12" s="19">
        <f>W12/H7*100000</f>
        <v>0</v>
      </c>
      <c r="Y12" s="19">
        <f t="shared" ref="Y12:Z12" si="13">((M12+O12+Q12+S12)/4)</f>
        <v>109.75</v>
      </c>
      <c r="Z12" s="19">
        <f t="shared" si="13"/>
        <v>445.7786024</v>
      </c>
      <c r="AA12" s="19">
        <f t="shared" si="3"/>
        <v>67.5</v>
      </c>
      <c r="AB12" s="19">
        <f t="shared" si="4"/>
        <v>0</v>
      </c>
      <c r="AC12" s="22" t="s">
        <v>57</v>
      </c>
    </row>
    <row r="13" ht="14.25" customHeight="1">
      <c r="A13" s="1"/>
      <c r="B13" s="32" t="s">
        <v>58</v>
      </c>
      <c r="C13" s="133">
        <v>41.0</v>
      </c>
      <c r="D13" s="131">
        <v>125.0</v>
      </c>
      <c r="E13" s="133">
        <v>98.0</v>
      </c>
      <c r="F13" s="133">
        <v>50.0</v>
      </c>
      <c r="G13" s="131">
        <v>110.0</v>
      </c>
      <c r="H13" s="35"/>
      <c r="I13" s="1"/>
      <c r="J13" s="1"/>
      <c r="K13" s="1"/>
      <c r="L13" s="15" t="s">
        <v>59</v>
      </c>
      <c r="M13" s="118">
        <v>63.0</v>
      </c>
      <c r="N13" s="19">
        <f>M13/C11*100000</f>
        <v>524.4755245</v>
      </c>
      <c r="O13" s="184">
        <v>108.0</v>
      </c>
      <c r="P13" s="19">
        <f>O13/D11*100000</f>
        <v>873.7157188</v>
      </c>
      <c r="Q13" s="184">
        <v>82.0</v>
      </c>
      <c r="R13" s="19">
        <f>Q13/E11*100000</f>
        <v>642.3311922</v>
      </c>
      <c r="S13" s="184">
        <v>113.0</v>
      </c>
      <c r="T13" s="19">
        <f>S13/F11*100000</f>
        <v>856.0606061</v>
      </c>
      <c r="U13" s="17"/>
      <c r="V13" s="19">
        <f>U13/G11*100000</f>
        <v>0</v>
      </c>
      <c r="W13" s="17"/>
      <c r="X13" s="19">
        <f>W13/H11*100000</f>
        <v>0</v>
      </c>
      <c r="Y13" s="19">
        <f t="shared" ref="Y13:Z13" si="14">((M13+O13+Q13+S13)/4)</f>
        <v>91.5</v>
      </c>
      <c r="Z13" s="19">
        <f t="shared" si="14"/>
        <v>724.1457604</v>
      </c>
      <c r="AA13" s="19">
        <f t="shared" si="3"/>
        <v>56.5</v>
      </c>
      <c r="AB13" s="19">
        <f t="shared" si="4"/>
        <v>0</v>
      </c>
      <c r="AC13" s="22" t="s">
        <v>57</v>
      </c>
    </row>
    <row r="14" ht="14.25" customHeight="1">
      <c r="A14" s="1"/>
      <c r="B14" s="32" t="s">
        <v>60</v>
      </c>
      <c r="C14" s="133">
        <v>545.0</v>
      </c>
      <c r="D14" s="133">
        <v>720.0</v>
      </c>
      <c r="E14" s="133">
        <v>709.0</v>
      </c>
      <c r="F14" s="133">
        <v>712.0</v>
      </c>
      <c r="G14" s="133">
        <v>719.0</v>
      </c>
      <c r="H14" s="134">
        <v>729.0</v>
      </c>
      <c r="I14" s="1"/>
      <c r="J14" s="1"/>
      <c r="K14" s="1"/>
      <c r="L14" s="15" t="s">
        <v>61</v>
      </c>
      <c r="M14" s="118">
        <v>1.0</v>
      </c>
      <c r="N14" s="19">
        <f>M14/M4*1000</f>
        <v>31.25</v>
      </c>
      <c r="O14" s="184">
        <v>1.0</v>
      </c>
      <c r="P14" s="19">
        <f>O14/O4*1000</f>
        <v>4.06504065</v>
      </c>
      <c r="Q14" s="184">
        <v>3.0</v>
      </c>
      <c r="R14" s="19">
        <f>Q14/Q4*1000</f>
        <v>10.48951049</v>
      </c>
      <c r="S14" s="184">
        <v>0.0</v>
      </c>
      <c r="T14" s="19">
        <f>S14/S4*1000</f>
        <v>0</v>
      </c>
      <c r="U14" s="118">
        <v>0.0</v>
      </c>
      <c r="V14" s="19">
        <f>U14/U4*1000</f>
        <v>0</v>
      </c>
      <c r="W14" s="118">
        <v>0.0</v>
      </c>
      <c r="X14" s="19" t="str">
        <f>W14/W4*1000</f>
        <v>#DIV/0!</v>
      </c>
      <c r="Y14" s="19">
        <f t="shared" ref="Y14:Z14" si="15">((M14+O14+Q14+S14)/4)</f>
        <v>1.25</v>
      </c>
      <c r="Z14" s="19">
        <f t="shared" si="15"/>
        <v>11.45113778</v>
      </c>
      <c r="AA14" s="19">
        <f t="shared" si="3"/>
        <v>0</v>
      </c>
      <c r="AB14" s="19" t="str">
        <f t="shared" si="4"/>
        <v>#DIV/0!</v>
      </c>
      <c r="AC14" s="22" t="s">
        <v>28</v>
      </c>
    </row>
    <row r="15" ht="14.25" customHeight="1">
      <c r="A15" s="1"/>
      <c r="B15" s="32" t="s">
        <v>62</v>
      </c>
      <c r="C15" s="131">
        <v>2167.0</v>
      </c>
      <c r="D15" s="131">
        <v>2181.0</v>
      </c>
      <c r="E15" s="131">
        <v>2196.0</v>
      </c>
      <c r="F15" s="131">
        <v>2216.0</v>
      </c>
      <c r="G15" s="131">
        <v>2223.0</v>
      </c>
      <c r="H15" s="134">
        <v>2233.0</v>
      </c>
      <c r="I15" s="1"/>
      <c r="J15" s="1"/>
      <c r="K15" s="1"/>
      <c r="L15" s="15" t="s">
        <v>63</v>
      </c>
      <c r="M15" s="118">
        <v>1.0</v>
      </c>
      <c r="N15" s="19">
        <f>M15/C15*100000</f>
        <v>46.14674665</v>
      </c>
      <c r="O15" s="184">
        <v>1.0</v>
      </c>
      <c r="P15" s="19">
        <f>O15/D15*100000</f>
        <v>45.85052728</v>
      </c>
      <c r="Q15" s="184">
        <v>3.0</v>
      </c>
      <c r="R15" s="19">
        <f>Q15/E15*100000</f>
        <v>136.6120219</v>
      </c>
      <c r="S15" s="184">
        <v>0.0</v>
      </c>
      <c r="T15" s="19">
        <f>S15/F15*100000</f>
        <v>0</v>
      </c>
      <c r="U15" s="17"/>
      <c r="V15" s="19">
        <f>U15/G15*100000</f>
        <v>0</v>
      </c>
      <c r="W15" s="17"/>
      <c r="X15" s="19">
        <f>W15/H15*100000</f>
        <v>0</v>
      </c>
      <c r="Y15" s="19">
        <f t="shared" ref="Y15:Z15" si="16">((M15+O15+Q15+S15)/4)</f>
        <v>1.25</v>
      </c>
      <c r="Z15" s="19">
        <f t="shared" si="16"/>
        <v>57.15232395</v>
      </c>
      <c r="AA15" s="19">
        <f t="shared" si="3"/>
        <v>0</v>
      </c>
      <c r="AB15" s="19">
        <f t="shared" si="4"/>
        <v>0</v>
      </c>
      <c r="AC15" s="22" t="s">
        <v>28</v>
      </c>
    </row>
    <row r="16" ht="14.25" customHeight="1">
      <c r="A16" s="1"/>
      <c r="B16" s="32" t="s">
        <v>64</v>
      </c>
      <c r="C16" s="131">
        <v>18254.0</v>
      </c>
      <c r="D16" s="131">
        <v>18878.0</v>
      </c>
      <c r="E16" s="131">
        <v>19554.0</v>
      </c>
      <c r="F16" s="131">
        <v>20304.0</v>
      </c>
      <c r="G16" s="131">
        <v>21021.0</v>
      </c>
      <c r="H16" s="134">
        <v>21731.0</v>
      </c>
      <c r="I16" s="1"/>
      <c r="J16" s="1"/>
      <c r="K16" s="1"/>
      <c r="L16" s="15" t="s">
        <v>65</v>
      </c>
      <c r="M16" s="118">
        <v>29.0</v>
      </c>
      <c r="N16" s="19">
        <f>M16/M4*100</f>
        <v>90.625</v>
      </c>
      <c r="O16" s="184">
        <v>33.0</v>
      </c>
      <c r="P16" s="19">
        <f>O16/O4*100</f>
        <v>13.41463415</v>
      </c>
      <c r="Q16" s="184">
        <v>50.0</v>
      </c>
      <c r="R16" s="19">
        <f>Q16/Q4*100</f>
        <v>17.48251748</v>
      </c>
      <c r="S16" s="184">
        <v>40.0</v>
      </c>
      <c r="T16" s="19">
        <f>S16/S4*100</f>
        <v>333.3333333</v>
      </c>
      <c r="U16" s="17"/>
      <c r="V16" s="19">
        <f>U16/U4*100</f>
        <v>0</v>
      </c>
      <c r="W16" s="17"/>
      <c r="X16" s="19" t="str">
        <f>W16/W4*100</f>
        <v>#DIV/0!</v>
      </c>
      <c r="Y16" s="19">
        <f t="shared" ref="Y16:Z16" si="17">((M16+O16+Q16+S16)/4)</f>
        <v>38</v>
      </c>
      <c r="Z16" s="19">
        <f t="shared" si="17"/>
        <v>113.7138712</v>
      </c>
      <c r="AA16" s="19">
        <f t="shared" si="3"/>
        <v>20</v>
      </c>
      <c r="AB16" s="19" t="str">
        <f t="shared" si="4"/>
        <v>#DIV/0!</v>
      </c>
      <c r="AC16" s="22" t="s">
        <v>30</v>
      </c>
    </row>
    <row r="17" ht="14.25" customHeight="1">
      <c r="A17" s="1"/>
      <c r="B17" s="32" t="s">
        <v>66</v>
      </c>
      <c r="C17" s="131">
        <v>6978.0</v>
      </c>
      <c r="D17" s="131">
        <v>7027.0</v>
      </c>
      <c r="E17" s="131">
        <v>7113.0</v>
      </c>
      <c r="F17" s="131">
        <v>7213.0</v>
      </c>
      <c r="G17" s="131">
        <v>7329.0</v>
      </c>
      <c r="H17" s="134">
        <v>7440.0</v>
      </c>
      <c r="I17" s="1"/>
      <c r="J17" s="1"/>
      <c r="K17" s="1"/>
      <c r="L17" s="15" t="s">
        <v>67</v>
      </c>
      <c r="M17" s="118">
        <v>11.0</v>
      </c>
      <c r="N17" s="19">
        <f>M17/M4*100</f>
        <v>34.375</v>
      </c>
      <c r="O17" s="188">
        <v>12.0</v>
      </c>
      <c r="P17" s="19">
        <f>O17/O4*100</f>
        <v>4.87804878</v>
      </c>
      <c r="Q17" s="188">
        <v>13.0</v>
      </c>
      <c r="R17" s="19">
        <f>Q17/Q4*100</f>
        <v>4.545454545</v>
      </c>
      <c r="S17" s="188">
        <v>24.0</v>
      </c>
      <c r="T17" s="19">
        <f>S17/S4*100</f>
        <v>200</v>
      </c>
      <c r="U17" s="17"/>
      <c r="V17" s="19">
        <f>U17/U4*100</f>
        <v>0</v>
      </c>
      <c r="W17" s="17"/>
      <c r="X17" s="19" t="str">
        <f>W17/W4*100</f>
        <v>#DIV/0!</v>
      </c>
      <c r="Y17" s="19">
        <f t="shared" ref="Y17:Z17" si="18">((M17+O17+Q17+S17)/4)</f>
        <v>15</v>
      </c>
      <c r="Z17" s="19">
        <f t="shared" si="18"/>
        <v>60.94962583</v>
      </c>
      <c r="AA17" s="19">
        <f t="shared" si="3"/>
        <v>12</v>
      </c>
      <c r="AB17" s="19" t="str">
        <f t="shared" si="4"/>
        <v>#DIV/0!</v>
      </c>
      <c r="AC17" s="22" t="s">
        <v>30</v>
      </c>
    </row>
    <row r="18" ht="14.25" customHeight="1">
      <c r="A18" s="1"/>
      <c r="B18" s="32" t="s">
        <v>68</v>
      </c>
      <c r="C18" s="131">
        <v>21644.0</v>
      </c>
      <c r="D18" s="131">
        <v>22133.0</v>
      </c>
      <c r="E18" s="131">
        <v>22787.0</v>
      </c>
      <c r="F18" s="131">
        <v>23487.0</v>
      </c>
      <c r="G18" s="131">
        <v>24175.0</v>
      </c>
      <c r="H18" s="134">
        <v>24827.0</v>
      </c>
      <c r="I18" s="1"/>
      <c r="J18" s="1"/>
      <c r="K18" s="1"/>
      <c r="L18" s="15" t="s">
        <v>69</v>
      </c>
      <c r="M18" s="124">
        <v>3.0</v>
      </c>
      <c r="N18" s="57">
        <f>M18/C15*1000</f>
        <v>1.3844024</v>
      </c>
      <c r="O18" s="188">
        <v>0.0</v>
      </c>
      <c r="P18" s="57">
        <f>O18/D15*1000</f>
        <v>0</v>
      </c>
      <c r="Q18" s="188">
        <v>4.0</v>
      </c>
      <c r="R18" s="57">
        <f>Q18/E15*1000</f>
        <v>1.821493625</v>
      </c>
      <c r="S18" s="188">
        <v>2.0</v>
      </c>
      <c r="T18" s="57">
        <f>S18/F15*1000</f>
        <v>0.9025270758</v>
      </c>
      <c r="U18" s="124">
        <v>5.0</v>
      </c>
      <c r="V18" s="57">
        <f>U18/G15*1000</f>
        <v>2.249212776</v>
      </c>
      <c r="W18" s="124">
        <v>7.0</v>
      </c>
      <c r="X18" s="57">
        <f>W18/H15*1000</f>
        <v>3.134796238</v>
      </c>
      <c r="Y18" s="19">
        <f t="shared" ref="Y18:Z18" si="19">((M18+O18+Q18+S18)/4)</f>
        <v>2.25</v>
      </c>
      <c r="Z18" s="19">
        <f t="shared" si="19"/>
        <v>1.027105775</v>
      </c>
      <c r="AA18" s="19">
        <f t="shared" si="3"/>
        <v>3.5</v>
      </c>
      <c r="AB18" s="19">
        <f t="shared" si="4"/>
        <v>2.692004507</v>
      </c>
      <c r="AC18" s="22" t="s">
        <v>57</v>
      </c>
    </row>
    <row r="19" ht="14.25" customHeight="1">
      <c r="A19" s="1"/>
      <c r="B19" s="32" t="s">
        <v>70</v>
      </c>
      <c r="C19" s="131">
        <v>14593.0</v>
      </c>
      <c r="D19" s="131">
        <v>15106.0</v>
      </c>
      <c r="E19" s="131">
        <v>15674.0</v>
      </c>
      <c r="F19" s="131">
        <v>16274.0</v>
      </c>
      <c r="G19" s="131">
        <v>16846.0</v>
      </c>
      <c r="H19" s="134">
        <v>17387.0</v>
      </c>
      <c r="I19" s="1"/>
      <c r="J19" s="1"/>
      <c r="K19" s="1"/>
      <c r="L19" s="15" t="s">
        <v>71</v>
      </c>
      <c r="M19" s="118">
        <v>13.0</v>
      </c>
      <c r="N19" s="19">
        <f>M19/M4*100</f>
        <v>40.625</v>
      </c>
      <c r="O19" s="184">
        <v>17.0</v>
      </c>
      <c r="P19" s="19">
        <f>O19/O4*100</f>
        <v>6.910569106</v>
      </c>
      <c r="Q19" s="184">
        <v>36.0</v>
      </c>
      <c r="R19" s="19">
        <f>Q19/Q4*100</f>
        <v>12.58741259</v>
      </c>
      <c r="S19" s="184">
        <v>19.0</v>
      </c>
      <c r="T19" s="19">
        <f>S19/S4*100</f>
        <v>158.3333333</v>
      </c>
      <c r="U19" s="17"/>
      <c r="V19" s="19">
        <f>U19/U4*100</f>
        <v>0</v>
      </c>
      <c r="W19" s="17"/>
      <c r="X19" s="19" t="str">
        <f>W19/W4*100</f>
        <v>#DIV/0!</v>
      </c>
      <c r="Y19" s="19">
        <f t="shared" ref="Y19:Z19" si="20">((M19+O19+Q19+S19)/4)</f>
        <v>21.25</v>
      </c>
      <c r="Z19" s="19">
        <f t="shared" si="20"/>
        <v>54.61407876</v>
      </c>
      <c r="AA19" s="19">
        <f t="shared" si="3"/>
        <v>9.5</v>
      </c>
      <c r="AB19" s="19" t="str">
        <f t="shared" si="4"/>
        <v>#DIV/0!</v>
      </c>
      <c r="AC19" s="22" t="s">
        <v>72</v>
      </c>
    </row>
    <row r="20" ht="14.25" customHeight="1">
      <c r="A20" s="1"/>
      <c r="B20" s="32" t="s">
        <v>73</v>
      </c>
      <c r="C20" s="133">
        <v>820.0</v>
      </c>
      <c r="D20" s="131">
        <v>831.0</v>
      </c>
      <c r="E20" s="133">
        <v>846.0</v>
      </c>
      <c r="F20" s="133">
        <v>861.0</v>
      </c>
      <c r="G20" s="133">
        <v>884.0</v>
      </c>
      <c r="H20" s="134">
        <v>908.0</v>
      </c>
      <c r="I20" s="1"/>
      <c r="J20" s="1"/>
      <c r="K20" s="1"/>
      <c r="L20" s="15" t="s">
        <v>74</v>
      </c>
      <c r="M20" s="118">
        <v>0.0</v>
      </c>
      <c r="N20" s="19">
        <f t="shared" ref="N20:N21" si="22">M20/C20*1000</f>
        <v>0</v>
      </c>
      <c r="O20" s="184">
        <v>0.0</v>
      </c>
      <c r="P20" s="19">
        <f t="shared" ref="P20:P21" si="23">O20/D20*1000</f>
        <v>0</v>
      </c>
      <c r="Q20" s="184">
        <v>0.0</v>
      </c>
      <c r="R20" s="19">
        <f t="shared" ref="R20:R21" si="24">Q20/E20*1000</f>
        <v>0</v>
      </c>
      <c r="S20" s="184">
        <v>0.0</v>
      </c>
      <c r="T20" s="19">
        <f t="shared" ref="T20:T21" si="25">S20/F20*1000</f>
        <v>0</v>
      </c>
      <c r="U20" s="17"/>
      <c r="V20" s="19">
        <f t="shared" ref="V20:V21" si="26">U20/G20*1000</f>
        <v>0</v>
      </c>
      <c r="W20" s="17"/>
      <c r="X20" s="19">
        <f t="shared" ref="X20:X21" si="27">W20/H20*1000</f>
        <v>0</v>
      </c>
      <c r="Y20" s="19">
        <f t="shared" ref="Y20:Z20" si="21">((M20+O20+Q20+S20)/4)</f>
        <v>0</v>
      </c>
      <c r="Z20" s="19">
        <f t="shared" si="21"/>
        <v>0</v>
      </c>
      <c r="AA20" s="19">
        <f t="shared" si="3"/>
        <v>0</v>
      </c>
      <c r="AB20" s="19">
        <f t="shared" si="4"/>
        <v>0</v>
      </c>
      <c r="AC20" s="22" t="s">
        <v>72</v>
      </c>
    </row>
    <row r="21" ht="14.25" customHeight="1">
      <c r="A21" s="1"/>
      <c r="B21" s="32" t="s">
        <v>75</v>
      </c>
      <c r="C21" s="133">
        <v>893.0</v>
      </c>
      <c r="D21" s="131">
        <v>893.0</v>
      </c>
      <c r="E21" s="133">
        <v>897.0</v>
      </c>
      <c r="F21" s="133">
        <v>906.0</v>
      </c>
      <c r="G21" s="133">
        <v>914.0</v>
      </c>
      <c r="H21" s="134">
        <v>925.0</v>
      </c>
      <c r="I21" s="1"/>
      <c r="J21" s="1"/>
      <c r="K21" s="1"/>
      <c r="L21" s="15" t="s">
        <v>76</v>
      </c>
      <c r="M21" s="118">
        <v>13.0</v>
      </c>
      <c r="N21" s="19">
        <f t="shared" si="22"/>
        <v>14.55767077</v>
      </c>
      <c r="O21" s="184">
        <v>17.0</v>
      </c>
      <c r="P21" s="19">
        <f t="shared" si="23"/>
        <v>19.03695409</v>
      </c>
      <c r="Q21" s="184">
        <v>36.0</v>
      </c>
      <c r="R21" s="19">
        <f t="shared" si="24"/>
        <v>40.13377926</v>
      </c>
      <c r="S21" s="184">
        <v>19.0</v>
      </c>
      <c r="T21" s="19">
        <f t="shared" si="25"/>
        <v>20.97130243</v>
      </c>
      <c r="U21" s="17"/>
      <c r="V21" s="19">
        <f t="shared" si="26"/>
        <v>0</v>
      </c>
      <c r="W21" s="17"/>
      <c r="X21" s="19">
        <f t="shared" si="27"/>
        <v>0</v>
      </c>
      <c r="Y21" s="19">
        <f t="shared" ref="Y21:Z21" si="28">((M21+O21+Q21+S21)/4)</f>
        <v>21.25</v>
      </c>
      <c r="Z21" s="19">
        <f t="shared" si="28"/>
        <v>23.67492664</v>
      </c>
      <c r="AA21" s="19">
        <f t="shared" si="3"/>
        <v>9.5</v>
      </c>
      <c r="AB21" s="19">
        <f t="shared" si="4"/>
        <v>0</v>
      </c>
      <c r="AC21" s="22" t="s">
        <v>72</v>
      </c>
    </row>
    <row r="22" ht="14.25" customHeight="1">
      <c r="A22" s="1"/>
      <c r="B22" s="32" t="s">
        <v>77</v>
      </c>
      <c r="C22" s="133">
        <v>6328.0</v>
      </c>
      <c r="D22" s="133">
        <v>6500.0</v>
      </c>
      <c r="E22" s="133">
        <v>6702.0</v>
      </c>
      <c r="F22" s="133">
        <v>6924.0</v>
      </c>
      <c r="G22" s="133">
        <v>7139.0</v>
      </c>
      <c r="H22" s="134">
        <v>7336.0</v>
      </c>
      <c r="I22" s="1"/>
      <c r="J22" s="1"/>
      <c r="K22" s="1"/>
      <c r="L22" s="15" t="s">
        <v>78</v>
      </c>
      <c r="M22" s="124">
        <v>3.0</v>
      </c>
      <c r="N22" s="57">
        <f>M22/C7*100000</f>
        <v>12.80573697</v>
      </c>
      <c r="O22" s="188">
        <v>1.0</v>
      </c>
      <c r="P22" s="57">
        <f>O22/D7*100000</f>
        <v>4.149549774</v>
      </c>
      <c r="Q22" s="188">
        <v>0.0</v>
      </c>
      <c r="R22" s="57">
        <f>Q22/E7*100000</f>
        <v>0</v>
      </c>
      <c r="S22" s="188">
        <v>0.0</v>
      </c>
      <c r="T22" s="57">
        <f>S22/F7*100000</f>
        <v>0</v>
      </c>
      <c r="U22" s="56"/>
      <c r="V22" s="57">
        <f>U22/G7*100000</f>
        <v>0</v>
      </c>
      <c r="W22" s="56"/>
      <c r="X22" s="57">
        <f>W22/H7*100000</f>
        <v>0</v>
      </c>
      <c r="Y22" s="19">
        <f t="shared" ref="Y22:Z22" si="29">((M22+O22+Q22+S22)/4)</f>
        <v>1</v>
      </c>
      <c r="Z22" s="19">
        <f t="shared" si="29"/>
        <v>4.238821686</v>
      </c>
      <c r="AA22" s="19">
        <f t="shared" si="3"/>
        <v>0</v>
      </c>
      <c r="AB22" s="19">
        <f t="shared" si="4"/>
        <v>0</v>
      </c>
      <c r="AC22" s="22" t="s">
        <v>28</v>
      </c>
    </row>
    <row r="23" ht="14.25" customHeight="1">
      <c r="A23" s="1"/>
      <c r="B23" s="32" t="s">
        <v>79</v>
      </c>
      <c r="C23" s="131">
        <v>2167.0</v>
      </c>
      <c r="D23" s="131">
        <v>2181.0</v>
      </c>
      <c r="E23" s="131">
        <v>2196.0</v>
      </c>
      <c r="F23" s="131">
        <v>2216.0</v>
      </c>
      <c r="G23" s="131">
        <v>2223.0</v>
      </c>
      <c r="H23" s="134">
        <v>2233.0</v>
      </c>
      <c r="I23" s="1"/>
      <c r="J23" s="1"/>
      <c r="K23" s="1"/>
      <c r="L23" s="15" t="s">
        <v>80</v>
      </c>
      <c r="M23" s="124">
        <v>0.0</v>
      </c>
      <c r="N23" s="57">
        <f>M23/C7*100000</f>
        <v>0</v>
      </c>
      <c r="O23" s="188">
        <v>1.0</v>
      </c>
      <c r="P23" s="57">
        <f>O23/D7*100000</f>
        <v>4.149549774</v>
      </c>
      <c r="Q23" s="188">
        <v>1.0</v>
      </c>
      <c r="R23" s="57">
        <f>Q23/E7*100000</f>
        <v>4.023497224</v>
      </c>
      <c r="S23" s="188">
        <v>0.0</v>
      </c>
      <c r="T23" s="57">
        <f>S23/F7*100000</f>
        <v>0</v>
      </c>
      <c r="U23" s="56"/>
      <c r="V23" s="57">
        <f>U23/G7*100000</f>
        <v>0</v>
      </c>
      <c r="W23" s="56"/>
      <c r="X23" s="57">
        <f>W23/H7*100000</f>
        <v>0</v>
      </c>
      <c r="Y23" s="19">
        <f t="shared" ref="Y23:Z23" si="30">((M23+O23+Q23+S23)/4)</f>
        <v>0.5</v>
      </c>
      <c r="Z23" s="19">
        <f t="shared" si="30"/>
        <v>2.043261749</v>
      </c>
      <c r="AA23" s="19">
        <f t="shared" si="3"/>
        <v>0</v>
      </c>
      <c r="AB23" s="19">
        <f t="shared" si="4"/>
        <v>0</v>
      </c>
      <c r="AC23" s="22" t="s">
        <v>28</v>
      </c>
    </row>
    <row r="24" ht="14.25" customHeight="1">
      <c r="A24" s="1"/>
      <c r="B24" s="32" t="s">
        <v>81</v>
      </c>
      <c r="C24" s="131">
        <v>2003.0</v>
      </c>
      <c r="D24" s="131">
        <v>2032.0</v>
      </c>
      <c r="E24" s="131">
        <v>2083.0</v>
      </c>
      <c r="F24" s="131">
        <v>2133.0</v>
      </c>
      <c r="G24" s="131">
        <v>2198.0</v>
      </c>
      <c r="H24" s="134">
        <v>2255.0</v>
      </c>
      <c r="I24" s="1"/>
      <c r="J24" s="1"/>
      <c r="K24" s="1"/>
      <c r="L24" s="15" t="s">
        <v>82</v>
      </c>
      <c r="M24" s="124">
        <v>0.0</v>
      </c>
      <c r="N24" s="57">
        <f>M24/C7*100000</f>
        <v>0</v>
      </c>
      <c r="O24" s="188">
        <v>0.0</v>
      </c>
      <c r="P24" s="57">
        <f>O24/D7*100000</f>
        <v>0</v>
      </c>
      <c r="Q24" s="188">
        <v>2.0</v>
      </c>
      <c r="R24" s="57">
        <f>Q24/E7*100000</f>
        <v>8.046994448</v>
      </c>
      <c r="S24" s="188">
        <v>0.0</v>
      </c>
      <c r="T24" s="57">
        <f>S24/F7*100000</f>
        <v>0</v>
      </c>
      <c r="U24" s="56"/>
      <c r="V24" s="57">
        <f>U24/G7*100000</f>
        <v>0</v>
      </c>
      <c r="W24" s="56"/>
      <c r="X24" s="57">
        <f>W24/H7*100000</f>
        <v>0</v>
      </c>
      <c r="Y24" s="19">
        <f t="shared" ref="Y24:Z24" si="31">((M24+O24+Q24+S24)/4)</f>
        <v>0.5</v>
      </c>
      <c r="Z24" s="19">
        <f t="shared" si="31"/>
        <v>2.011748612</v>
      </c>
      <c r="AA24" s="19">
        <f t="shared" si="3"/>
        <v>0</v>
      </c>
      <c r="AB24" s="19">
        <f t="shared" si="4"/>
        <v>0</v>
      </c>
      <c r="AC24" s="22" t="s">
        <v>28</v>
      </c>
    </row>
    <row r="25" ht="14.25" customHeight="1">
      <c r="A25" s="1"/>
      <c r="B25" s="32" t="s">
        <v>83</v>
      </c>
      <c r="C25" s="133">
        <v>2069.0</v>
      </c>
      <c r="D25" s="133">
        <v>2075.0</v>
      </c>
      <c r="E25" s="133">
        <v>2093.0</v>
      </c>
      <c r="F25" s="133">
        <v>2120.0</v>
      </c>
      <c r="G25" s="133">
        <v>2159.0</v>
      </c>
      <c r="H25" s="134">
        <v>2198.0</v>
      </c>
      <c r="I25" s="1"/>
      <c r="J25" s="1"/>
      <c r="K25" s="1"/>
      <c r="L25" s="15" t="s">
        <v>84</v>
      </c>
      <c r="M25" s="124">
        <v>8.0</v>
      </c>
      <c r="N25" s="57">
        <f>M25/C7*100000</f>
        <v>34.14863192</v>
      </c>
      <c r="O25" s="188">
        <v>12.0</v>
      </c>
      <c r="P25" s="57">
        <f>O25/D7*100000</f>
        <v>49.79459729</v>
      </c>
      <c r="Q25" s="188">
        <v>7.0</v>
      </c>
      <c r="R25" s="57">
        <f>Q25/E7*100000</f>
        <v>28.16448057</v>
      </c>
      <c r="S25" s="188">
        <v>17.0</v>
      </c>
      <c r="T25" s="57">
        <f>S25/F7*100000</f>
        <v>66.16845711</v>
      </c>
      <c r="U25" s="124">
        <v>20.0</v>
      </c>
      <c r="V25" s="57">
        <f>U25/G7*100000</f>
        <v>75.45746086</v>
      </c>
      <c r="W25" s="124">
        <v>8.0</v>
      </c>
      <c r="X25" s="57">
        <f>W25/H7*100000</f>
        <v>29.29866325</v>
      </c>
      <c r="Y25" s="19">
        <f t="shared" ref="Y25:Z25" si="32">((M25+O25+Q25+S25)/4)</f>
        <v>11</v>
      </c>
      <c r="Z25" s="19">
        <f t="shared" si="32"/>
        <v>44.56904172</v>
      </c>
      <c r="AA25" s="19">
        <f t="shared" si="3"/>
        <v>18.5</v>
      </c>
      <c r="AB25" s="19">
        <f t="shared" si="4"/>
        <v>52.37806205</v>
      </c>
      <c r="AC25" s="22" t="s">
        <v>57</v>
      </c>
    </row>
    <row r="26" ht="14.25" customHeight="1">
      <c r="A26" s="1"/>
      <c r="B26" s="32" t="s">
        <v>85</v>
      </c>
      <c r="C26" s="144">
        <v>4395.0</v>
      </c>
      <c r="D26" s="144">
        <v>4487.0</v>
      </c>
      <c r="E26" s="144">
        <v>4579.0</v>
      </c>
      <c r="F26" s="144">
        <v>4654.0</v>
      </c>
      <c r="G26" s="144">
        <v>4709.0</v>
      </c>
      <c r="H26" s="134">
        <v>1413.0</v>
      </c>
      <c r="I26" s="1"/>
      <c r="J26" s="1"/>
      <c r="K26" s="1"/>
      <c r="L26" s="15" t="s">
        <v>86</v>
      </c>
      <c r="M26" s="118">
        <v>17.0</v>
      </c>
      <c r="N26" s="19">
        <f>M26/C7*100000</f>
        <v>72.56584283</v>
      </c>
      <c r="O26" s="184">
        <v>42.0</v>
      </c>
      <c r="P26" s="19">
        <f>O26/D7*100000</f>
        <v>174.2810905</v>
      </c>
      <c r="Q26" s="184">
        <v>8.0</v>
      </c>
      <c r="R26" s="19">
        <f>Q26/E7*100000</f>
        <v>32.18797779</v>
      </c>
      <c r="S26" s="184">
        <v>13.0</v>
      </c>
      <c r="T26" s="19">
        <f>S26/F7*100000</f>
        <v>50.59940838</v>
      </c>
      <c r="U26" s="17"/>
      <c r="V26" s="19">
        <f>U26/G7*100000</f>
        <v>0</v>
      </c>
      <c r="W26" s="17"/>
      <c r="X26" s="19">
        <f>W26/H7*100000</f>
        <v>0</v>
      </c>
      <c r="Y26" s="19">
        <f t="shared" ref="Y26:Z26" si="33">((M26+O26+Q26+S26)/4)</f>
        <v>20</v>
      </c>
      <c r="Z26" s="19">
        <f t="shared" si="33"/>
        <v>82.40857987</v>
      </c>
      <c r="AA26" s="19">
        <f t="shared" si="3"/>
        <v>6.5</v>
      </c>
      <c r="AB26" s="19">
        <f t="shared" si="4"/>
        <v>0</v>
      </c>
      <c r="AC26" s="22" t="s">
        <v>28</v>
      </c>
    </row>
    <row r="27" ht="14.25" customHeight="1">
      <c r="A27" s="1"/>
      <c r="B27" s="62" t="s">
        <v>87</v>
      </c>
      <c r="C27" s="145">
        <v>1856.0</v>
      </c>
      <c r="D27" s="145">
        <v>1966.0</v>
      </c>
      <c r="E27" s="146">
        <v>2067.0</v>
      </c>
      <c r="F27" s="146">
        <v>2205.0</v>
      </c>
      <c r="G27" s="146">
        <v>2240.0</v>
      </c>
      <c r="H27" s="147">
        <v>2381.0</v>
      </c>
      <c r="I27" s="1"/>
      <c r="J27" s="1"/>
      <c r="K27" s="1"/>
      <c r="L27" s="15" t="s">
        <v>88</v>
      </c>
      <c r="M27" s="118">
        <v>0.0</v>
      </c>
      <c r="N27" s="19">
        <f>M27/C11*100000</f>
        <v>0</v>
      </c>
      <c r="O27" s="184">
        <v>1.0</v>
      </c>
      <c r="P27" s="19">
        <f>O27/D11*100000</f>
        <v>8.089960359</v>
      </c>
      <c r="Q27" s="184">
        <v>1.0</v>
      </c>
      <c r="R27" s="19">
        <f>Q27/E11*100000</f>
        <v>7.833307222</v>
      </c>
      <c r="S27" s="184">
        <v>1.0</v>
      </c>
      <c r="T27" s="19">
        <f>S27/F11*100000</f>
        <v>7.575757576</v>
      </c>
      <c r="U27" s="17"/>
      <c r="V27" s="19">
        <f>U27/G11*100000</f>
        <v>0</v>
      </c>
      <c r="W27" s="17"/>
      <c r="X27" s="19">
        <f>W27/H11*100000</f>
        <v>0</v>
      </c>
      <c r="Y27" s="19">
        <f t="shared" ref="Y27:Z27" si="34">((M27+O27+Q27+S27)/4)</f>
        <v>0.75</v>
      </c>
      <c r="Z27" s="19">
        <f t="shared" si="34"/>
        <v>5.874756289</v>
      </c>
      <c r="AA27" s="19">
        <f t="shared" si="3"/>
        <v>0.5</v>
      </c>
      <c r="AB27" s="19">
        <f t="shared" si="4"/>
        <v>0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8">
        <v>0.0</v>
      </c>
      <c r="N28" s="19">
        <f>M28/C11*100000</f>
        <v>0</v>
      </c>
      <c r="O28" s="184">
        <v>0.0</v>
      </c>
      <c r="P28" s="19">
        <f>O28/D11*100000</f>
        <v>0</v>
      </c>
      <c r="Q28" s="184">
        <v>1.0</v>
      </c>
      <c r="R28" s="19">
        <f>Q28/E11*100000</f>
        <v>7.833307222</v>
      </c>
      <c r="S28" s="184">
        <v>2.0</v>
      </c>
      <c r="T28" s="19">
        <f>S28/F11*100000</f>
        <v>15.15151515</v>
      </c>
      <c r="U28" s="17"/>
      <c r="V28" s="19">
        <f>U28/G11*100000</f>
        <v>0</v>
      </c>
      <c r="W28" s="17"/>
      <c r="X28" s="19">
        <f>W28/H11*100000</f>
        <v>0</v>
      </c>
      <c r="Y28" s="19">
        <f t="shared" ref="Y28:Z28" si="35">((M28+O28+Q28+S28)/4)</f>
        <v>0.75</v>
      </c>
      <c r="Z28" s="19">
        <f t="shared" si="35"/>
        <v>5.746205593</v>
      </c>
      <c r="AA28" s="19">
        <f t="shared" si="3"/>
        <v>1</v>
      </c>
      <c r="AB28" s="19">
        <f t="shared" si="4"/>
        <v>0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8">
        <v>1.0</v>
      </c>
      <c r="N29" s="19">
        <f>M29/C10*100000</f>
        <v>8.760402979</v>
      </c>
      <c r="O29" s="184">
        <v>1.0</v>
      </c>
      <c r="P29" s="19">
        <f>O29/D10*100000</f>
        <v>8.519338899</v>
      </c>
      <c r="Q29" s="184">
        <v>1.0</v>
      </c>
      <c r="R29" s="19">
        <f>Q29/E10*100000</f>
        <v>8.272667108</v>
      </c>
      <c r="S29" s="184">
        <v>1.0</v>
      </c>
      <c r="T29" s="19">
        <f>S29/F10*100000</f>
        <v>8.005123279</v>
      </c>
      <c r="U29" s="17"/>
      <c r="V29" s="19">
        <f>U29/G10*100000</f>
        <v>0</v>
      </c>
      <c r="W29" s="17"/>
      <c r="X29" s="19">
        <f>W29/H10*100000</f>
        <v>0</v>
      </c>
      <c r="Y29" s="19">
        <f t="shared" ref="Y29:Z29" si="36">((M29+O29+Q29+S29)/4)</f>
        <v>1</v>
      </c>
      <c r="Z29" s="19">
        <f t="shared" si="36"/>
        <v>8.389383066</v>
      </c>
      <c r="AA29" s="19">
        <f t="shared" si="3"/>
        <v>0.5</v>
      </c>
      <c r="AB29" s="19">
        <f t="shared" si="4"/>
        <v>0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8">
        <v>13.0</v>
      </c>
      <c r="N30" s="19">
        <f>M30/C7*100000</f>
        <v>55.49152687</v>
      </c>
      <c r="O30" s="184">
        <v>43.0</v>
      </c>
      <c r="P30" s="19">
        <f>O30/D7*100000</f>
        <v>178.4306403</v>
      </c>
      <c r="Q30" s="184">
        <v>13.0</v>
      </c>
      <c r="R30" s="19">
        <f>Q30/E7*100000</f>
        <v>52.30546391</v>
      </c>
      <c r="S30" s="184">
        <v>1.0</v>
      </c>
      <c r="T30" s="19">
        <f>S30/F7*100000</f>
        <v>3.892262183</v>
      </c>
      <c r="U30" s="17"/>
      <c r="V30" s="19">
        <f>U30/G7*100000</f>
        <v>0</v>
      </c>
      <c r="W30" s="17"/>
      <c r="X30" s="19">
        <f>W30/H7*100000</f>
        <v>0</v>
      </c>
      <c r="Y30" s="19">
        <f t="shared" ref="Y30:Z30" si="37">((M30+O30+Q30+S30)/4)</f>
        <v>17.5</v>
      </c>
      <c r="Z30" s="19">
        <f t="shared" si="37"/>
        <v>72.52997331</v>
      </c>
      <c r="AA30" s="19">
        <f t="shared" si="3"/>
        <v>0.5</v>
      </c>
      <c r="AB30" s="19">
        <f t="shared" si="4"/>
        <v>0</v>
      </c>
      <c r="AC30" s="22" t="s">
        <v>28</v>
      </c>
    </row>
    <row r="31" ht="14.25" customHeight="1">
      <c r="A31" s="1"/>
      <c r="B31" s="71" t="s">
        <v>93</v>
      </c>
      <c r="C31" s="131">
        <v>2167.0</v>
      </c>
      <c r="D31" s="131">
        <v>2181.0</v>
      </c>
      <c r="E31" s="131">
        <v>2196.0</v>
      </c>
      <c r="F31" s="131">
        <v>2216.0</v>
      </c>
      <c r="G31" s="131">
        <v>2223.0</v>
      </c>
      <c r="H31" s="134">
        <v>2233.0</v>
      </c>
      <c r="I31" s="1"/>
      <c r="J31" s="1"/>
      <c r="K31" s="1"/>
      <c r="L31" s="15" t="s">
        <v>94</v>
      </c>
      <c r="M31" s="118">
        <v>0.0</v>
      </c>
      <c r="N31" s="19">
        <f>M31/C7*100000</f>
        <v>0</v>
      </c>
      <c r="O31" s="184">
        <v>1.0</v>
      </c>
      <c r="P31" s="19">
        <f>O31/D7*100000</f>
        <v>4.149549774</v>
      </c>
      <c r="Q31" s="184">
        <v>0.0</v>
      </c>
      <c r="R31" s="19">
        <f>Q31/E7*100000</f>
        <v>0</v>
      </c>
      <c r="S31" s="184">
        <v>1.0</v>
      </c>
      <c r="T31" s="19">
        <f>S31/F7*100000</f>
        <v>3.892262183</v>
      </c>
      <c r="U31" s="17"/>
      <c r="V31" s="19">
        <f>U31/G7*100000</f>
        <v>0</v>
      </c>
      <c r="W31" s="17"/>
      <c r="X31" s="19">
        <f>W31/H7*100000</f>
        <v>0</v>
      </c>
      <c r="Y31" s="19">
        <f t="shared" ref="Y31:Z31" si="38">((M31+O31+Q31+S31)/4)</f>
        <v>0.5</v>
      </c>
      <c r="Z31" s="19">
        <f t="shared" si="38"/>
        <v>2.010452989</v>
      </c>
      <c r="AA31" s="19">
        <f t="shared" si="3"/>
        <v>0.5</v>
      </c>
      <c r="AB31" s="19">
        <f t="shared" si="4"/>
        <v>0</v>
      </c>
      <c r="AC31" s="22" t="s">
        <v>28</v>
      </c>
    </row>
    <row r="32" ht="14.25" customHeight="1">
      <c r="A32" s="1"/>
      <c r="B32" s="71" t="s">
        <v>95</v>
      </c>
      <c r="C32" s="131">
        <v>2003.0</v>
      </c>
      <c r="D32" s="131">
        <v>2032.0</v>
      </c>
      <c r="E32" s="131">
        <v>2083.0</v>
      </c>
      <c r="F32" s="131">
        <v>2133.0</v>
      </c>
      <c r="G32" s="131">
        <v>2198.0</v>
      </c>
      <c r="H32" s="134">
        <v>2255.0</v>
      </c>
      <c r="I32" s="1"/>
      <c r="J32" s="1"/>
      <c r="K32" s="1"/>
      <c r="L32" s="15" t="s">
        <v>96</v>
      </c>
      <c r="M32" s="124">
        <v>5.0</v>
      </c>
      <c r="N32" s="72">
        <f>M32/C7*100</f>
        <v>0.02134289495</v>
      </c>
      <c r="O32" s="188">
        <v>7.0</v>
      </c>
      <c r="P32" s="72">
        <f>O32/D7*100</f>
        <v>0.02904684842</v>
      </c>
      <c r="Q32" s="188">
        <v>8.0</v>
      </c>
      <c r="R32" s="72">
        <f>Q32/E7*100</f>
        <v>0.03218797779</v>
      </c>
      <c r="S32" s="188">
        <v>6.0</v>
      </c>
      <c r="T32" s="72">
        <f>S32/F7*100</f>
        <v>0.0233535731</v>
      </c>
      <c r="U32" s="124">
        <v>4.0</v>
      </c>
      <c r="V32" s="72">
        <f>U32/G7*100</f>
        <v>0.01509149217</v>
      </c>
      <c r="W32" s="124">
        <v>5.0</v>
      </c>
      <c r="X32" s="72">
        <f>W32/H7*100</f>
        <v>0.01831166453</v>
      </c>
      <c r="Y32" s="19">
        <f t="shared" ref="Y32:Z32" si="39">((M32+O32+Q32+S32)/4)</f>
        <v>6.5</v>
      </c>
      <c r="Z32" s="74">
        <f t="shared" si="39"/>
        <v>0.02648282356</v>
      </c>
      <c r="AA32" s="19">
        <f t="shared" si="3"/>
        <v>5</v>
      </c>
      <c r="AB32" s="19">
        <f t="shared" si="4"/>
        <v>0.01670157835</v>
      </c>
      <c r="AC32" s="22" t="s">
        <v>57</v>
      </c>
    </row>
    <row r="33" ht="14.25" customHeight="1">
      <c r="A33" s="1"/>
      <c r="B33" s="71" t="s">
        <v>99</v>
      </c>
      <c r="C33" s="133">
        <v>2069.0</v>
      </c>
      <c r="D33" s="133">
        <v>2075.0</v>
      </c>
      <c r="E33" s="133">
        <v>2093.0</v>
      </c>
      <c r="F33" s="133">
        <v>2120.0</v>
      </c>
      <c r="G33" s="133">
        <v>2159.0</v>
      </c>
      <c r="H33" s="134">
        <v>2198.0</v>
      </c>
      <c r="I33" s="1"/>
      <c r="J33" s="1"/>
      <c r="K33" s="1"/>
      <c r="L33" s="15" t="s">
        <v>100</v>
      </c>
      <c r="M33" s="118">
        <v>2657.0</v>
      </c>
      <c r="N33" s="19">
        <f>M33/C7*10000</f>
        <v>1134.161438</v>
      </c>
      <c r="O33" s="184">
        <v>3154.0</v>
      </c>
      <c r="P33" s="19">
        <f>O33/D7*10000</f>
        <v>1308.767999</v>
      </c>
      <c r="Q33" s="184">
        <v>3828.0</v>
      </c>
      <c r="R33" s="19">
        <f>Q33/E7*10000</f>
        <v>1540.194737</v>
      </c>
      <c r="S33" s="184">
        <v>150.0</v>
      </c>
      <c r="T33" s="19">
        <f>S33/F7*10000</f>
        <v>58.38393274</v>
      </c>
      <c r="U33" s="118">
        <v>200.0</v>
      </c>
      <c r="V33" s="19">
        <f>U33/G7*10000</f>
        <v>75.45746086</v>
      </c>
      <c r="W33" s="118">
        <v>94.0</v>
      </c>
      <c r="X33" s="19">
        <f>W33/H7*10000</f>
        <v>34.42592932</v>
      </c>
      <c r="Y33" s="19">
        <f t="shared" ref="Y33:Z33" si="40">((M33+O33+Q33+S33)/4)</f>
        <v>2447.25</v>
      </c>
      <c r="Z33" s="19">
        <f t="shared" si="40"/>
        <v>1010.377027</v>
      </c>
      <c r="AA33" s="19">
        <f t="shared" si="3"/>
        <v>175</v>
      </c>
      <c r="AB33" s="19">
        <f t="shared" si="4"/>
        <v>54.94169509</v>
      </c>
      <c r="AC33" s="22" t="s">
        <v>57</v>
      </c>
    </row>
    <row r="34" ht="14.25" customHeight="1">
      <c r="A34" s="1"/>
      <c r="B34" s="71" t="s">
        <v>101</v>
      </c>
      <c r="C34" s="144">
        <v>4395.0</v>
      </c>
      <c r="D34" s="144">
        <v>4487.0</v>
      </c>
      <c r="E34" s="144">
        <v>4579.0</v>
      </c>
      <c r="F34" s="144">
        <v>4654.0</v>
      </c>
      <c r="G34" s="144">
        <v>4709.0</v>
      </c>
      <c r="H34" s="134">
        <v>1413.0</v>
      </c>
      <c r="I34" s="1"/>
      <c r="J34" s="1"/>
      <c r="K34" s="1"/>
      <c r="L34" s="15" t="s">
        <v>102</v>
      </c>
      <c r="M34" s="118">
        <v>1660.0</v>
      </c>
      <c r="N34" s="19">
        <f>M34/C7*10000</f>
        <v>708.5841123</v>
      </c>
      <c r="O34" s="184">
        <v>1200.0</v>
      </c>
      <c r="P34" s="19">
        <f>O34/D7*10000</f>
        <v>497.9459729</v>
      </c>
      <c r="Q34" s="184">
        <v>1440.0</v>
      </c>
      <c r="R34" s="19">
        <f>Q34/E7*10000</f>
        <v>579.3836002</v>
      </c>
      <c r="S34" s="184">
        <v>316.0</v>
      </c>
      <c r="T34" s="19">
        <f>S34/F7*10000</f>
        <v>122.995485</v>
      </c>
      <c r="U34" s="118">
        <v>422.0</v>
      </c>
      <c r="V34" s="19">
        <f>U34/G7*10000</f>
        <v>159.2152424</v>
      </c>
      <c r="W34" s="118">
        <v>422.0</v>
      </c>
      <c r="X34" s="19">
        <f>W34/H7*10000</f>
        <v>154.5504486</v>
      </c>
      <c r="Y34" s="19">
        <f t="shared" ref="Y34:Z34" si="41">((M34+O34+Q34+S34)/4)</f>
        <v>1154</v>
      </c>
      <c r="Z34" s="19">
        <f t="shared" si="41"/>
        <v>477.2272926</v>
      </c>
      <c r="AA34" s="19">
        <f t="shared" si="3"/>
        <v>369</v>
      </c>
      <c r="AB34" s="19">
        <f t="shared" si="4"/>
        <v>156.8828455</v>
      </c>
      <c r="AC34" s="22" t="s">
        <v>57</v>
      </c>
    </row>
    <row r="35" ht="14.25" customHeight="1">
      <c r="A35" s="1"/>
      <c r="B35" s="71" t="s">
        <v>103</v>
      </c>
      <c r="C35" s="126">
        <v>9755.0</v>
      </c>
      <c r="D35" s="126">
        <v>10111.0</v>
      </c>
      <c r="E35" s="126">
        <v>10520.0</v>
      </c>
      <c r="F35" s="126">
        <v>10973.0</v>
      </c>
      <c r="G35" s="126">
        <v>11423.0</v>
      </c>
      <c r="H35" s="126">
        <v>11867.0</v>
      </c>
      <c r="I35" s="1"/>
      <c r="J35" s="1"/>
      <c r="K35" s="1"/>
      <c r="L35" s="15" t="s">
        <v>104</v>
      </c>
      <c r="M35" s="118">
        <v>20.0</v>
      </c>
      <c r="N35" s="19">
        <f>M35/M4*1000</f>
        <v>625</v>
      </c>
      <c r="O35" s="184">
        <v>23.0</v>
      </c>
      <c r="P35" s="19">
        <f>O35/O4*1000</f>
        <v>93.49593496</v>
      </c>
      <c r="Q35" s="184">
        <v>16.0</v>
      </c>
      <c r="R35" s="19">
        <f>Q35/Q4*1000</f>
        <v>55.94405594</v>
      </c>
      <c r="S35" s="184">
        <v>19.0</v>
      </c>
      <c r="T35" s="19">
        <f>S35/S4*1000</f>
        <v>1583.333333</v>
      </c>
      <c r="U35" s="118">
        <v>20.0</v>
      </c>
      <c r="V35" s="19">
        <f>U35/U4*1000</f>
        <v>82.98755187</v>
      </c>
      <c r="W35" s="17"/>
      <c r="X35" s="19" t="str">
        <f>W35/W4*1000</f>
        <v>#DIV/0!</v>
      </c>
      <c r="Y35" s="19">
        <f t="shared" ref="Y35:Z35" si="42">((M35+O35+Q35+S35)/4)</f>
        <v>19.5</v>
      </c>
      <c r="Z35" s="19">
        <f t="shared" si="42"/>
        <v>589.4433311</v>
      </c>
      <c r="AA35" s="19">
        <f t="shared" si="3"/>
        <v>19.5</v>
      </c>
      <c r="AB35" s="19" t="str">
        <f t="shared" si="4"/>
        <v>#DIV/0!</v>
      </c>
      <c r="AC35" s="22" t="s">
        <v>57</v>
      </c>
    </row>
    <row r="36" ht="14.25" customHeight="1">
      <c r="A36" s="1"/>
      <c r="B36" s="71" t="s">
        <v>105</v>
      </c>
      <c r="C36" s="126">
        <v>3038.0</v>
      </c>
      <c r="D36" s="126">
        <v>3213.0</v>
      </c>
      <c r="E36" s="126">
        <v>3383.0</v>
      </c>
      <c r="F36" s="126">
        <v>3596.0</v>
      </c>
      <c r="G36" s="126">
        <v>3793.0</v>
      </c>
      <c r="H36" s="126">
        <v>3875.0</v>
      </c>
      <c r="I36" s="1"/>
      <c r="J36" s="1"/>
      <c r="K36" s="1"/>
      <c r="L36" s="15" t="s">
        <v>106</v>
      </c>
      <c r="M36" s="118">
        <v>1.0</v>
      </c>
      <c r="N36" s="19">
        <f>M36/M4*1000</f>
        <v>31.25</v>
      </c>
      <c r="O36" s="184">
        <v>3.0</v>
      </c>
      <c r="P36" s="19">
        <f>O36/O4*1000</f>
        <v>12.19512195</v>
      </c>
      <c r="Q36" s="184">
        <v>1.0</v>
      </c>
      <c r="R36" s="19">
        <f>Q36/Q4*1000</f>
        <v>3.496503497</v>
      </c>
      <c r="S36" s="184">
        <v>8.0</v>
      </c>
      <c r="T36" s="19">
        <f>S36/S4*1000</f>
        <v>666.6666667</v>
      </c>
      <c r="U36" s="118">
        <v>8.0</v>
      </c>
      <c r="V36" s="19">
        <f>U36/U4*1000</f>
        <v>33.19502075</v>
      </c>
      <c r="W36" s="118">
        <v>5.0</v>
      </c>
      <c r="X36" s="19" t="str">
        <f>W36/W4*1000</f>
        <v>#DIV/0!</v>
      </c>
      <c r="Y36" s="19">
        <f t="shared" ref="Y36:Z36" si="43">((M36+O36+Q36+S36)/4)</f>
        <v>3.25</v>
      </c>
      <c r="Z36" s="19">
        <f t="shared" si="43"/>
        <v>178.402073</v>
      </c>
      <c r="AA36" s="19">
        <f t="shared" si="3"/>
        <v>8</v>
      </c>
      <c r="AB36" s="19" t="str">
        <f t="shared" si="4"/>
        <v>#DIV/0!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18">
        <v>0.0</v>
      </c>
      <c r="N37" s="36"/>
      <c r="O37" s="184">
        <v>1.0</v>
      </c>
      <c r="P37" s="36"/>
      <c r="Q37" s="184">
        <v>1.0</v>
      </c>
      <c r="R37" s="36"/>
      <c r="S37" s="184">
        <v>2.0</v>
      </c>
      <c r="T37" s="36"/>
      <c r="U37" s="118">
        <v>0.0</v>
      </c>
      <c r="V37" s="36"/>
      <c r="W37" s="118">
        <v>0.0</v>
      </c>
      <c r="X37" s="36"/>
      <c r="Y37" s="19">
        <f t="shared" ref="Y37:Z37" si="44">((M37+O37+Q37+S37)/4)</f>
        <v>1</v>
      </c>
      <c r="Z37" s="19">
        <f t="shared" si="44"/>
        <v>0</v>
      </c>
      <c r="AA37" s="19">
        <f t="shared" si="3"/>
        <v>1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18">
        <v>0.0</v>
      </c>
      <c r="N38" s="19">
        <f>M38/C7*10000</f>
        <v>0</v>
      </c>
      <c r="O38" s="184">
        <v>3.0</v>
      </c>
      <c r="P38" s="19">
        <f>O38/E7*10000</f>
        <v>1.207049167</v>
      </c>
      <c r="Q38" s="184">
        <v>0.0</v>
      </c>
      <c r="R38" s="19">
        <f>Q38/E7*10000</f>
        <v>0</v>
      </c>
      <c r="S38" s="184">
        <v>0.0</v>
      </c>
      <c r="T38" s="19">
        <f>S38/F7*10000</f>
        <v>0</v>
      </c>
      <c r="U38" s="118">
        <v>1.0</v>
      </c>
      <c r="V38" s="19">
        <f>U38/G7*10000</f>
        <v>0.3772873043</v>
      </c>
      <c r="W38" s="118">
        <v>0.0</v>
      </c>
      <c r="X38" s="19">
        <f>W38/H7*10000</f>
        <v>0</v>
      </c>
      <c r="Y38" s="19">
        <f t="shared" ref="Y38:Z38" si="45">((M38+O38+Q38+S38)/4)</f>
        <v>0.75</v>
      </c>
      <c r="Z38" s="19">
        <f t="shared" si="45"/>
        <v>0.3017622918</v>
      </c>
      <c r="AA38" s="19">
        <f t="shared" si="3"/>
        <v>0.5</v>
      </c>
      <c r="AB38" s="19">
        <f t="shared" si="4"/>
        <v>0.1886436521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18">
        <v>13.0</v>
      </c>
      <c r="N39" s="19">
        <f>M39/C17*10000</f>
        <v>18.62997994</v>
      </c>
      <c r="O39" s="184">
        <v>30.0</v>
      </c>
      <c r="P39" s="19">
        <f>O39/D17*10000</f>
        <v>42.69247189</v>
      </c>
      <c r="Q39" s="184">
        <v>29.0</v>
      </c>
      <c r="R39" s="19">
        <f>Q39/E17*100000</f>
        <v>407.7042036</v>
      </c>
      <c r="S39" s="184">
        <v>47.0</v>
      </c>
      <c r="T39" s="19">
        <f>S39/F17*100000</f>
        <v>651.6012755</v>
      </c>
      <c r="U39" s="17"/>
      <c r="V39" s="19">
        <f>U39/G17*100000</f>
        <v>0</v>
      </c>
      <c r="W39" s="17"/>
      <c r="X39" s="19">
        <f>W39/H17*100000</f>
        <v>0</v>
      </c>
      <c r="Y39" s="19">
        <f t="shared" ref="Y39:Z39" si="46">((M39+O39+Q39+S39)/4)</f>
        <v>29.75</v>
      </c>
      <c r="Z39" s="19">
        <f t="shared" si="46"/>
        <v>280.1569827</v>
      </c>
      <c r="AA39" s="19">
        <f t="shared" si="3"/>
        <v>23.5</v>
      </c>
      <c r="AB39" s="19">
        <f t="shared" si="4"/>
        <v>0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18">
        <v>6.0</v>
      </c>
      <c r="N40" s="19">
        <f>M40/C7*100000</f>
        <v>25.61147394</v>
      </c>
      <c r="O40" s="184">
        <v>13.0</v>
      </c>
      <c r="P40" s="19">
        <f>O40/D7*100000</f>
        <v>53.94414706</v>
      </c>
      <c r="Q40" s="184">
        <v>13.0</v>
      </c>
      <c r="R40" s="19">
        <f>Q40/E7*100000</f>
        <v>52.30546391</v>
      </c>
      <c r="S40" s="184">
        <v>32.0</v>
      </c>
      <c r="T40" s="19">
        <f>S40/F7*100000</f>
        <v>124.5523898</v>
      </c>
      <c r="U40" s="17"/>
      <c r="V40" s="19">
        <f>U40/G7*100000</f>
        <v>0</v>
      </c>
      <c r="W40" s="17"/>
      <c r="X40" s="19">
        <f>W40/H7*100000</f>
        <v>0</v>
      </c>
      <c r="Y40" s="19">
        <f t="shared" ref="Y40:Z40" si="47">((M40+O40+Q40+S40)/4)</f>
        <v>16</v>
      </c>
      <c r="Z40" s="19">
        <f t="shared" si="47"/>
        <v>64.10336869</v>
      </c>
      <c r="AA40" s="19">
        <f t="shared" si="3"/>
        <v>16</v>
      </c>
      <c r="AB40" s="19">
        <f t="shared" si="4"/>
        <v>0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24">
        <v>104.0</v>
      </c>
      <c r="N41" s="57">
        <f>M41/C7*10000</f>
        <v>44.3932215</v>
      </c>
      <c r="O41" s="188">
        <v>89.0</v>
      </c>
      <c r="P41" s="57">
        <f>O41/D7*10000</f>
        <v>36.93099299</v>
      </c>
      <c r="Q41" s="188">
        <v>143.0</v>
      </c>
      <c r="R41" s="57">
        <f>Q41/E7*10000</f>
        <v>57.5360103</v>
      </c>
      <c r="S41" s="188">
        <v>139.0</v>
      </c>
      <c r="T41" s="57">
        <f>S41/F7*10000</f>
        <v>54.10244434</v>
      </c>
      <c r="U41" s="124">
        <v>213.0</v>
      </c>
      <c r="V41" s="57">
        <f>U41/G7*10000</f>
        <v>80.36219581</v>
      </c>
      <c r="W41" s="124">
        <v>91.0</v>
      </c>
      <c r="X41" s="57">
        <f>W41/H7*10000</f>
        <v>33.32722945</v>
      </c>
      <c r="Y41" s="19">
        <f t="shared" ref="Y41:Z41" si="48">((M41+O41+Q41+S41)/4)</f>
        <v>118.75</v>
      </c>
      <c r="Z41" s="19">
        <f t="shared" si="48"/>
        <v>48.24066728</v>
      </c>
      <c r="AA41" s="19">
        <f t="shared" si="3"/>
        <v>176</v>
      </c>
      <c r="AB41" s="19">
        <f t="shared" si="4"/>
        <v>56.84471263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24">
        <v>24.0</v>
      </c>
      <c r="N42" s="57">
        <f>M42/C7*10000</f>
        <v>10.24458958</v>
      </c>
      <c r="O42" s="188">
        <v>10.0</v>
      </c>
      <c r="P42" s="57">
        <f>O42/D7*10000</f>
        <v>4.149549774</v>
      </c>
      <c r="Q42" s="188">
        <v>46.0</v>
      </c>
      <c r="R42" s="57">
        <f>Q42/E7*10000</f>
        <v>18.50808723</v>
      </c>
      <c r="S42" s="188">
        <v>28.0</v>
      </c>
      <c r="T42" s="57">
        <f>S42/F7*10000</f>
        <v>10.89833411</v>
      </c>
      <c r="U42" s="124">
        <v>28.0</v>
      </c>
      <c r="V42" s="57">
        <f>U42/G7*10000</f>
        <v>10.56404452</v>
      </c>
      <c r="W42" s="124">
        <v>17.0</v>
      </c>
      <c r="X42" s="57">
        <f>W42/H7*10000</f>
        <v>6.22596594</v>
      </c>
      <c r="Y42" s="19">
        <f t="shared" ref="Y42:Z42" si="49">((M42+O42+Q42+S42)/4)</f>
        <v>27</v>
      </c>
      <c r="Z42" s="19">
        <f t="shared" si="49"/>
        <v>10.95014017</v>
      </c>
      <c r="AA42" s="19">
        <f t="shared" si="3"/>
        <v>28</v>
      </c>
      <c r="AB42" s="19">
        <f t="shared" si="4"/>
        <v>8.39500523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24">
        <v>48.0</v>
      </c>
      <c r="N43" s="57">
        <f>M43/C16*10000</f>
        <v>26.29560644</v>
      </c>
      <c r="O43" s="188">
        <v>63.0</v>
      </c>
      <c r="P43" s="57">
        <f>O43/D16*10000</f>
        <v>33.37217926</v>
      </c>
      <c r="Q43" s="188">
        <v>52.0</v>
      </c>
      <c r="R43" s="57">
        <f>Q43/E16*100000</f>
        <v>265.9302445</v>
      </c>
      <c r="S43" s="188">
        <v>42.0</v>
      </c>
      <c r="T43" s="57">
        <f>S43/F16*100000</f>
        <v>206.855792</v>
      </c>
      <c r="U43" s="56"/>
      <c r="V43" s="57">
        <f>U43/G16*100000</f>
        <v>0</v>
      </c>
      <c r="W43" s="56"/>
      <c r="X43" s="57">
        <f>W43/H16*100000</f>
        <v>0</v>
      </c>
      <c r="Y43" s="19">
        <f t="shared" ref="Y43:Z43" si="50">((M43+O43+Q43+S43)/4)</f>
        <v>51.25</v>
      </c>
      <c r="Z43" s="19">
        <f t="shared" si="50"/>
        <v>133.1134555</v>
      </c>
      <c r="AA43" s="19">
        <f t="shared" si="3"/>
        <v>21</v>
      </c>
      <c r="AB43" s="19">
        <f t="shared" si="4"/>
        <v>0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0.0</v>
      </c>
      <c r="N44" s="57">
        <f>M44/C7*100000</f>
        <v>0</v>
      </c>
      <c r="O44" s="118">
        <v>44.0</v>
      </c>
      <c r="P44" s="57">
        <f>O44/D7*100000</f>
        <v>182.58019</v>
      </c>
      <c r="Q44" s="118">
        <v>38.0</v>
      </c>
      <c r="R44" s="19">
        <f>Q44/E7*100000</f>
        <v>152.8928945</v>
      </c>
      <c r="S44" s="118">
        <v>131.0</v>
      </c>
      <c r="T44" s="19">
        <f>S44/F7*100000</f>
        <v>509.8863459</v>
      </c>
      <c r="U44" s="17"/>
      <c r="V44" s="19">
        <f>U44/G7*100000</f>
        <v>0</v>
      </c>
      <c r="W44" s="17"/>
      <c r="X44" s="19">
        <f>W44/H7*100000</f>
        <v>0</v>
      </c>
      <c r="Y44" s="19">
        <f t="shared" ref="Y44:Z44" si="51">((M44+O44+Q44+S44)/4)</f>
        <v>53.25</v>
      </c>
      <c r="Z44" s="19">
        <f t="shared" si="51"/>
        <v>211.3398576</v>
      </c>
      <c r="AA44" s="19">
        <f t="shared" si="3"/>
        <v>65.5</v>
      </c>
      <c r="AB44" s="19">
        <f t="shared" si="4"/>
        <v>0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127">
        <v>0.0</v>
      </c>
      <c r="N45" s="57">
        <f>M45/M4*100</f>
        <v>0</v>
      </c>
      <c r="O45" s="118">
        <v>243.0</v>
      </c>
      <c r="P45" s="57">
        <f>O45/O4*100</f>
        <v>98.7804878</v>
      </c>
      <c r="Q45" s="118">
        <v>284.0</v>
      </c>
      <c r="R45" s="19">
        <f>Q45/Q4*100</f>
        <v>99.3006993</v>
      </c>
      <c r="S45" s="17"/>
      <c r="T45" s="19">
        <f>S45/S4*100</f>
        <v>0</v>
      </c>
      <c r="U45" s="17"/>
      <c r="V45" s="19">
        <f>U45/U4*100</f>
        <v>0</v>
      </c>
      <c r="W45" s="17"/>
      <c r="X45" s="19" t="str">
        <f>W45/W4*100</f>
        <v>#DIV/0!</v>
      </c>
      <c r="Y45" s="19">
        <f t="shared" ref="Y45:Z45" si="52">((M45+O45+Q45+S45)/4)</f>
        <v>131.75</v>
      </c>
      <c r="Z45" s="19">
        <f t="shared" si="52"/>
        <v>49.52029678</v>
      </c>
      <c r="AA45" s="19">
        <f t="shared" si="3"/>
        <v>0</v>
      </c>
      <c r="AB45" s="19" t="str">
        <f t="shared" si="4"/>
        <v>#DIV/0!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127">
        <v>0.0</v>
      </c>
      <c r="N46" s="57">
        <f>M46/M4*100</f>
        <v>0</v>
      </c>
      <c r="O46" s="118">
        <v>219.0</v>
      </c>
      <c r="P46" s="57">
        <f>O46/O4*100</f>
        <v>89.02439024</v>
      </c>
      <c r="Q46" s="118">
        <v>261.0</v>
      </c>
      <c r="R46" s="19">
        <f>Q46/Q4*100</f>
        <v>91.25874126</v>
      </c>
      <c r="S46" s="17"/>
      <c r="T46" s="19">
        <f>S46/S4*100</f>
        <v>0</v>
      </c>
      <c r="U46" s="17"/>
      <c r="V46" s="19">
        <f>U46/U4*100</f>
        <v>0</v>
      </c>
      <c r="W46" s="17"/>
      <c r="X46" s="19" t="str">
        <f>W46/W4*100</f>
        <v>#DIV/0!</v>
      </c>
      <c r="Y46" s="19">
        <f t="shared" ref="Y46:Z46" si="53">((M46+O46+Q46+S46)/4)</f>
        <v>120</v>
      </c>
      <c r="Z46" s="19">
        <f t="shared" si="53"/>
        <v>45.07078288</v>
      </c>
      <c r="AA46" s="19">
        <f t="shared" si="3"/>
        <v>0</v>
      </c>
      <c r="AB46" s="19" t="str">
        <f t="shared" si="4"/>
        <v>#DIV/0!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127">
        <v>0.0</v>
      </c>
      <c r="N47" s="19">
        <f>M47/C7*100000</f>
        <v>0</v>
      </c>
      <c r="O47" s="20"/>
      <c r="P47" s="19">
        <f>O47/D7*100000</f>
        <v>0</v>
      </c>
      <c r="Q47" s="20"/>
      <c r="R47" s="19">
        <f>Q47/E7*100000</f>
        <v>0</v>
      </c>
      <c r="S47" s="17"/>
      <c r="T47" s="19">
        <f>S47/F7*100000</f>
        <v>0</v>
      </c>
      <c r="U47" s="118">
        <v>4.0</v>
      </c>
      <c r="V47" s="19">
        <f>U47/G7*100000</f>
        <v>15.09149217</v>
      </c>
      <c r="W47" s="118">
        <v>6.0</v>
      </c>
      <c r="X47" s="19">
        <f>W47/H7*100000</f>
        <v>21.97399744</v>
      </c>
      <c r="Y47" s="19">
        <f t="shared" ref="Y47:Z47" si="54">((M47+O47+Q47+S47)/4)</f>
        <v>0</v>
      </c>
      <c r="Z47" s="19">
        <f t="shared" si="54"/>
        <v>0</v>
      </c>
      <c r="AA47" s="19">
        <f t="shared" si="3"/>
        <v>2</v>
      </c>
      <c r="AB47" s="19">
        <f t="shared" si="4"/>
        <v>18.5327448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127">
        <v>0.0</v>
      </c>
      <c r="N48" s="19">
        <f>M48/C7*100000</f>
        <v>0</v>
      </c>
      <c r="O48" s="118">
        <v>6.0</v>
      </c>
      <c r="P48" s="19">
        <f>O48/D7*100000</f>
        <v>24.89729864</v>
      </c>
      <c r="Q48" s="129">
        <v>8.0</v>
      </c>
      <c r="R48" s="19">
        <f>Q48/E7*100000</f>
        <v>32.18797779</v>
      </c>
      <c r="S48" s="17"/>
      <c r="T48" s="19">
        <f>S48/F7*100000</f>
        <v>0</v>
      </c>
      <c r="U48" s="17"/>
      <c r="V48" s="19">
        <f>U48/G7*100000</f>
        <v>0</v>
      </c>
      <c r="W48" s="17"/>
      <c r="X48" s="19">
        <f>W48/H7*100000</f>
        <v>0</v>
      </c>
      <c r="Y48" s="19">
        <f t="shared" ref="Y48:Z48" si="55">((M48+O48+Q48+S48)/4)</f>
        <v>3.5</v>
      </c>
      <c r="Z48" s="19">
        <f t="shared" si="55"/>
        <v>14.27131911</v>
      </c>
      <c r="AA48" s="19">
        <f t="shared" si="3"/>
        <v>0</v>
      </c>
      <c r="AB48" s="19">
        <f t="shared" si="4"/>
        <v>0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27">
        <v>0.0</v>
      </c>
      <c r="N49" s="19">
        <f>M49/C7*100000</f>
        <v>0</v>
      </c>
      <c r="O49" s="118">
        <v>4.0</v>
      </c>
      <c r="P49" s="19">
        <f>O49/D7*100000</f>
        <v>16.5981991</v>
      </c>
      <c r="Q49" s="129">
        <v>5.0</v>
      </c>
      <c r="R49" s="19">
        <f>Q49/E7*100000</f>
        <v>20.11748612</v>
      </c>
      <c r="S49" s="17"/>
      <c r="T49" s="19">
        <f>S49/F7*100000</f>
        <v>0</v>
      </c>
      <c r="U49" s="17"/>
      <c r="V49" s="19">
        <f>U49/G7*100000</f>
        <v>0</v>
      </c>
      <c r="W49" s="17"/>
      <c r="X49" s="19">
        <f>W49/H7*100000</f>
        <v>0</v>
      </c>
      <c r="Y49" s="19">
        <f t="shared" ref="Y49:Z49" si="56">((M49+O49+Q49+S49)/4)</f>
        <v>2.25</v>
      </c>
      <c r="Z49" s="19">
        <f t="shared" si="56"/>
        <v>9.178921304</v>
      </c>
      <c r="AA49" s="19">
        <f t="shared" si="3"/>
        <v>0</v>
      </c>
      <c r="AB49" s="19">
        <f t="shared" si="4"/>
        <v>0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127">
        <v>0.0</v>
      </c>
      <c r="N50" s="19">
        <f>M50/C7*100000</f>
        <v>0</v>
      </c>
      <c r="O50" s="20"/>
      <c r="P50" s="19">
        <f>O50/D7*100000</f>
        <v>0</v>
      </c>
      <c r="Q50" s="20"/>
      <c r="R50" s="19">
        <f>Q50/E7*100000</f>
        <v>0</v>
      </c>
      <c r="S50" s="17"/>
      <c r="T50" s="19">
        <f>S50/F7*100000</f>
        <v>0</v>
      </c>
      <c r="U50" s="118">
        <v>4.0</v>
      </c>
      <c r="V50" s="19">
        <f>U50/G7*100000</f>
        <v>15.09149217</v>
      </c>
      <c r="W50" s="118">
        <v>2.0</v>
      </c>
      <c r="X50" s="19">
        <f>W50/H7*100000</f>
        <v>7.324665812</v>
      </c>
      <c r="Y50" s="19">
        <f t="shared" ref="Y50:Z50" si="57">((M50+O50+Q50+S50)/4)</f>
        <v>0</v>
      </c>
      <c r="Z50" s="19">
        <f t="shared" si="57"/>
        <v>0</v>
      </c>
      <c r="AA50" s="19">
        <f t="shared" si="3"/>
        <v>2</v>
      </c>
      <c r="AB50" s="19">
        <f t="shared" si="4"/>
        <v>11.20807899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27">
        <v>0.0</v>
      </c>
      <c r="N51" s="19">
        <f>M51/C7*100000</f>
        <v>0</v>
      </c>
      <c r="O51" s="20"/>
      <c r="P51" s="19">
        <f>O51/D7*100000</f>
        <v>0</v>
      </c>
      <c r="Q51" s="20"/>
      <c r="R51" s="19">
        <f>Q51/E7*100000</f>
        <v>0</v>
      </c>
      <c r="S51" s="17"/>
      <c r="T51" s="19">
        <f>S51/F7*100000</f>
        <v>0</v>
      </c>
      <c r="U51" s="118">
        <v>0.0</v>
      </c>
      <c r="V51" s="19">
        <f>U51/G7*100000</f>
        <v>0</v>
      </c>
      <c r="W51" s="118">
        <v>0.0</v>
      </c>
      <c r="X51" s="19">
        <f>W51/H7*100000</f>
        <v>0</v>
      </c>
      <c r="Y51" s="19">
        <f t="shared" ref="Y51:Z51" si="58">((M51+O51+Q51+S51)/4)</f>
        <v>0</v>
      </c>
      <c r="Z51" s="19">
        <f t="shared" si="58"/>
        <v>0</v>
      </c>
      <c r="AA51" s="19">
        <f t="shared" si="3"/>
        <v>0</v>
      </c>
      <c r="AB51" s="19">
        <f t="shared" si="4"/>
        <v>0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27">
        <v>0.0</v>
      </c>
      <c r="N52" s="19">
        <f>M52/C7*100000</f>
        <v>0</v>
      </c>
      <c r="O52" s="129">
        <v>1.0</v>
      </c>
      <c r="P52" s="19">
        <f>O52/D7*100000</f>
        <v>4.149549774</v>
      </c>
      <c r="Q52" s="129">
        <v>3.0</v>
      </c>
      <c r="R52" s="19">
        <f>Q52/E7*100000</f>
        <v>12.07049167</v>
      </c>
      <c r="S52" s="17"/>
      <c r="T52" s="19">
        <f>S52/F7*100000</f>
        <v>0</v>
      </c>
      <c r="U52" s="118">
        <v>2.0</v>
      </c>
      <c r="V52" s="19">
        <f>U52/G7*100000</f>
        <v>7.545746086</v>
      </c>
      <c r="W52" s="118">
        <v>3.0</v>
      </c>
      <c r="X52" s="19">
        <f>W52/H7*100000</f>
        <v>10.98699872</v>
      </c>
      <c r="Y52" s="19">
        <f t="shared" ref="Y52:Z52" si="59">((M52+O52+Q52+S52)/4)</f>
        <v>1</v>
      </c>
      <c r="Z52" s="19">
        <f t="shared" si="59"/>
        <v>4.055010361</v>
      </c>
      <c r="AA52" s="19">
        <f t="shared" si="3"/>
        <v>1</v>
      </c>
      <c r="AB52" s="19">
        <f t="shared" si="4"/>
        <v>9.266372402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127">
        <v>0.0</v>
      </c>
      <c r="N53" s="19">
        <f>M53/C17*100000</f>
        <v>0</v>
      </c>
      <c r="O53" s="20"/>
      <c r="P53" s="19">
        <f>O53/D17*100000</f>
        <v>0</v>
      </c>
      <c r="Q53" s="20"/>
      <c r="R53" s="19">
        <f>Q53/E17*100000</f>
        <v>0</v>
      </c>
      <c r="S53" s="17"/>
      <c r="T53" s="19">
        <f>S53/F17*100000</f>
        <v>0</v>
      </c>
      <c r="U53" s="118">
        <v>0.0</v>
      </c>
      <c r="V53" s="19">
        <f>U53/G17*100000</f>
        <v>0</v>
      </c>
      <c r="W53" s="118">
        <v>0.0</v>
      </c>
      <c r="X53" s="19">
        <f>W53/H17*100000</f>
        <v>0</v>
      </c>
      <c r="Y53" s="19">
        <f t="shared" ref="Y53:Z53" si="60">((M53+O53+Q53+S53)/4)</f>
        <v>0</v>
      </c>
      <c r="Z53" s="19">
        <f t="shared" si="60"/>
        <v>0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127">
        <v>0.0</v>
      </c>
      <c r="N54" s="19">
        <f>M54/C19*100000</f>
        <v>0</v>
      </c>
      <c r="O54" s="20"/>
      <c r="P54" s="19">
        <f>O54/D19*100000</f>
        <v>0</v>
      </c>
      <c r="Q54" s="20"/>
      <c r="R54" s="19">
        <f>Q54/E19*100000</f>
        <v>0</v>
      </c>
      <c r="S54" s="17"/>
      <c r="T54" s="19">
        <f>S54/F19*100000</f>
        <v>0</v>
      </c>
      <c r="U54" s="17"/>
      <c r="V54" s="19">
        <f>U54/G19*100000</f>
        <v>0</v>
      </c>
      <c r="W54" s="17"/>
      <c r="X54" s="19">
        <f>W54/H19*100000</f>
        <v>0</v>
      </c>
      <c r="Y54" s="19">
        <f t="shared" ref="Y54:Z54" si="61">((M54+O54+Q54+S54)/4)</f>
        <v>0</v>
      </c>
      <c r="Z54" s="19">
        <f t="shared" si="61"/>
        <v>0</v>
      </c>
      <c r="AA54" s="19">
        <f t="shared" si="3"/>
        <v>0</v>
      </c>
      <c r="AB54" s="19">
        <f t="shared" si="4"/>
        <v>0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127">
        <v>0.0</v>
      </c>
      <c r="N55" s="19">
        <f>M55/C19*100000</f>
        <v>0</v>
      </c>
      <c r="O55" s="20"/>
      <c r="P55" s="19">
        <f>O55/D19*100000</f>
        <v>0</v>
      </c>
      <c r="Q55" s="20"/>
      <c r="R55" s="19">
        <f>Q55/E19*100000</f>
        <v>0</v>
      </c>
      <c r="S55" s="17"/>
      <c r="T55" s="19">
        <f>S55/F19*100000</f>
        <v>0</v>
      </c>
      <c r="U55" s="17"/>
      <c r="V55" s="19">
        <f>U55/G19*100000</f>
        <v>0</v>
      </c>
      <c r="W55" s="17"/>
      <c r="X55" s="19">
        <f>W55/H19*100000</f>
        <v>0</v>
      </c>
      <c r="Y55" s="19">
        <f t="shared" ref="Y55:Z55" si="62">((M55+O55+Q55+S55)/4)</f>
        <v>0</v>
      </c>
      <c r="Z55" s="19">
        <f t="shared" si="62"/>
        <v>0</v>
      </c>
      <c r="AA55" s="19">
        <f t="shared" si="3"/>
        <v>0</v>
      </c>
      <c r="AB55" s="19">
        <f t="shared" si="4"/>
        <v>0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27">
        <v>0.0</v>
      </c>
      <c r="N56" s="19">
        <f>M56/C7*100000</f>
        <v>0</v>
      </c>
      <c r="O56" s="20"/>
      <c r="P56" s="19">
        <f>O56/D7*100000</f>
        <v>0</v>
      </c>
      <c r="Q56" s="20"/>
      <c r="R56" s="19">
        <f>Q56/E7*100000</f>
        <v>0</v>
      </c>
      <c r="S56" s="17"/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27">
        <v>0.0</v>
      </c>
      <c r="N57" s="19">
        <f>M57/M4*100000</f>
        <v>0</v>
      </c>
      <c r="O57" s="20"/>
      <c r="P57" s="19">
        <f>O57/O4*100000</f>
        <v>0</v>
      </c>
      <c r="Q57" s="20"/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 t="str">
        <f>W57/W4*100000</f>
        <v>#DIV/0!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 t="str">
        <f t="shared" si="4"/>
        <v>#DIV/0!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127">
        <v>0.0</v>
      </c>
      <c r="N58" s="57">
        <f>M58/C7*100000</f>
        <v>0</v>
      </c>
      <c r="O58" s="127">
        <v>11.0</v>
      </c>
      <c r="P58" s="57">
        <f>O58/D7*100000</f>
        <v>45.64504751</v>
      </c>
      <c r="Q58" s="127">
        <v>20.0</v>
      </c>
      <c r="R58" s="57">
        <f>Q58/E7*100000</f>
        <v>80.46994448</v>
      </c>
      <c r="S58" s="56"/>
      <c r="T58" s="57">
        <f>S58/F7*100000</f>
        <v>0</v>
      </c>
      <c r="U58" s="56"/>
      <c r="V58" s="57">
        <f>U58/G7*100000</f>
        <v>0</v>
      </c>
      <c r="W58" s="56"/>
      <c r="X58" s="57">
        <f>W58/H7*100000</f>
        <v>0</v>
      </c>
      <c r="Y58" s="19">
        <f t="shared" ref="Y58:Z58" si="65">((M58+O58+Q58+S58)/4)</f>
        <v>7.75</v>
      </c>
      <c r="Z58" s="19">
        <f t="shared" si="65"/>
        <v>31.528748</v>
      </c>
      <c r="AA58" s="19">
        <f t="shared" si="3"/>
        <v>0</v>
      </c>
      <c r="AB58" s="19">
        <f t="shared" si="4"/>
        <v>0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127">
        <v>0.0</v>
      </c>
      <c r="N59" s="57">
        <f>M59/C7*100000</f>
        <v>0</v>
      </c>
      <c r="O59" s="86"/>
      <c r="P59" s="57">
        <f>O59/D7*100000</f>
        <v>0</v>
      </c>
      <c r="Q59" s="86"/>
      <c r="R59" s="57">
        <f>Q59/E7*100000</f>
        <v>0</v>
      </c>
      <c r="S59" s="97"/>
      <c r="T59" s="98">
        <f>S59/F7*100000</f>
        <v>0</v>
      </c>
      <c r="U59" s="97"/>
      <c r="V59" s="98">
        <f>U59/G7*100000</f>
        <v>0</v>
      </c>
      <c r="W59" s="97"/>
      <c r="X59" s="98">
        <f>W59/H7*100000</f>
        <v>0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>
        <f t="shared" si="4"/>
        <v>0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127">
        <v>0.0</v>
      </c>
      <c r="N60" s="57">
        <f>M60/C17*100000</f>
        <v>0</v>
      </c>
      <c r="O60" s="86"/>
      <c r="P60" s="57">
        <f>O60/D17*100000</f>
        <v>0</v>
      </c>
      <c r="Q60" s="86"/>
      <c r="R60" s="57">
        <f>Q60/E17*100000</f>
        <v>0</v>
      </c>
      <c r="S60" s="124">
        <v>0.0</v>
      </c>
      <c r="T60" s="57">
        <f>S60/F17*100000</f>
        <v>0</v>
      </c>
      <c r="U60" s="124">
        <v>1.0</v>
      </c>
      <c r="V60" s="57">
        <f>U60/G17*100000</f>
        <v>13.64442625</v>
      </c>
      <c r="W60" s="124">
        <v>0.0</v>
      </c>
      <c r="X60" s="57">
        <f>W60/H17*100000</f>
        <v>0</v>
      </c>
      <c r="Y60" s="99">
        <f>((M60+O60+Q60+S60)/4)</f>
        <v>0</v>
      </c>
      <c r="Z60" s="99">
        <f>((N60+P60+R60+T60)/1)</f>
        <v>0</v>
      </c>
      <c r="AA60" s="19">
        <f t="shared" si="3"/>
        <v>0.5</v>
      </c>
      <c r="AB60" s="19">
        <f t="shared" si="4"/>
        <v>6.822213126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127">
        <v>0.0</v>
      </c>
      <c r="N61" s="57">
        <f>M61/C15*1000</f>
        <v>0</v>
      </c>
      <c r="O61" s="86"/>
      <c r="P61" s="57">
        <f>O61/D15*1000</f>
        <v>0</v>
      </c>
      <c r="Q61" s="86"/>
      <c r="R61" s="57">
        <f>Q61/E15*1000</f>
        <v>0</v>
      </c>
      <c r="S61" s="56"/>
      <c r="T61" s="57">
        <f>S61/F15*1000</f>
        <v>0</v>
      </c>
      <c r="U61" s="56"/>
      <c r="V61" s="57">
        <f>U61/G15*1000</f>
        <v>0</v>
      </c>
      <c r="W61" s="56"/>
      <c r="X61" s="57">
        <f>W61/H23*1000</f>
        <v>0</v>
      </c>
      <c r="Y61" s="99">
        <f t="shared" ref="Y61:Z61" si="67">((M61+O61+Q61+S61)/1)</f>
        <v>0</v>
      </c>
      <c r="Z61" s="99">
        <f t="shared" si="67"/>
        <v>0</v>
      </c>
      <c r="AA61" s="19">
        <f t="shared" si="3"/>
        <v>0</v>
      </c>
      <c r="AB61" s="19">
        <f t="shared" si="4"/>
        <v>0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127">
        <v>0.0</v>
      </c>
      <c r="N62" s="57">
        <f>M62/C15*1000</f>
        <v>0</v>
      </c>
      <c r="O62" s="86"/>
      <c r="P62" s="57">
        <f>O62/D15*1000</f>
        <v>0</v>
      </c>
      <c r="Q62" s="86"/>
      <c r="R62" s="57">
        <f>Q62/E15*1000</f>
        <v>0</v>
      </c>
      <c r="S62" s="56"/>
      <c r="T62" s="57">
        <f>S62/F15*1000</f>
        <v>0</v>
      </c>
      <c r="U62" s="56"/>
      <c r="V62" s="57">
        <f>U62/G15*1000</f>
        <v>0</v>
      </c>
      <c r="W62" s="56"/>
      <c r="X62" s="57">
        <f>W62/H15*1000</f>
        <v>0</v>
      </c>
      <c r="Y62" s="99">
        <f t="shared" ref="Y62:Z62" si="68">((M62+O62+Q62+S62)/1)</f>
        <v>0</v>
      </c>
      <c r="Z62" s="99">
        <f t="shared" si="68"/>
        <v>0</v>
      </c>
      <c r="AA62" s="19">
        <f t="shared" si="3"/>
        <v>0</v>
      </c>
      <c r="AB62" s="19">
        <f t="shared" si="4"/>
        <v>0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127">
        <v>0.0</v>
      </c>
      <c r="N63" s="57">
        <f>M63/C17*100000</f>
        <v>0</v>
      </c>
      <c r="O63" s="86"/>
      <c r="P63" s="57">
        <f>O63/D17*100000</f>
        <v>0</v>
      </c>
      <c r="Q63" s="86"/>
      <c r="R63" s="57">
        <f>Q63/E17*100000</f>
        <v>0</v>
      </c>
      <c r="S63" s="56"/>
      <c r="T63" s="57">
        <f>S63/F17*100000</f>
        <v>0</v>
      </c>
      <c r="U63" s="56"/>
      <c r="V63" s="57">
        <f>U63/G17*100000</f>
        <v>0</v>
      </c>
      <c r="W63" s="56"/>
      <c r="X63" s="57">
        <f>W63/H17*100000</f>
        <v>0</v>
      </c>
      <c r="Y63" s="99">
        <f t="shared" ref="Y63:Z63" si="69">((M63+O63+Q63+S63)/1)</f>
        <v>0</v>
      </c>
      <c r="Z63" s="99">
        <f t="shared" si="69"/>
        <v>0</v>
      </c>
      <c r="AA63" s="19">
        <f t="shared" si="3"/>
        <v>0</v>
      </c>
      <c r="AB63" s="19">
        <f t="shared" si="4"/>
        <v>0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127">
        <v>0.0</v>
      </c>
      <c r="N64" s="57">
        <f>M64/C17*100000</f>
        <v>0</v>
      </c>
      <c r="O64" s="86"/>
      <c r="P64" s="57">
        <f>O64/D17*100000</f>
        <v>0</v>
      </c>
      <c r="Q64" s="86"/>
      <c r="R64" s="57">
        <f>Q64/E17*100000</f>
        <v>0</v>
      </c>
      <c r="S64" s="56"/>
      <c r="T64" s="57">
        <f>S64/F17*100000</f>
        <v>0</v>
      </c>
      <c r="U64" s="57"/>
      <c r="V64" s="57">
        <f>U64/G17*100000</f>
        <v>0</v>
      </c>
      <c r="W64" s="56"/>
      <c r="X64" s="57">
        <f>W64/H17*100000</f>
        <v>0</v>
      </c>
      <c r="Y64" s="99">
        <f t="shared" ref="Y64:Z64" si="70">((M64+O64+Q64+S64)/1)</f>
        <v>0</v>
      </c>
      <c r="Z64" s="99">
        <f t="shared" si="70"/>
        <v>0</v>
      </c>
      <c r="AA64" s="19">
        <f t="shared" si="3"/>
        <v>0</v>
      </c>
      <c r="AB64" s="19">
        <f t="shared" si="4"/>
        <v>0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127">
        <v>0.0</v>
      </c>
      <c r="N65" s="57">
        <f>M65/C17*100000</f>
        <v>0</v>
      </c>
      <c r="O65" s="86"/>
      <c r="P65" s="57">
        <f>O65/D17*100000</f>
        <v>0</v>
      </c>
      <c r="Q65" s="86"/>
      <c r="R65" s="57">
        <f>Q65/E17*100000</f>
        <v>0</v>
      </c>
      <c r="S65" s="86"/>
      <c r="T65" s="57">
        <f>S65/F17*100000</f>
        <v>0</v>
      </c>
      <c r="U65" s="86"/>
      <c r="V65" s="57">
        <f>U65/G17*100000</f>
        <v>0</v>
      </c>
      <c r="W65" s="56"/>
      <c r="X65" s="57">
        <f>W65/H17*100000</f>
        <v>0</v>
      </c>
      <c r="Y65" s="99">
        <f t="shared" ref="Y65:Z65" si="71">((M65+O65+Q65+S65)/1)</f>
        <v>0</v>
      </c>
      <c r="Z65" s="99">
        <f t="shared" si="71"/>
        <v>0</v>
      </c>
      <c r="AA65" s="19">
        <f t="shared" si="3"/>
        <v>0</v>
      </c>
      <c r="AB65" s="19">
        <f t="shared" si="4"/>
        <v>0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127">
        <v>0.0</v>
      </c>
      <c r="N66" s="57">
        <f>M66/C17*100000</f>
        <v>0</v>
      </c>
      <c r="O66" s="86"/>
      <c r="P66" s="57">
        <f>O66/D17*100000</f>
        <v>0</v>
      </c>
      <c r="Q66" s="86"/>
      <c r="R66" s="57">
        <f>Q66/E17*100000</f>
        <v>0</v>
      </c>
      <c r="S66" s="86"/>
      <c r="T66" s="57">
        <f>S66/F17*100000</f>
        <v>0</v>
      </c>
      <c r="U66" s="86"/>
      <c r="V66" s="57">
        <f>U66/G17*100000</f>
        <v>0</v>
      </c>
      <c r="W66" s="56"/>
      <c r="X66" s="57">
        <f>W66/H17*100000</f>
        <v>0</v>
      </c>
      <c r="Y66" s="99">
        <f t="shared" ref="Y66:Z66" si="72">((M66+O66+Q66+S66)/1)</f>
        <v>0</v>
      </c>
      <c r="Z66" s="99">
        <f t="shared" si="72"/>
        <v>0</v>
      </c>
      <c r="AA66" s="19">
        <f t="shared" si="3"/>
        <v>0</v>
      </c>
      <c r="AB66" s="19">
        <f t="shared" si="4"/>
        <v>0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127">
        <v>0.0</v>
      </c>
      <c r="N67" s="57">
        <f>M67/C17*100000</f>
        <v>0</v>
      </c>
      <c r="O67" s="86"/>
      <c r="P67" s="57">
        <f>O67/D17*100000</f>
        <v>0</v>
      </c>
      <c r="Q67" s="86"/>
      <c r="R67" s="57">
        <f>Q67/E17*100000</f>
        <v>0</v>
      </c>
      <c r="S67" s="86"/>
      <c r="T67" s="57">
        <f>S67/F17*100000</f>
        <v>0</v>
      </c>
      <c r="U67" s="86"/>
      <c r="V67" s="57">
        <f>U67/G17*100000</f>
        <v>0</v>
      </c>
      <c r="W67" s="56"/>
      <c r="X67" s="57">
        <f>W67/H17*100000</f>
        <v>0</v>
      </c>
      <c r="Y67" s="99">
        <f t="shared" ref="Y67:Z67" si="73">((M67+O67+Q67+S67)/1)</f>
        <v>0</v>
      </c>
      <c r="Z67" s="99">
        <f t="shared" si="73"/>
        <v>0</v>
      </c>
      <c r="AA67" s="19">
        <f t="shared" si="3"/>
        <v>0</v>
      </c>
      <c r="AB67" s="19">
        <f t="shared" si="4"/>
        <v>0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127">
        <v>0.0</v>
      </c>
      <c r="N68" s="57">
        <f>M68/C11*100000</f>
        <v>0</v>
      </c>
      <c r="O68" s="86"/>
      <c r="P68" s="57">
        <f>O68/D11*100000</f>
        <v>0</v>
      </c>
      <c r="Q68" s="86"/>
      <c r="R68" s="57">
        <f>Q68/E11*100000</f>
        <v>0</v>
      </c>
      <c r="S68" s="86"/>
      <c r="T68" s="57">
        <f>S68/F11*100000</f>
        <v>0</v>
      </c>
      <c r="U68" s="86"/>
      <c r="V68" s="57">
        <f>U68/G11*100000</f>
        <v>0</v>
      </c>
      <c r="W68" s="56"/>
      <c r="X68" s="57">
        <f>W68/H11*100000</f>
        <v>0</v>
      </c>
      <c r="Y68" s="99">
        <f t="shared" ref="Y68:Z68" si="74">((M68+O68+Q68+S68)/2)</f>
        <v>0</v>
      </c>
      <c r="Z68" s="99">
        <f t="shared" si="74"/>
        <v>0</v>
      </c>
      <c r="AA68" s="19">
        <f t="shared" si="3"/>
        <v>0</v>
      </c>
      <c r="AB68" s="19">
        <f t="shared" si="4"/>
        <v>0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127">
        <v>0.0</v>
      </c>
      <c r="N69" s="57">
        <f>M69/C11*100000</f>
        <v>0</v>
      </c>
      <c r="O69" s="86"/>
      <c r="P69" s="57">
        <f>O69/D11*100000</f>
        <v>0</v>
      </c>
      <c r="Q69" s="86"/>
      <c r="R69" s="57">
        <f>Q69/E11*100000</f>
        <v>0</v>
      </c>
      <c r="S69" s="86"/>
      <c r="T69" s="57">
        <f>S69/F11*100000</f>
        <v>0</v>
      </c>
      <c r="U69" s="86"/>
      <c r="V69" s="57">
        <f>U69/G11*100000</f>
        <v>0</v>
      </c>
      <c r="W69" s="56"/>
      <c r="X69" s="57">
        <f>W69/H11*100000</f>
        <v>0</v>
      </c>
      <c r="Y69" s="19">
        <f t="shared" ref="Y69:Z69" si="75">((M69+O69+Q69+S69)/2)</f>
        <v>0</v>
      </c>
      <c r="Z69" s="19">
        <f t="shared" si="75"/>
        <v>0</v>
      </c>
      <c r="AA69" s="19">
        <f t="shared" si="3"/>
        <v>0</v>
      </c>
      <c r="AB69" s="19">
        <f t="shared" si="4"/>
        <v>0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27">
        <v>0.0</v>
      </c>
      <c r="N70" s="98">
        <f>M70/C7*100000</f>
        <v>0</v>
      </c>
      <c r="O70" s="104"/>
      <c r="P70" s="98">
        <f>O70/D7*100000</f>
        <v>0</v>
      </c>
      <c r="Q70" s="104"/>
      <c r="R70" s="98">
        <f>Q70/E7*100000</f>
        <v>0</v>
      </c>
      <c r="S70" s="104"/>
      <c r="T70" s="98">
        <f>S70/F7*100000</f>
        <v>0</v>
      </c>
      <c r="U70" s="104"/>
      <c r="V70" s="98">
        <f>U70/G7*100000</f>
        <v>0</v>
      </c>
      <c r="W70" s="97"/>
      <c r="X70" s="98">
        <f>W70/H7*100000</f>
        <v>0</v>
      </c>
      <c r="Y70" s="99">
        <f t="shared" ref="Y70:Z70" si="76">((M70+O70+Q70+S70)/1)</f>
        <v>0</v>
      </c>
      <c r="Z70" s="99">
        <f t="shared" si="76"/>
        <v>0</v>
      </c>
      <c r="AA70" s="99">
        <f t="shared" si="3"/>
        <v>0</v>
      </c>
      <c r="AB70" s="99">
        <f t="shared" si="4"/>
        <v>0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30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3.0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2" t="s">
        <v>151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18">
        <v>93.0</v>
      </c>
      <c r="N3" s="19">
        <f>M3/C7*1000</f>
        <v>3.921403272</v>
      </c>
      <c r="O3" s="118">
        <v>162.0</v>
      </c>
      <c r="P3" s="19">
        <f>O3/D7*1000</f>
        <v>6.640977289</v>
      </c>
      <c r="Q3" s="129">
        <v>119.0</v>
      </c>
      <c r="R3" s="19">
        <f>Q3/E7*1000</f>
        <v>4.725972994</v>
      </c>
      <c r="S3" s="118">
        <v>102.0</v>
      </c>
      <c r="T3" s="19">
        <f>S3/F7*1000</f>
        <v>3.921267107</v>
      </c>
      <c r="U3" s="118">
        <v>105.0</v>
      </c>
      <c r="V3" s="19">
        <f>U3/G7*1000</f>
        <v>3.912946262</v>
      </c>
      <c r="W3" s="17"/>
      <c r="X3" s="19">
        <f>W3/H7*1000</f>
        <v>0</v>
      </c>
      <c r="Y3" s="19">
        <f t="shared" ref="Y3:Z3" si="1">((M3+O3+Q3+S3)/4)</f>
        <v>119</v>
      </c>
      <c r="Z3" s="19">
        <f t="shared" si="1"/>
        <v>4.802405166</v>
      </c>
      <c r="AA3" s="19">
        <f t="shared" ref="AA3:AA70" si="3">((S3+U3)/2)</f>
        <v>103.5</v>
      </c>
      <c r="AB3" s="19">
        <f t="shared" ref="AB3:AB70" si="4">(V3+X3)/2</f>
        <v>1.956473131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18">
        <v>241.0</v>
      </c>
      <c r="N4" s="19">
        <f>M4/C7*1000</f>
        <v>10.16191601</v>
      </c>
      <c r="O4" s="118">
        <v>239.0</v>
      </c>
      <c r="P4" s="19">
        <f>O4/D7*1000</f>
        <v>9.797491186</v>
      </c>
      <c r="Q4" s="129">
        <v>258.0</v>
      </c>
      <c r="R4" s="19">
        <f>Q4/E7*1000</f>
        <v>10.24622716</v>
      </c>
      <c r="S4" s="118">
        <v>243.0</v>
      </c>
      <c r="T4" s="19">
        <f>S4/F7*1000</f>
        <v>9.341842227</v>
      </c>
      <c r="U4" s="118">
        <v>218.0</v>
      </c>
      <c r="V4" s="19">
        <f>U4/G7*1000</f>
        <v>8.124021763</v>
      </c>
      <c r="W4" s="17"/>
      <c r="X4" s="19">
        <f>W4/H7*1000</f>
        <v>0</v>
      </c>
      <c r="Y4" s="19">
        <f t="shared" ref="Y4:Z4" si="2">((M4+O4+Q4+S4)/4)</f>
        <v>245.25</v>
      </c>
      <c r="Z4" s="19">
        <f t="shared" si="2"/>
        <v>9.886869146</v>
      </c>
      <c r="AA4" s="19">
        <f t="shared" si="3"/>
        <v>230.5</v>
      </c>
      <c r="AB4" s="19">
        <f t="shared" si="4"/>
        <v>4.062010882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8">
        <v>0.0</v>
      </c>
      <c r="N5" s="19">
        <f>M5/C12*100000</f>
        <v>0</v>
      </c>
      <c r="O5" s="118">
        <v>0.0</v>
      </c>
      <c r="P5" s="19">
        <f>O5/D12*100000</f>
        <v>0</v>
      </c>
      <c r="Q5" s="129">
        <v>0.0</v>
      </c>
      <c r="R5" s="19">
        <f>Q5/E12*100000</f>
        <v>0</v>
      </c>
      <c r="S5" s="118">
        <v>0.0</v>
      </c>
      <c r="T5" s="19">
        <f>S5/F12*100000</f>
        <v>0</v>
      </c>
      <c r="U5" s="118">
        <v>0.0</v>
      </c>
      <c r="V5" s="19">
        <f>U5/G12*100000</f>
        <v>0</v>
      </c>
      <c r="W5" s="118">
        <v>0.0</v>
      </c>
      <c r="X5" s="19">
        <f>W5/H12*100000</f>
        <v>0</v>
      </c>
      <c r="Y5" s="19">
        <f t="shared" ref="Y5:Z5" si="5">((M5+O5+Q5+S5)/4)</f>
        <v>0</v>
      </c>
      <c r="Z5" s="19">
        <f t="shared" si="5"/>
        <v>0</v>
      </c>
      <c r="AA5" s="19">
        <f t="shared" si="3"/>
        <v>0</v>
      </c>
      <c r="AB5" s="19">
        <f t="shared" si="4"/>
        <v>0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8">
        <v>12.0</v>
      </c>
      <c r="N6" s="19">
        <f>M6/M4*1000</f>
        <v>49.79253112</v>
      </c>
      <c r="O6" s="118">
        <v>9.0</v>
      </c>
      <c r="P6" s="19">
        <f>O6/O4*1000</f>
        <v>37.65690377</v>
      </c>
      <c r="Q6" s="129">
        <v>12.0</v>
      </c>
      <c r="R6" s="19">
        <f>Q6/Q4*1000</f>
        <v>46.51162791</v>
      </c>
      <c r="S6" s="118">
        <v>14.0</v>
      </c>
      <c r="T6" s="19">
        <f>S6/S4*1000</f>
        <v>57.61316872</v>
      </c>
      <c r="U6" s="118">
        <v>7.0</v>
      </c>
      <c r="V6" s="19">
        <f>U6/U4*1000</f>
        <v>32.11009174</v>
      </c>
      <c r="W6" s="118">
        <v>4.0</v>
      </c>
      <c r="X6" s="19" t="str">
        <f>W6/W4*1000</f>
        <v>#DIV/0!</v>
      </c>
      <c r="Y6" s="19">
        <f t="shared" ref="Y6:Z6" si="6">((M6+O6+Q6+S6)/4)</f>
        <v>11.75</v>
      </c>
      <c r="Z6" s="19">
        <f t="shared" si="6"/>
        <v>47.89355788</v>
      </c>
      <c r="AA6" s="19">
        <f t="shared" si="3"/>
        <v>10.5</v>
      </c>
      <c r="AB6" s="19" t="str">
        <f t="shared" si="4"/>
        <v>#DIV/0!</v>
      </c>
      <c r="AC6" s="22" t="s">
        <v>28</v>
      </c>
    </row>
    <row r="7" ht="14.25" customHeight="1">
      <c r="A7" s="1"/>
      <c r="B7" s="32" t="s">
        <v>41</v>
      </c>
      <c r="C7" s="189" t="s">
        <v>152</v>
      </c>
      <c r="D7" s="190" t="s">
        <v>153</v>
      </c>
      <c r="E7" s="189" t="s">
        <v>154</v>
      </c>
      <c r="F7" s="191" t="s">
        <v>155</v>
      </c>
      <c r="G7" s="191" t="s">
        <v>156</v>
      </c>
      <c r="H7" s="192" t="s">
        <v>157</v>
      </c>
      <c r="I7" s="1"/>
      <c r="J7" s="1"/>
      <c r="K7" s="1"/>
      <c r="L7" s="15" t="s">
        <v>42</v>
      </c>
      <c r="M7" s="118">
        <v>4.0</v>
      </c>
      <c r="N7" s="36"/>
      <c r="O7" s="118">
        <v>0.0</v>
      </c>
      <c r="P7" s="36"/>
      <c r="Q7" s="129">
        <v>4.0</v>
      </c>
      <c r="R7" s="36"/>
      <c r="S7" s="118">
        <v>2.0</v>
      </c>
      <c r="T7" s="36"/>
      <c r="U7" s="118">
        <v>1.0</v>
      </c>
      <c r="V7" s="36"/>
      <c r="W7" s="118">
        <v>4.0</v>
      </c>
      <c r="X7" s="36"/>
      <c r="Y7" s="36">
        <f t="shared" ref="Y7:Z7" si="7">((M7+O7+Q7+S7)/4)</f>
        <v>2.5</v>
      </c>
      <c r="Z7" s="36">
        <f t="shared" si="7"/>
        <v>0</v>
      </c>
      <c r="AA7" s="36">
        <f t="shared" si="3"/>
        <v>1.5</v>
      </c>
      <c r="AB7" s="36">
        <f t="shared" si="4"/>
        <v>0</v>
      </c>
      <c r="AC7" s="22" t="s">
        <v>43</v>
      </c>
    </row>
    <row r="8" ht="14.25" customHeight="1">
      <c r="A8" s="1"/>
      <c r="B8" s="32" t="s">
        <v>44</v>
      </c>
      <c r="C8" s="191" t="s">
        <v>158</v>
      </c>
      <c r="D8" s="191" t="s">
        <v>159</v>
      </c>
      <c r="E8" s="191" t="s">
        <v>160</v>
      </c>
      <c r="F8" s="191" t="s">
        <v>161</v>
      </c>
      <c r="G8" s="191" t="s">
        <v>162</v>
      </c>
      <c r="H8" s="192" t="s">
        <v>163</v>
      </c>
      <c r="I8" s="1"/>
      <c r="J8" s="1"/>
      <c r="K8" s="1"/>
      <c r="L8" s="15" t="s">
        <v>45</v>
      </c>
      <c r="M8" s="118">
        <v>0.0</v>
      </c>
      <c r="N8" s="19">
        <f>M8/C15*1000</f>
        <v>0</v>
      </c>
      <c r="O8" s="118">
        <v>0.0</v>
      </c>
      <c r="P8" s="19">
        <f>O8/D15*1000</f>
        <v>0</v>
      </c>
      <c r="Q8" s="129">
        <v>0.0</v>
      </c>
      <c r="R8" s="19">
        <f>Q8/E15*1000</f>
        <v>0</v>
      </c>
      <c r="S8" s="118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91" t="s">
        <v>164</v>
      </c>
      <c r="D9" s="191" t="s">
        <v>165</v>
      </c>
      <c r="E9" s="191" t="s">
        <v>166</v>
      </c>
      <c r="F9" s="191" t="s">
        <v>167</v>
      </c>
      <c r="G9" s="191" t="s">
        <v>168</v>
      </c>
      <c r="H9" s="192" t="s">
        <v>169</v>
      </c>
      <c r="I9" s="1"/>
      <c r="J9" s="1"/>
      <c r="K9" s="1"/>
      <c r="L9" s="15" t="s">
        <v>48</v>
      </c>
      <c r="M9" s="118">
        <v>7.0</v>
      </c>
      <c r="N9" s="19">
        <f>M9/C7*100000</f>
        <v>29.51593861</v>
      </c>
      <c r="O9" s="118">
        <v>8.0</v>
      </c>
      <c r="P9" s="19">
        <f>O9/D7*100000</f>
        <v>32.79494958</v>
      </c>
      <c r="Q9" s="129">
        <v>7.0</v>
      </c>
      <c r="R9" s="19">
        <f>Q9/E7*100000</f>
        <v>27.79984114</v>
      </c>
      <c r="S9" s="118">
        <v>10.0</v>
      </c>
      <c r="T9" s="19">
        <f>S9/F7*100000</f>
        <v>38.44379517</v>
      </c>
      <c r="U9" s="118">
        <v>3.0</v>
      </c>
      <c r="V9" s="19">
        <f>U9/G7*100000</f>
        <v>11.17984646</v>
      </c>
      <c r="W9" s="118">
        <v>2.0</v>
      </c>
      <c r="X9" s="19">
        <f>W9/H7*100000</f>
        <v>7.234843004</v>
      </c>
      <c r="Y9" s="19">
        <f t="shared" ref="Y9:Z9" si="9">((M9+O9+Q9+S9)/4)</f>
        <v>8</v>
      </c>
      <c r="Z9" s="19">
        <f t="shared" si="9"/>
        <v>32.13863112</v>
      </c>
      <c r="AA9" s="19">
        <f t="shared" si="3"/>
        <v>6.5</v>
      </c>
      <c r="AB9" s="19">
        <f t="shared" si="4"/>
        <v>9.207344734</v>
      </c>
      <c r="AC9" s="22" t="s">
        <v>28</v>
      </c>
    </row>
    <row r="10" ht="14.25" customHeight="1">
      <c r="A10" s="1"/>
      <c r="B10" s="32" t="s">
        <v>50</v>
      </c>
      <c r="C10" s="191" t="s">
        <v>170</v>
      </c>
      <c r="D10" s="191" t="s">
        <v>171</v>
      </c>
      <c r="E10" s="191" t="s">
        <v>172</v>
      </c>
      <c r="F10" s="193" t="s">
        <v>173</v>
      </c>
      <c r="G10" s="191" t="s">
        <v>174</v>
      </c>
      <c r="H10" s="192" t="s">
        <v>175</v>
      </c>
      <c r="I10" s="1"/>
      <c r="J10" s="1"/>
      <c r="K10" s="1"/>
      <c r="L10" s="15" t="s">
        <v>51</v>
      </c>
      <c r="M10" s="118">
        <v>0.0</v>
      </c>
      <c r="N10" s="19">
        <f>M10/C15*100000</f>
        <v>0</v>
      </c>
      <c r="O10" s="118">
        <v>0.0</v>
      </c>
      <c r="P10" s="19">
        <f t="shared" ref="P10:P11" si="11">O10/D15*100000</f>
        <v>0</v>
      </c>
      <c r="Q10" s="129">
        <v>0.0</v>
      </c>
      <c r="R10" s="19">
        <f>Q10/E15*100000</f>
        <v>0</v>
      </c>
      <c r="S10" s="118">
        <v>0.0</v>
      </c>
      <c r="T10" s="19">
        <f>S10/F15*100000</f>
        <v>0</v>
      </c>
      <c r="U10" s="118">
        <v>2.0</v>
      </c>
      <c r="V10" s="19">
        <f>U10/G15*100000</f>
        <v>34.42340792</v>
      </c>
      <c r="W10" s="118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1</v>
      </c>
      <c r="AB10" s="19">
        <f t="shared" si="4"/>
        <v>17.21170396</v>
      </c>
      <c r="AC10" s="22" t="s">
        <v>28</v>
      </c>
    </row>
    <row r="11" ht="14.25" customHeight="1">
      <c r="A11" s="1"/>
      <c r="B11" s="32" t="s">
        <v>52</v>
      </c>
      <c r="C11" s="191" t="s">
        <v>176</v>
      </c>
      <c r="D11" s="191" t="s">
        <v>177</v>
      </c>
      <c r="E11" s="191" t="s">
        <v>178</v>
      </c>
      <c r="F11" s="193" t="s">
        <v>179</v>
      </c>
      <c r="G11" s="191" t="s">
        <v>180</v>
      </c>
      <c r="H11" s="192" t="s">
        <v>181</v>
      </c>
      <c r="I11" s="1"/>
      <c r="J11" s="1"/>
      <c r="K11" s="1"/>
      <c r="L11" s="15" t="s">
        <v>53</v>
      </c>
      <c r="M11" s="118">
        <v>0.0</v>
      </c>
      <c r="N11" s="19">
        <f>M11/C15*100000</f>
        <v>0</v>
      </c>
      <c r="O11" s="118">
        <v>0.0</v>
      </c>
      <c r="P11" s="19">
        <f t="shared" si="11"/>
        <v>0</v>
      </c>
      <c r="Q11" s="129">
        <v>0.0</v>
      </c>
      <c r="R11" s="19">
        <f>Q11/F16*100000</f>
        <v>0</v>
      </c>
      <c r="S11" s="118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91" t="s">
        <v>182</v>
      </c>
      <c r="D12" s="191" t="s">
        <v>183</v>
      </c>
      <c r="E12" s="191" t="s">
        <v>184</v>
      </c>
      <c r="F12" s="191" t="s">
        <v>185</v>
      </c>
      <c r="G12" s="191" t="s">
        <v>186</v>
      </c>
      <c r="H12" s="192" t="s">
        <v>187</v>
      </c>
      <c r="I12" s="1"/>
      <c r="J12" s="1"/>
      <c r="K12" s="1"/>
      <c r="L12" s="15" t="s">
        <v>55</v>
      </c>
      <c r="M12" s="118">
        <v>63.0</v>
      </c>
      <c r="N12" s="19">
        <f>M12/C7*100000</f>
        <v>265.6434475</v>
      </c>
      <c r="O12" s="118">
        <v>88.0</v>
      </c>
      <c r="P12" s="19">
        <f>O12/D7*100000</f>
        <v>360.7444454</v>
      </c>
      <c r="Q12" s="129">
        <v>114.0</v>
      </c>
      <c r="R12" s="19">
        <f>Q12/E7*100000</f>
        <v>452.7402701</v>
      </c>
      <c r="S12" s="118">
        <v>132.0</v>
      </c>
      <c r="T12" s="19">
        <f>S12/F7*100000</f>
        <v>507.4580963</v>
      </c>
      <c r="U12" s="118">
        <v>82.0</v>
      </c>
      <c r="V12" s="19">
        <f>U12/G7*100000</f>
        <v>305.58247</v>
      </c>
      <c r="W12" s="17"/>
      <c r="X12" s="19">
        <f>W12/H7*100000</f>
        <v>0</v>
      </c>
      <c r="Y12" s="19">
        <f t="shared" ref="Y12:Z12" si="13">((M12+O12+Q12+S12)/4)</f>
        <v>99.25</v>
      </c>
      <c r="Z12" s="19">
        <f t="shared" si="13"/>
        <v>396.6465648</v>
      </c>
      <c r="AA12" s="19">
        <f t="shared" si="3"/>
        <v>107</v>
      </c>
      <c r="AB12" s="19">
        <f t="shared" si="4"/>
        <v>152.791235</v>
      </c>
      <c r="AC12" s="22" t="s">
        <v>57</v>
      </c>
    </row>
    <row r="13" ht="14.25" customHeight="1">
      <c r="A13" s="1"/>
      <c r="B13" s="32" t="s">
        <v>58</v>
      </c>
      <c r="C13" s="191" t="s">
        <v>188</v>
      </c>
      <c r="D13" s="191" t="s">
        <v>189</v>
      </c>
      <c r="E13" s="191" t="s">
        <v>190</v>
      </c>
      <c r="F13" s="191" t="s">
        <v>191</v>
      </c>
      <c r="G13" s="191" t="s">
        <v>192</v>
      </c>
      <c r="H13" s="192" t="s">
        <v>193</v>
      </c>
      <c r="I13" s="1"/>
      <c r="J13" s="1"/>
      <c r="K13" s="1"/>
      <c r="L13" s="15" t="s">
        <v>59</v>
      </c>
      <c r="M13" s="118">
        <v>60.0</v>
      </c>
      <c r="N13" s="19">
        <f>M13/C11*100000</f>
        <v>497.1002486</v>
      </c>
      <c r="O13" s="118">
        <v>84.0</v>
      </c>
      <c r="P13" s="19">
        <f>O13/D11*100000</f>
        <v>676.4919063</v>
      </c>
      <c r="Q13" s="129">
        <v>96.0</v>
      </c>
      <c r="R13" s="19">
        <f>Q13/E11*100000</f>
        <v>749.1221225</v>
      </c>
      <c r="S13" s="118">
        <v>112.0</v>
      </c>
      <c r="T13" s="19">
        <f>S13/F11*100000</f>
        <v>836.8200837</v>
      </c>
      <c r="U13" s="118">
        <v>71.0</v>
      </c>
      <c r="V13" s="19">
        <f>U13/G11*100000</f>
        <v>519.11969</v>
      </c>
      <c r="W13" s="17"/>
      <c r="X13" s="19">
        <f>W13/H11*100000</f>
        <v>0</v>
      </c>
      <c r="Y13" s="19">
        <f t="shared" ref="Y13:Z13" si="14">((M13+O13+Q13+S13)/4)</f>
        <v>88</v>
      </c>
      <c r="Z13" s="19">
        <f t="shared" si="14"/>
        <v>689.8835903</v>
      </c>
      <c r="AA13" s="19">
        <f t="shared" si="3"/>
        <v>91.5</v>
      </c>
      <c r="AB13" s="19">
        <f t="shared" si="4"/>
        <v>259.559845</v>
      </c>
      <c r="AC13" s="22" t="s">
        <v>57</v>
      </c>
    </row>
    <row r="14" ht="14.25" customHeight="1">
      <c r="A14" s="1"/>
      <c r="B14" s="32" t="s">
        <v>60</v>
      </c>
      <c r="C14" s="133">
        <v>696.0</v>
      </c>
      <c r="D14" s="133">
        <v>684.0</v>
      </c>
      <c r="E14" s="191" t="s">
        <v>194</v>
      </c>
      <c r="F14" s="191" t="s">
        <v>195</v>
      </c>
      <c r="G14" s="191" t="s">
        <v>196</v>
      </c>
      <c r="H14" s="192" t="s">
        <v>197</v>
      </c>
      <c r="I14" s="1"/>
      <c r="J14" s="1"/>
      <c r="K14" s="1"/>
      <c r="L14" s="15" t="s">
        <v>61</v>
      </c>
      <c r="M14" s="118">
        <v>0.0</v>
      </c>
      <c r="N14" s="19">
        <f>M14/M4*1000</f>
        <v>0</v>
      </c>
      <c r="O14" s="118">
        <v>0.0</v>
      </c>
      <c r="P14" s="19">
        <f>O14/O4*1000</f>
        <v>0</v>
      </c>
      <c r="Q14" s="129">
        <v>0.0</v>
      </c>
      <c r="R14" s="19">
        <f>Q14/Q4*1000</f>
        <v>0</v>
      </c>
      <c r="S14" s="118">
        <v>0.0</v>
      </c>
      <c r="T14" s="19">
        <f>S14/S4*1000</f>
        <v>0</v>
      </c>
      <c r="U14" s="118">
        <v>0.0</v>
      </c>
      <c r="V14" s="19">
        <f>U14/U4*1000</f>
        <v>0</v>
      </c>
      <c r="W14" s="118">
        <v>0.0</v>
      </c>
      <c r="X14" s="19" t="str">
        <f>W14/W4*1000</f>
        <v>#DIV/0!</v>
      </c>
      <c r="Y14" s="19">
        <f t="shared" ref="Y14:Z14" si="15">((M14+O14+Q14+S14)/4)</f>
        <v>0</v>
      </c>
      <c r="Z14" s="19">
        <f t="shared" si="15"/>
        <v>0</v>
      </c>
      <c r="AA14" s="19">
        <f t="shared" si="3"/>
        <v>0</v>
      </c>
      <c r="AB14" s="19" t="str">
        <f t="shared" si="4"/>
        <v>#DIV/0!</v>
      </c>
      <c r="AC14" s="22" t="s">
        <v>28</v>
      </c>
    </row>
    <row r="15" ht="14.25" customHeight="1">
      <c r="A15" s="1"/>
      <c r="B15" s="32" t="s">
        <v>62</v>
      </c>
      <c r="C15" s="133">
        <v>5538.0</v>
      </c>
      <c r="D15" s="133">
        <v>5590.0</v>
      </c>
      <c r="E15" s="191" t="s">
        <v>198</v>
      </c>
      <c r="F15" s="191" t="s">
        <v>199</v>
      </c>
      <c r="G15" s="191" t="s">
        <v>200</v>
      </c>
      <c r="H15" s="192" t="s">
        <v>201</v>
      </c>
      <c r="I15" s="1"/>
      <c r="J15" s="1"/>
      <c r="K15" s="1"/>
      <c r="L15" s="15" t="s">
        <v>63</v>
      </c>
      <c r="M15" s="118">
        <v>1.0</v>
      </c>
      <c r="N15" s="19">
        <f>M15/C15*100000</f>
        <v>18.05706031</v>
      </c>
      <c r="O15" s="118">
        <v>1.0</v>
      </c>
      <c r="P15" s="19">
        <f>O15/D15*100000</f>
        <v>17.88908766</v>
      </c>
      <c r="Q15" s="129">
        <v>0.0</v>
      </c>
      <c r="R15" s="19">
        <f>Q15/E15*100000</f>
        <v>0</v>
      </c>
      <c r="S15" s="118">
        <v>2.0</v>
      </c>
      <c r="T15" s="19">
        <f>S15/F15*100000</f>
        <v>34.90401396</v>
      </c>
      <c r="U15" s="118">
        <v>3.0</v>
      </c>
      <c r="V15" s="19">
        <f>U15/G15*100000</f>
        <v>51.63511188</v>
      </c>
      <c r="W15" s="118">
        <v>1.0</v>
      </c>
      <c r="X15" s="19">
        <f>W15/H15*100000</f>
        <v>17.13502399</v>
      </c>
      <c r="Y15" s="19">
        <f t="shared" ref="Y15:Z15" si="16">((M15+O15+Q15+S15)/4)</f>
        <v>1</v>
      </c>
      <c r="Z15" s="19">
        <f t="shared" si="16"/>
        <v>17.71254048</v>
      </c>
      <c r="AA15" s="19">
        <f t="shared" si="3"/>
        <v>2.5</v>
      </c>
      <c r="AB15" s="19">
        <f t="shared" si="4"/>
        <v>34.38506793</v>
      </c>
      <c r="AC15" s="22" t="s">
        <v>28</v>
      </c>
    </row>
    <row r="16" ht="14.25" customHeight="1">
      <c r="A16" s="1"/>
      <c r="B16" s="32" t="s">
        <v>64</v>
      </c>
      <c r="C16" s="133">
        <v>18559.0</v>
      </c>
      <c r="D16" s="133">
        <v>19169.0</v>
      </c>
      <c r="E16" s="191" t="s">
        <v>202</v>
      </c>
      <c r="F16" s="191" t="s">
        <v>203</v>
      </c>
      <c r="G16" s="191" t="s">
        <v>204</v>
      </c>
      <c r="H16" s="192" t="s">
        <v>205</v>
      </c>
      <c r="I16" s="1"/>
      <c r="J16" s="1"/>
      <c r="K16" s="1"/>
      <c r="L16" s="15" t="s">
        <v>65</v>
      </c>
      <c r="M16" s="118">
        <v>32.0</v>
      </c>
      <c r="N16" s="19">
        <f>M16/M4*100</f>
        <v>13.2780083</v>
      </c>
      <c r="O16" s="118">
        <v>29.0</v>
      </c>
      <c r="P16" s="19">
        <f>O16/O4*100</f>
        <v>12.13389121</v>
      </c>
      <c r="Q16" s="129">
        <v>36.0</v>
      </c>
      <c r="R16" s="19">
        <f>Q16/Q4*100</f>
        <v>13.95348837</v>
      </c>
      <c r="S16" s="118">
        <v>34.0</v>
      </c>
      <c r="T16" s="19">
        <f>S16/S4*100</f>
        <v>13.99176955</v>
      </c>
      <c r="U16" s="118">
        <v>38.0</v>
      </c>
      <c r="V16" s="19">
        <f>U16/U4*100</f>
        <v>17.43119266</v>
      </c>
      <c r="W16" s="118">
        <v>19.0</v>
      </c>
      <c r="X16" s="19" t="str">
        <f>W16/W4*100</f>
        <v>#DIV/0!</v>
      </c>
      <c r="Y16" s="19">
        <f t="shared" ref="Y16:Z16" si="17">((M16+O16+Q16+S16)/4)</f>
        <v>32.75</v>
      </c>
      <c r="Z16" s="19">
        <f t="shared" si="17"/>
        <v>13.33928936</v>
      </c>
      <c r="AA16" s="19">
        <f t="shared" si="3"/>
        <v>36</v>
      </c>
      <c r="AB16" s="19" t="str">
        <f t="shared" si="4"/>
        <v>#DIV/0!</v>
      </c>
      <c r="AC16" s="22" t="s">
        <v>30</v>
      </c>
    </row>
    <row r="17" ht="14.25" customHeight="1">
      <c r="A17" s="1"/>
      <c r="B17" s="32" t="s">
        <v>66</v>
      </c>
      <c r="C17" s="133">
        <v>7060.0</v>
      </c>
      <c r="D17" s="133">
        <v>7131.0</v>
      </c>
      <c r="E17" s="191" t="s">
        <v>206</v>
      </c>
      <c r="F17" s="191" t="s">
        <v>207</v>
      </c>
      <c r="G17" s="191" t="s">
        <v>208</v>
      </c>
      <c r="H17" s="192" t="s">
        <v>209</v>
      </c>
      <c r="I17" s="1"/>
      <c r="J17" s="1"/>
      <c r="K17" s="1"/>
      <c r="L17" s="15" t="s">
        <v>67</v>
      </c>
      <c r="M17" s="118">
        <v>5.0</v>
      </c>
      <c r="N17" s="19">
        <f>M17/M4*100</f>
        <v>2.074688797</v>
      </c>
      <c r="O17" s="118">
        <v>2.0</v>
      </c>
      <c r="P17" s="19">
        <f>O17/O4*100</f>
        <v>0.8368200837</v>
      </c>
      <c r="Q17" s="129">
        <v>2.0</v>
      </c>
      <c r="R17" s="19">
        <f>Q17/Q4*100</f>
        <v>0.7751937984</v>
      </c>
      <c r="S17" s="118">
        <v>0.0</v>
      </c>
      <c r="T17" s="19">
        <f>S17/S4*100</f>
        <v>0</v>
      </c>
      <c r="U17" s="118">
        <v>0.0</v>
      </c>
      <c r="V17" s="19">
        <f>U17/U4*100</f>
        <v>0</v>
      </c>
      <c r="W17" s="118">
        <v>2.0</v>
      </c>
      <c r="X17" s="19" t="str">
        <f>W17/W4*100</f>
        <v>#DIV/0!</v>
      </c>
      <c r="Y17" s="19">
        <f t="shared" ref="Y17:Z17" si="18">((M17+O17+Q17+S17)/4)</f>
        <v>2.25</v>
      </c>
      <c r="Z17" s="19">
        <f t="shared" si="18"/>
        <v>0.9216756697</v>
      </c>
      <c r="AA17" s="19">
        <f t="shared" si="3"/>
        <v>0</v>
      </c>
      <c r="AB17" s="19" t="str">
        <f t="shared" si="4"/>
        <v>#DIV/0!</v>
      </c>
      <c r="AC17" s="22" t="s">
        <v>30</v>
      </c>
    </row>
    <row r="18" ht="14.25" customHeight="1">
      <c r="A18" s="1"/>
      <c r="B18" s="32" t="s">
        <v>68</v>
      </c>
      <c r="C18" s="133">
        <v>21936.0</v>
      </c>
      <c r="D18" s="133">
        <v>22524.0</v>
      </c>
      <c r="E18" s="191" t="s">
        <v>210</v>
      </c>
      <c r="F18" s="191" t="s">
        <v>211</v>
      </c>
      <c r="G18" s="191" t="s">
        <v>212</v>
      </c>
      <c r="H18" s="192" t="s">
        <v>213</v>
      </c>
      <c r="I18" s="1"/>
      <c r="J18" s="1"/>
      <c r="K18" s="1"/>
      <c r="L18" s="15" t="s">
        <v>69</v>
      </c>
      <c r="M18" s="124">
        <v>2.0</v>
      </c>
      <c r="N18" s="57">
        <f>M18/C15*1000</f>
        <v>0.3611412062</v>
      </c>
      <c r="O18" s="118">
        <v>0.0</v>
      </c>
      <c r="P18" s="57">
        <f>O18/D15*1000</f>
        <v>0</v>
      </c>
      <c r="Q18" s="129">
        <v>0.0</v>
      </c>
      <c r="R18" s="57">
        <f>Q18/E15*1000</f>
        <v>0</v>
      </c>
      <c r="S18" s="124">
        <v>3.0</v>
      </c>
      <c r="T18" s="57">
        <f>S18/F15*1000</f>
        <v>0.5235602094</v>
      </c>
      <c r="U18" s="124">
        <v>11.0</v>
      </c>
      <c r="V18" s="57">
        <f>U18/G15*1000</f>
        <v>1.893287435</v>
      </c>
      <c r="W18" s="124">
        <v>6.0</v>
      </c>
      <c r="X18" s="57">
        <f>W18/H15*1000</f>
        <v>1.028101439</v>
      </c>
      <c r="Y18" s="19">
        <f t="shared" ref="Y18:Z18" si="19">((M18+O18+Q18+S18)/4)</f>
        <v>1.25</v>
      </c>
      <c r="Z18" s="19">
        <f t="shared" si="19"/>
        <v>0.2211753539</v>
      </c>
      <c r="AA18" s="19">
        <f t="shared" si="3"/>
        <v>7</v>
      </c>
      <c r="AB18" s="19">
        <f t="shared" si="4"/>
        <v>1.460694437</v>
      </c>
      <c r="AC18" s="22" t="s">
        <v>57</v>
      </c>
    </row>
    <row r="19" ht="14.25" customHeight="1">
      <c r="A19" s="1"/>
      <c r="B19" s="32" t="s">
        <v>70</v>
      </c>
      <c r="C19" s="133">
        <v>14876.0</v>
      </c>
      <c r="D19" s="133">
        <v>15393.0</v>
      </c>
      <c r="E19" s="191" t="s">
        <v>214</v>
      </c>
      <c r="F19" s="191" t="s">
        <v>215</v>
      </c>
      <c r="G19" s="191" t="s">
        <v>216</v>
      </c>
      <c r="H19" s="192" t="s">
        <v>217</v>
      </c>
      <c r="I19" s="1"/>
      <c r="J19" s="1"/>
      <c r="K19" s="1"/>
      <c r="L19" s="15" t="s">
        <v>71</v>
      </c>
      <c r="M19" s="118">
        <v>7.0</v>
      </c>
      <c r="N19" s="19">
        <f>M19/M4*100</f>
        <v>2.904564315</v>
      </c>
      <c r="O19" s="118">
        <v>4.0</v>
      </c>
      <c r="P19" s="19">
        <f>O19/O4*100</f>
        <v>1.673640167</v>
      </c>
      <c r="Q19" s="129">
        <v>3.0</v>
      </c>
      <c r="R19" s="19">
        <f>Q19/Q4*100</f>
        <v>1.162790698</v>
      </c>
      <c r="S19" s="118">
        <v>2.0</v>
      </c>
      <c r="T19" s="19">
        <f>S19/S4*100</f>
        <v>0.8230452675</v>
      </c>
      <c r="U19" s="118">
        <v>2.0</v>
      </c>
      <c r="V19" s="19">
        <f>U19/U4*100</f>
        <v>0.9174311927</v>
      </c>
      <c r="W19" s="118">
        <v>1.0</v>
      </c>
      <c r="X19" s="19" t="str">
        <f>W19/W4*100</f>
        <v>#DIV/0!</v>
      </c>
      <c r="Y19" s="19">
        <f t="shared" ref="Y19:Z19" si="20">((M19+O19+Q19+S19)/4)</f>
        <v>4</v>
      </c>
      <c r="Z19" s="19">
        <f t="shared" si="20"/>
        <v>1.641010112</v>
      </c>
      <c r="AA19" s="19">
        <f t="shared" si="3"/>
        <v>2</v>
      </c>
      <c r="AB19" s="19" t="str">
        <f t="shared" si="4"/>
        <v>#DIV/0!</v>
      </c>
      <c r="AC19" s="22" t="s">
        <v>72</v>
      </c>
    </row>
    <row r="20" ht="14.25" customHeight="1">
      <c r="A20" s="1"/>
      <c r="B20" s="32" t="s">
        <v>73</v>
      </c>
      <c r="C20" s="133">
        <v>846.0</v>
      </c>
      <c r="D20" s="131">
        <v>855.0</v>
      </c>
      <c r="E20" s="191" t="s">
        <v>218</v>
      </c>
      <c r="F20" s="191" t="s">
        <v>219</v>
      </c>
      <c r="G20" s="191" t="s">
        <v>220</v>
      </c>
      <c r="H20" s="192" t="s">
        <v>221</v>
      </c>
      <c r="I20" s="1"/>
      <c r="J20" s="1"/>
      <c r="K20" s="1"/>
      <c r="L20" s="15" t="s">
        <v>74</v>
      </c>
      <c r="M20" s="118">
        <v>0.0</v>
      </c>
      <c r="N20" s="19">
        <f t="shared" ref="N20:N21" si="22">M20/C20*1000</f>
        <v>0</v>
      </c>
      <c r="O20" s="118">
        <v>1.0</v>
      </c>
      <c r="P20" s="19">
        <f t="shared" ref="P20:P21" si="23">O20/D20*1000</f>
        <v>1.169590643</v>
      </c>
      <c r="Q20" s="129">
        <v>1.0</v>
      </c>
      <c r="R20" s="19">
        <f t="shared" ref="R20:R21" si="24">Q20/E20*1000</f>
        <v>1.146788991</v>
      </c>
      <c r="S20" s="118">
        <v>0.0</v>
      </c>
      <c r="T20" s="19">
        <f t="shared" ref="T20:T21" si="25">S20/F20*1000</f>
        <v>0</v>
      </c>
      <c r="U20" s="118">
        <v>0.0</v>
      </c>
      <c r="V20" s="19">
        <f t="shared" ref="V20:V21" si="26">U20/G20*1000</f>
        <v>0</v>
      </c>
      <c r="W20" s="118">
        <v>0.0</v>
      </c>
      <c r="X20" s="19">
        <f t="shared" ref="X20:X21" si="27">W20/H20*1000</f>
        <v>0</v>
      </c>
      <c r="Y20" s="19">
        <f t="shared" ref="Y20:Z20" si="21">((M20+O20+Q20+S20)/4)</f>
        <v>0.5</v>
      </c>
      <c r="Z20" s="19">
        <f t="shared" si="21"/>
        <v>0.5790949085</v>
      </c>
      <c r="AA20" s="19">
        <f t="shared" si="3"/>
        <v>0</v>
      </c>
      <c r="AB20" s="19">
        <f t="shared" si="4"/>
        <v>0</v>
      </c>
      <c r="AC20" s="22" t="s">
        <v>72</v>
      </c>
    </row>
    <row r="21" ht="14.25" customHeight="1">
      <c r="A21" s="1"/>
      <c r="B21" s="32" t="s">
        <v>75</v>
      </c>
      <c r="C21" s="133">
        <v>949.0</v>
      </c>
      <c r="D21" s="131">
        <v>948.0</v>
      </c>
      <c r="E21" s="191" t="s">
        <v>222</v>
      </c>
      <c r="F21" s="191" t="s">
        <v>223</v>
      </c>
      <c r="G21" s="191" t="s">
        <v>224</v>
      </c>
      <c r="H21" s="192" t="s">
        <v>225</v>
      </c>
      <c r="I21" s="1"/>
      <c r="J21" s="1"/>
      <c r="K21" s="1"/>
      <c r="L21" s="15" t="s">
        <v>76</v>
      </c>
      <c r="M21" s="118">
        <v>7.0</v>
      </c>
      <c r="N21" s="19">
        <f t="shared" si="22"/>
        <v>7.376185458</v>
      </c>
      <c r="O21" s="118">
        <v>3.0</v>
      </c>
      <c r="P21" s="19">
        <f t="shared" si="23"/>
        <v>3.164556962</v>
      </c>
      <c r="Q21" s="129">
        <v>2.0</v>
      </c>
      <c r="R21" s="19">
        <f t="shared" si="24"/>
        <v>2.089864159</v>
      </c>
      <c r="S21" s="118">
        <v>2.0</v>
      </c>
      <c r="T21" s="19">
        <f t="shared" si="25"/>
        <v>2.074688797</v>
      </c>
      <c r="U21" s="118">
        <v>2.0</v>
      </c>
      <c r="V21" s="19">
        <f t="shared" si="26"/>
        <v>2.051282051</v>
      </c>
      <c r="W21" s="118">
        <v>1.0</v>
      </c>
      <c r="X21" s="19">
        <f t="shared" si="27"/>
        <v>1.015228426</v>
      </c>
      <c r="Y21" s="19">
        <f t="shared" ref="Y21:Z21" si="28">((M21+O21+Q21+S21)/4)</f>
        <v>3.5</v>
      </c>
      <c r="Z21" s="19">
        <f t="shared" si="28"/>
        <v>3.676323844</v>
      </c>
      <c r="AA21" s="19">
        <f t="shared" si="3"/>
        <v>2</v>
      </c>
      <c r="AB21" s="19">
        <f t="shared" si="4"/>
        <v>1.533255239</v>
      </c>
      <c r="AC21" s="22" t="s">
        <v>72</v>
      </c>
    </row>
    <row r="22" ht="14.25" customHeight="1">
      <c r="A22" s="1"/>
      <c r="B22" s="32" t="s">
        <v>77</v>
      </c>
      <c r="C22" s="133">
        <v>8307.0</v>
      </c>
      <c r="D22" s="133">
        <v>8523.0</v>
      </c>
      <c r="E22" s="191" t="s">
        <v>226</v>
      </c>
      <c r="F22" s="191" t="s">
        <v>227</v>
      </c>
      <c r="G22" s="191" t="s">
        <v>228</v>
      </c>
      <c r="H22" s="192" t="s">
        <v>229</v>
      </c>
      <c r="I22" s="1"/>
      <c r="J22" s="1"/>
      <c r="K22" s="1"/>
      <c r="L22" s="15" t="s">
        <v>78</v>
      </c>
      <c r="M22" s="124">
        <v>6.0</v>
      </c>
      <c r="N22" s="57">
        <f>M22/C7*100000</f>
        <v>25.29937595</v>
      </c>
      <c r="O22" s="118">
        <v>3.0</v>
      </c>
      <c r="P22" s="57">
        <f>O22/D7*100000</f>
        <v>12.29810609</v>
      </c>
      <c r="Q22" s="129">
        <v>3.0</v>
      </c>
      <c r="R22" s="57">
        <f>Q22/E7*100000</f>
        <v>11.91421763</v>
      </c>
      <c r="S22" s="124">
        <v>6.0</v>
      </c>
      <c r="T22" s="57">
        <f>S22/F7*100000</f>
        <v>23.0662771</v>
      </c>
      <c r="U22" s="124">
        <v>3.0</v>
      </c>
      <c r="V22" s="57">
        <f>U22/G7*100000</f>
        <v>11.17984646</v>
      </c>
      <c r="W22" s="124">
        <v>1.0</v>
      </c>
      <c r="X22" s="57">
        <f>W22/H7*100000</f>
        <v>3.617421502</v>
      </c>
      <c r="Y22" s="19">
        <f t="shared" ref="Y22:Z22" si="29">((M22+O22+Q22+S22)/4)</f>
        <v>4.5</v>
      </c>
      <c r="Z22" s="19">
        <f t="shared" si="29"/>
        <v>18.14449419</v>
      </c>
      <c r="AA22" s="19">
        <f t="shared" si="3"/>
        <v>4.5</v>
      </c>
      <c r="AB22" s="19">
        <f t="shared" si="4"/>
        <v>7.398633983</v>
      </c>
      <c r="AC22" s="22" t="s">
        <v>28</v>
      </c>
    </row>
    <row r="23" ht="14.25" customHeight="1">
      <c r="A23" s="1"/>
      <c r="B23" s="32" t="s">
        <v>79</v>
      </c>
      <c r="C23" s="133">
        <v>5538.0</v>
      </c>
      <c r="D23" s="133">
        <v>5590.0</v>
      </c>
      <c r="E23" s="191" t="s">
        <v>198</v>
      </c>
      <c r="F23" s="191" t="s">
        <v>199</v>
      </c>
      <c r="G23" s="191" t="s">
        <v>200</v>
      </c>
      <c r="H23" s="192" t="s">
        <v>201</v>
      </c>
      <c r="I23" s="1"/>
      <c r="J23" s="1"/>
      <c r="K23" s="1"/>
      <c r="L23" s="15" t="s">
        <v>80</v>
      </c>
      <c r="M23" s="124">
        <v>1.0</v>
      </c>
      <c r="N23" s="57">
        <f>M23/C7*100000</f>
        <v>4.216562658</v>
      </c>
      <c r="O23" s="118">
        <v>2.0</v>
      </c>
      <c r="P23" s="57">
        <f>O23/D7*100000</f>
        <v>8.198737394</v>
      </c>
      <c r="Q23" s="129">
        <v>0.0</v>
      </c>
      <c r="R23" s="57">
        <f>Q23/E7*100000</f>
        <v>0</v>
      </c>
      <c r="S23" s="124">
        <v>0.0</v>
      </c>
      <c r="T23" s="57">
        <f>S23/F7*100000</f>
        <v>0</v>
      </c>
      <c r="U23" s="124">
        <v>0.0</v>
      </c>
      <c r="V23" s="57">
        <f>U23/G7*100000</f>
        <v>0</v>
      </c>
      <c r="W23" s="124">
        <v>0.0</v>
      </c>
      <c r="X23" s="57">
        <f>W23/H7*100000</f>
        <v>0</v>
      </c>
      <c r="Y23" s="19">
        <f t="shared" ref="Y23:Z23" si="30">((M23+O23+Q23+S23)/4)</f>
        <v>0.75</v>
      </c>
      <c r="Z23" s="19">
        <f t="shared" si="30"/>
        <v>3.103825013</v>
      </c>
      <c r="AA23" s="19">
        <f t="shared" si="3"/>
        <v>0</v>
      </c>
      <c r="AB23" s="19">
        <f t="shared" si="4"/>
        <v>0</v>
      </c>
      <c r="AC23" s="22" t="s">
        <v>28</v>
      </c>
    </row>
    <row r="24" ht="14.25" customHeight="1">
      <c r="A24" s="1"/>
      <c r="B24" s="32" t="s">
        <v>81</v>
      </c>
      <c r="C24" s="133">
        <v>2021.0</v>
      </c>
      <c r="D24" s="133">
        <v>2060.0</v>
      </c>
      <c r="E24" s="191" t="s">
        <v>230</v>
      </c>
      <c r="F24" s="191" t="s">
        <v>231</v>
      </c>
      <c r="G24" s="191" t="s">
        <v>232</v>
      </c>
      <c r="H24" s="192" t="s">
        <v>233</v>
      </c>
      <c r="I24" s="1"/>
      <c r="J24" s="1"/>
      <c r="K24" s="1"/>
      <c r="L24" s="15" t="s">
        <v>82</v>
      </c>
      <c r="M24" s="124">
        <v>0.0</v>
      </c>
      <c r="N24" s="57">
        <f>M24/C7*100000</f>
        <v>0</v>
      </c>
      <c r="O24" s="118">
        <v>2.0</v>
      </c>
      <c r="P24" s="57">
        <f>O24/D7*100000</f>
        <v>8.198737394</v>
      </c>
      <c r="Q24" s="129">
        <v>2.0</v>
      </c>
      <c r="R24" s="57">
        <f>Q24/E7*100000</f>
        <v>7.942811755</v>
      </c>
      <c r="S24" s="124">
        <v>1.0</v>
      </c>
      <c r="T24" s="57">
        <f>S24/F7*100000</f>
        <v>3.844379517</v>
      </c>
      <c r="U24" s="124">
        <v>0.0</v>
      </c>
      <c r="V24" s="57">
        <f>U24/G7*100000</f>
        <v>0</v>
      </c>
      <c r="W24" s="124">
        <v>1.0</v>
      </c>
      <c r="X24" s="57">
        <f>W24/H7*100000</f>
        <v>3.617421502</v>
      </c>
      <c r="Y24" s="19">
        <f t="shared" ref="Y24:Z24" si="31">((M24+O24+Q24+S24)/4)</f>
        <v>1.25</v>
      </c>
      <c r="Z24" s="19">
        <f t="shared" si="31"/>
        <v>4.996482167</v>
      </c>
      <c r="AA24" s="19">
        <f t="shared" si="3"/>
        <v>0.5</v>
      </c>
      <c r="AB24" s="19">
        <f t="shared" si="4"/>
        <v>1.808710751</v>
      </c>
      <c r="AC24" s="22" t="s">
        <v>28</v>
      </c>
    </row>
    <row r="25" ht="14.25" customHeight="1">
      <c r="A25" s="1"/>
      <c r="B25" s="32" t="s">
        <v>83</v>
      </c>
      <c r="C25" s="133">
        <v>2166.0</v>
      </c>
      <c r="D25" s="133">
        <v>2175.0</v>
      </c>
      <c r="E25" s="191" t="s">
        <v>234</v>
      </c>
      <c r="F25" s="191" t="s">
        <v>235</v>
      </c>
      <c r="G25" s="191" t="s">
        <v>236</v>
      </c>
      <c r="H25" s="192" t="s">
        <v>237</v>
      </c>
      <c r="I25" s="1"/>
      <c r="J25" s="1"/>
      <c r="K25" s="1"/>
      <c r="L25" s="15" t="s">
        <v>84</v>
      </c>
      <c r="M25" s="124">
        <v>8.0</v>
      </c>
      <c r="N25" s="57">
        <f>M25/C7*100000</f>
        <v>33.73250126</v>
      </c>
      <c r="O25" s="118">
        <v>12.0</v>
      </c>
      <c r="P25" s="57">
        <f>O25/D7*100000</f>
        <v>49.19242437</v>
      </c>
      <c r="Q25" s="129">
        <v>6.0</v>
      </c>
      <c r="R25" s="57">
        <f>Q25/E7*100000</f>
        <v>23.82843527</v>
      </c>
      <c r="S25" s="124">
        <v>9.0</v>
      </c>
      <c r="T25" s="57">
        <f>S25/F7*100000</f>
        <v>34.59941565</v>
      </c>
      <c r="U25" s="124">
        <v>24.0</v>
      </c>
      <c r="V25" s="57">
        <f>U25/G7*100000</f>
        <v>89.43877171</v>
      </c>
      <c r="W25" s="124">
        <v>12.0</v>
      </c>
      <c r="X25" s="57">
        <f>W25/H7*100000</f>
        <v>43.40905802</v>
      </c>
      <c r="Y25" s="19">
        <f t="shared" ref="Y25:Z25" si="32">((M25+O25+Q25+S25)/4)</f>
        <v>8.75</v>
      </c>
      <c r="Z25" s="19">
        <f t="shared" si="32"/>
        <v>35.33819414</v>
      </c>
      <c r="AA25" s="19">
        <f t="shared" si="3"/>
        <v>16.5</v>
      </c>
      <c r="AB25" s="19">
        <f t="shared" si="4"/>
        <v>66.42391487</v>
      </c>
      <c r="AC25" s="22" t="s">
        <v>57</v>
      </c>
    </row>
    <row r="26" ht="14.25" customHeight="1">
      <c r="A26" s="1"/>
      <c r="B26" s="32" t="s">
        <v>85</v>
      </c>
      <c r="C26" s="144">
        <v>4520.0</v>
      </c>
      <c r="D26" s="144">
        <v>4607.0</v>
      </c>
      <c r="E26" s="191" t="s">
        <v>238</v>
      </c>
      <c r="F26" s="191" t="s">
        <v>239</v>
      </c>
      <c r="G26" s="191" t="s">
        <v>240</v>
      </c>
      <c r="H26" s="192" t="s">
        <v>241</v>
      </c>
      <c r="I26" s="1"/>
      <c r="J26" s="1"/>
      <c r="K26" s="1"/>
      <c r="L26" s="15" t="s">
        <v>86</v>
      </c>
      <c r="M26" s="118">
        <v>37.0</v>
      </c>
      <c r="N26" s="19">
        <f>M26/C7*100000</f>
        <v>156.0128184</v>
      </c>
      <c r="O26" s="118">
        <v>66.0</v>
      </c>
      <c r="P26" s="19">
        <f>O26/D7*100000</f>
        <v>270.558334</v>
      </c>
      <c r="Q26" s="129">
        <v>30.0</v>
      </c>
      <c r="R26" s="19">
        <f>Q26/E7*100000</f>
        <v>119.1421763</v>
      </c>
      <c r="S26" s="118">
        <v>31.0</v>
      </c>
      <c r="T26" s="19">
        <f>S26/F7*100000</f>
        <v>119.175765</v>
      </c>
      <c r="U26" s="118">
        <v>32.0</v>
      </c>
      <c r="V26" s="19">
        <f>U26/G7*100000</f>
        <v>119.2516956</v>
      </c>
      <c r="W26" s="118">
        <v>11.0</v>
      </c>
      <c r="X26" s="19">
        <f>W26/H7*100000</f>
        <v>39.79163652</v>
      </c>
      <c r="Y26" s="19">
        <f t="shared" ref="Y26:Z26" si="33">((M26+O26+Q26+S26)/4)</f>
        <v>41</v>
      </c>
      <c r="Z26" s="19">
        <f t="shared" si="33"/>
        <v>166.2222734</v>
      </c>
      <c r="AA26" s="19">
        <f t="shared" si="3"/>
        <v>31.5</v>
      </c>
      <c r="AB26" s="19">
        <f t="shared" si="4"/>
        <v>79.52166607</v>
      </c>
      <c r="AC26" s="22" t="s">
        <v>28</v>
      </c>
    </row>
    <row r="27" ht="14.25" customHeight="1">
      <c r="A27" s="1"/>
      <c r="B27" s="62" t="s">
        <v>87</v>
      </c>
      <c r="C27" s="145">
        <v>2900.0</v>
      </c>
      <c r="D27" s="145">
        <v>3048.0</v>
      </c>
      <c r="E27" s="194" t="s">
        <v>242</v>
      </c>
      <c r="F27" s="194" t="s">
        <v>243</v>
      </c>
      <c r="G27" s="194" t="s">
        <v>244</v>
      </c>
      <c r="H27" s="195" t="s">
        <v>245</v>
      </c>
      <c r="I27" s="1"/>
      <c r="J27" s="1"/>
      <c r="K27" s="1"/>
      <c r="L27" s="15" t="s">
        <v>88</v>
      </c>
      <c r="M27" s="118">
        <v>1.0</v>
      </c>
      <c r="N27" s="19">
        <f>M27/C11*100000</f>
        <v>8.285004143</v>
      </c>
      <c r="O27" s="118">
        <v>0.0</v>
      </c>
      <c r="P27" s="19">
        <f>O27/D11*100000</f>
        <v>0</v>
      </c>
      <c r="Q27" s="129">
        <v>0.0</v>
      </c>
      <c r="R27" s="19">
        <f>Q27/E11*100000</f>
        <v>0</v>
      </c>
      <c r="S27" s="118">
        <v>0.0</v>
      </c>
      <c r="T27" s="19">
        <f>S27/F11*100000</f>
        <v>0</v>
      </c>
      <c r="U27" s="118">
        <v>1.0</v>
      </c>
      <c r="V27" s="19">
        <f>U27/G11*100000</f>
        <v>7.311544929</v>
      </c>
      <c r="W27" s="118">
        <v>0.0</v>
      </c>
      <c r="X27" s="19">
        <f>W27/H11*100000</f>
        <v>0</v>
      </c>
      <c r="Y27" s="19">
        <f t="shared" ref="Y27:Z27" si="34">((M27+O27+Q27+S27)/4)</f>
        <v>0.25</v>
      </c>
      <c r="Z27" s="19">
        <f t="shared" si="34"/>
        <v>2.071251036</v>
      </c>
      <c r="AA27" s="19">
        <f t="shared" si="3"/>
        <v>0.5</v>
      </c>
      <c r="AB27" s="19">
        <f t="shared" si="4"/>
        <v>3.655772465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8">
        <v>1.0</v>
      </c>
      <c r="N28" s="19">
        <f>M28/C11*100000</f>
        <v>8.285004143</v>
      </c>
      <c r="O28" s="118">
        <v>2.0</v>
      </c>
      <c r="P28" s="19">
        <f>O28/D11*100000</f>
        <v>16.10695015</v>
      </c>
      <c r="Q28" s="129">
        <v>1.0</v>
      </c>
      <c r="R28" s="19">
        <f>Q28/E11*100000</f>
        <v>7.803355443</v>
      </c>
      <c r="S28" s="118">
        <v>1.0</v>
      </c>
      <c r="T28" s="19">
        <f>S28/F11*100000</f>
        <v>7.47160789</v>
      </c>
      <c r="U28" s="118">
        <v>2.0</v>
      </c>
      <c r="V28" s="19">
        <f>U28/G11*100000</f>
        <v>14.62308986</v>
      </c>
      <c r="W28" s="118">
        <v>0.0</v>
      </c>
      <c r="X28" s="19">
        <f>W28/H11*100000</f>
        <v>0</v>
      </c>
      <c r="Y28" s="19">
        <f t="shared" ref="Y28:Z28" si="35">((M28+O28+Q28+S28)/4)</f>
        <v>1.25</v>
      </c>
      <c r="Z28" s="19">
        <f t="shared" si="35"/>
        <v>9.916729406</v>
      </c>
      <c r="AA28" s="19">
        <f t="shared" si="3"/>
        <v>1.5</v>
      </c>
      <c r="AB28" s="19">
        <f t="shared" si="4"/>
        <v>7.311544929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8">
        <v>0.0</v>
      </c>
      <c r="N29" s="19">
        <f>M29/C10*100000</f>
        <v>0</v>
      </c>
      <c r="O29" s="17"/>
      <c r="P29" s="19">
        <f>O29/D10*100000</f>
        <v>0</v>
      </c>
      <c r="Q29" s="20"/>
      <c r="R29" s="19">
        <f>Q29/E10*100000</f>
        <v>0</v>
      </c>
      <c r="S29" s="17"/>
      <c r="T29" s="19">
        <f>S29/F10*100000</f>
        <v>0</v>
      </c>
      <c r="U29" s="17"/>
      <c r="V29" s="19">
        <f>U29/G10*100000</f>
        <v>0</v>
      </c>
      <c r="W29" s="17"/>
      <c r="X29" s="19">
        <f>W29/H10*100000</f>
        <v>0</v>
      </c>
      <c r="Y29" s="19">
        <f t="shared" ref="Y29:Z29" si="36">((M29+O29+Q29+S29)/4)</f>
        <v>0</v>
      </c>
      <c r="Z29" s="19">
        <f t="shared" si="36"/>
        <v>0</v>
      </c>
      <c r="AA29" s="19">
        <f t="shared" si="3"/>
        <v>0</v>
      </c>
      <c r="AB29" s="19">
        <f t="shared" si="4"/>
        <v>0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8">
        <v>0.0</v>
      </c>
      <c r="N30" s="19">
        <f>M30/C7*100000</f>
        <v>0</v>
      </c>
      <c r="O30" s="118">
        <v>0.0</v>
      </c>
      <c r="P30" s="19">
        <f>O30/D7*100000</f>
        <v>0</v>
      </c>
      <c r="Q30" s="129">
        <v>0.0</v>
      </c>
      <c r="R30" s="19">
        <f>Q30/E7*100000</f>
        <v>0</v>
      </c>
      <c r="S30" s="118">
        <v>0.0</v>
      </c>
      <c r="T30" s="19">
        <f>S30/F7*100000</f>
        <v>0</v>
      </c>
      <c r="U30" s="118">
        <v>0.0</v>
      </c>
      <c r="V30" s="19">
        <f>U30/G7*100000</f>
        <v>0</v>
      </c>
      <c r="W30" s="118">
        <v>0.0</v>
      </c>
      <c r="X30" s="19">
        <f>W30/H7*100000</f>
        <v>0</v>
      </c>
      <c r="Y30" s="19">
        <f t="shared" ref="Y30:Z30" si="37">((M30+O30+Q30+S30)/4)</f>
        <v>0</v>
      </c>
      <c r="Z30" s="19">
        <f t="shared" si="37"/>
        <v>0</v>
      </c>
      <c r="AA30" s="19">
        <f t="shared" si="3"/>
        <v>0</v>
      </c>
      <c r="AB30" s="19">
        <f t="shared" si="4"/>
        <v>0</v>
      </c>
      <c r="AC30" s="22" t="s">
        <v>28</v>
      </c>
    </row>
    <row r="31" ht="14.25" customHeight="1">
      <c r="A31" s="1"/>
      <c r="B31" s="71" t="s">
        <v>93</v>
      </c>
      <c r="C31" s="126">
        <v>5538.0</v>
      </c>
      <c r="D31" s="126">
        <v>5590.0</v>
      </c>
      <c r="E31" s="126">
        <v>5710.0</v>
      </c>
      <c r="F31" s="126">
        <v>5730.0</v>
      </c>
      <c r="G31" s="126">
        <v>5810.0</v>
      </c>
      <c r="H31" s="196" t="s">
        <v>201</v>
      </c>
      <c r="I31" s="1"/>
      <c r="J31" s="1"/>
      <c r="K31" s="1"/>
      <c r="L31" s="15" t="s">
        <v>94</v>
      </c>
      <c r="M31" s="118">
        <v>0.0</v>
      </c>
      <c r="N31" s="19">
        <f>M31/C7*100000</f>
        <v>0</v>
      </c>
      <c r="O31" s="118">
        <v>0.0</v>
      </c>
      <c r="P31" s="19">
        <f>O31/D7*100000</f>
        <v>0</v>
      </c>
      <c r="Q31" s="129">
        <v>0.0</v>
      </c>
      <c r="R31" s="19">
        <f>Q31/E7*100000</f>
        <v>0</v>
      </c>
      <c r="S31" s="118">
        <v>1.0</v>
      </c>
      <c r="T31" s="19">
        <f>S31/F7*100000</f>
        <v>3.844379517</v>
      </c>
      <c r="U31" s="118">
        <v>0.0</v>
      </c>
      <c r="V31" s="19">
        <f>U31/G7*100000</f>
        <v>0</v>
      </c>
      <c r="W31" s="118">
        <v>0.0</v>
      </c>
      <c r="X31" s="19">
        <f>W31/H7*100000</f>
        <v>0</v>
      </c>
      <c r="Y31" s="19">
        <f t="shared" ref="Y31:Z31" si="38">((M31+O31+Q31+S31)/4)</f>
        <v>0.25</v>
      </c>
      <c r="Z31" s="19">
        <f t="shared" si="38"/>
        <v>0.9610948793</v>
      </c>
      <c r="AA31" s="19">
        <f t="shared" si="3"/>
        <v>0.5</v>
      </c>
      <c r="AB31" s="19">
        <f t="shared" si="4"/>
        <v>0</v>
      </c>
      <c r="AC31" s="22" t="s">
        <v>28</v>
      </c>
    </row>
    <row r="32" ht="14.25" customHeight="1">
      <c r="A32" s="1"/>
      <c r="B32" s="71" t="s">
        <v>95</v>
      </c>
      <c r="C32" s="126">
        <v>2021.0</v>
      </c>
      <c r="D32" s="126">
        <v>2060.0</v>
      </c>
      <c r="E32" s="126">
        <v>2115.0</v>
      </c>
      <c r="F32" s="126">
        <v>2186.0</v>
      </c>
      <c r="G32" s="126">
        <v>2250.0</v>
      </c>
      <c r="H32" s="196" t="s">
        <v>233</v>
      </c>
      <c r="I32" s="1"/>
      <c r="J32" s="1"/>
      <c r="K32" s="1"/>
      <c r="L32" s="15" t="s">
        <v>96</v>
      </c>
      <c r="M32" s="124">
        <v>0.0</v>
      </c>
      <c r="N32" s="72">
        <f>M32/C7*100</f>
        <v>0</v>
      </c>
      <c r="O32" s="118">
        <v>0.0</v>
      </c>
      <c r="P32" s="72">
        <f>O32/D7*100</f>
        <v>0</v>
      </c>
      <c r="Q32" s="129">
        <v>0.0</v>
      </c>
      <c r="R32" s="72">
        <f>Q32/E7*100</f>
        <v>0</v>
      </c>
      <c r="S32" s="124">
        <v>2.0</v>
      </c>
      <c r="T32" s="72">
        <f>S32/F7*100</f>
        <v>0.007688759034</v>
      </c>
      <c r="U32" s="124">
        <v>12.0</v>
      </c>
      <c r="V32" s="72">
        <f>U32/G7*100</f>
        <v>0.04471938585</v>
      </c>
      <c r="W32" s="124">
        <v>4.0</v>
      </c>
      <c r="X32" s="72">
        <f>W32/H7*100</f>
        <v>0.01446968601</v>
      </c>
      <c r="Y32" s="19">
        <f t="shared" ref="Y32:Z32" si="39">((M32+O32+Q32+S32)/4)</f>
        <v>0.5</v>
      </c>
      <c r="Z32" s="74">
        <f t="shared" si="39"/>
        <v>0.001922189759</v>
      </c>
      <c r="AA32" s="19">
        <f t="shared" si="3"/>
        <v>7</v>
      </c>
      <c r="AB32" s="19">
        <f t="shared" si="4"/>
        <v>0.02959453593</v>
      </c>
      <c r="AC32" s="22" t="s">
        <v>57</v>
      </c>
    </row>
    <row r="33" ht="14.25" customHeight="1">
      <c r="A33" s="1"/>
      <c r="B33" s="71" t="s">
        <v>99</v>
      </c>
      <c r="C33" s="126">
        <v>2552.0</v>
      </c>
      <c r="D33" s="126">
        <v>2561.0</v>
      </c>
      <c r="E33" s="126">
        <v>2593.0</v>
      </c>
      <c r="F33" s="126">
        <v>2632.0</v>
      </c>
      <c r="G33" s="126">
        <v>2674.0</v>
      </c>
      <c r="H33" s="126">
        <v>2721.0</v>
      </c>
      <c r="I33" s="1"/>
      <c r="J33" s="1"/>
      <c r="K33" s="1"/>
      <c r="L33" s="15" t="s">
        <v>100</v>
      </c>
      <c r="M33" s="17"/>
      <c r="N33" s="19">
        <f>M33/C7*10000</f>
        <v>0</v>
      </c>
      <c r="O33" s="17"/>
      <c r="P33" s="19">
        <f>O33/D7*10000</f>
        <v>0</v>
      </c>
      <c r="Q33" s="20"/>
      <c r="R33" s="19">
        <f>Q33/E7*10000</f>
        <v>0</v>
      </c>
      <c r="S33" s="118">
        <v>2383.0</v>
      </c>
      <c r="T33" s="19">
        <f>S33/F7*10000</f>
        <v>916.1156389</v>
      </c>
      <c r="U33" s="118">
        <v>2357.0</v>
      </c>
      <c r="V33" s="19">
        <f>U33/G7*10000</f>
        <v>878.3632705</v>
      </c>
      <c r="W33" s="118">
        <v>1501.0</v>
      </c>
      <c r="X33" s="19">
        <f>W33/H7*10000</f>
        <v>542.9749674</v>
      </c>
      <c r="Y33" s="19">
        <f t="shared" ref="Y33:Z33" si="40">((M33+O33+Q33+S33)/4)</f>
        <v>595.75</v>
      </c>
      <c r="Z33" s="19">
        <f t="shared" si="40"/>
        <v>229.0289097</v>
      </c>
      <c r="AA33" s="19">
        <f t="shared" si="3"/>
        <v>2370</v>
      </c>
      <c r="AB33" s="19">
        <f t="shared" si="4"/>
        <v>710.669119</v>
      </c>
      <c r="AC33" s="22" t="s">
        <v>57</v>
      </c>
    </row>
    <row r="34" ht="14.25" customHeight="1">
      <c r="A34" s="1"/>
      <c r="B34" s="71" t="s">
        <v>101</v>
      </c>
      <c r="C34" s="126">
        <v>5996.0</v>
      </c>
      <c r="D34" s="126">
        <v>6086.0</v>
      </c>
      <c r="E34" s="126">
        <v>6196.0</v>
      </c>
      <c r="F34" s="126">
        <v>6287.0</v>
      </c>
      <c r="G34" s="126">
        <v>6362.0</v>
      </c>
      <c r="H34" s="126">
        <v>6420.0</v>
      </c>
      <c r="I34" s="1"/>
      <c r="J34" s="1"/>
      <c r="K34" s="1"/>
      <c r="L34" s="15" t="s">
        <v>102</v>
      </c>
      <c r="M34" s="17"/>
      <c r="N34" s="19">
        <f>M34/C7*10000</f>
        <v>0</v>
      </c>
      <c r="O34" s="17"/>
      <c r="P34" s="19">
        <f>O34/D7*10000</f>
        <v>0</v>
      </c>
      <c r="Q34" s="20"/>
      <c r="R34" s="19">
        <f>Q34/E7*10000</f>
        <v>0</v>
      </c>
      <c r="S34" s="118">
        <v>1083.0</v>
      </c>
      <c r="T34" s="19">
        <f>S34/F7*10000</f>
        <v>416.3463017</v>
      </c>
      <c r="U34" s="118">
        <v>1692.0</v>
      </c>
      <c r="V34" s="19">
        <f>U34/G7*10000</f>
        <v>630.5433405</v>
      </c>
      <c r="W34" s="118">
        <v>666.0</v>
      </c>
      <c r="X34" s="19">
        <f>W34/H7*10000</f>
        <v>240.920272</v>
      </c>
      <c r="Y34" s="19">
        <f t="shared" ref="Y34:Z34" si="41">((M34+O34+Q34+S34)/4)</f>
        <v>270.75</v>
      </c>
      <c r="Z34" s="19">
        <f t="shared" si="41"/>
        <v>104.0865754</v>
      </c>
      <c r="AA34" s="19">
        <f t="shared" si="3"/>
        <v>1387.5</v>
      </c>
      <c r="AB34" s="19">
        <f t="shared" si="4"/>
        <v>435.7318063</v>
      </c>
      <c r="AC34" s="22" t="s">
        <v>57</v>
      </c>
    </row>
    <row r="35" ht="14.25" customHeight="1">
      <c r="A35" s="1"/>
      <c r="B35" s="71" t="s">
        <v>103</v>
      </c>
      <c r="C35" s="126">
        <v>10824.0</v>
      </c>
      <c r="D35" s="126">
        <v>11231.0</v>
      </c>
      <c r="E35" s="126">
        <v>11696.0</v>
      </c>
      <c r="F35" s="126">
        <v>12197.0</v>
      </c>
      <c r="G35" s="126">
        <v>12690.0</v>
      </c>
      <c r="H35" s="126">
        <v>13170.0</v>
      </c>
      <c r="I35" s="1"/>
      <c r="J35" s="1"/>
      <c r="K35" s="1"/>
      <c r="L35" s="15" t="s">
        <v>104</v>
      </c>
      <c r="M35" s="118">
        <v>13.0</v>
      </c>
      <c r="N35" s="19">
        <f>M35/M4*1000</f>
        <v>53.94190871</v>
      </c>
      <c r="O35" s="118">
        <v>16.0</v>
      </c>
      <c r="P35" s="19">
        <f>O35/O4*1000</f>
        <v>66.94560669</v>
      </c>
      <c r="Q35" s="129">
        <v>26.0</v>
      </c>
      <c r="R35" s="19">
        <f>Q35/Q4*1000</f>
        <v>100.7751938</v>
      </c>
      <c r="S35" s="118">
        <v>12.0</v>
      </c>
      <c r="T35" s="19">
        <f>S35/S4*1000</f>
        <v>49.38271605</v>
      </c>
      <c r="U35" s="118">
        <v>21.0</v>
      </c>
      <c r="V35" s="19">
        <f>U35/U4*1000</f>
        <v>96.33027523</v>
      </c>
      <c r="W35" s="118">
        <v>20.0</v>
      </c>
      <c r="X35" s="19" t="str">
        <f>W35/W4*1000</f>
        <v>#DIV/0!</v>
      </c>
      <c r="Y35" s="19">
        <f t="shared" ref="Y35:Z35" si="42">((M35+O35+Q35+S35)/4)</f>
        <v>16.75</v>
      </c>
      <c r="Z35" s="19">
        <f t="shared" si="42"/>
        <v>67.76135631</v>
      </c>
      <c r="AA35" s="19">
        <f t="shared" si="3"/>
        <v>16.5</v>
      </c>
      <c r="AB35" s="19" t="str">
        <f t="shared" si="4"/>
        <v>#DIV/0!</v>
      </c>
      <c r="AC35" s="22" t="s">
        <v>57</v>
      </c>
    </row>
    <row r="36" ht="14.25" customHeight="1">
      <c r="A36" s="1"/>
      <c r="B36" s="71" t="s">
        <v>105</v>
      </c>
      <c r="C36" s="126">
        <v>2900.0</v>
      </c>
      <c r="D36" s="126">
        <v>3048.0</v>
      </c>
      <c r="E36" s="196" t="s">
        <v>242</v>
      </c>
      <c r="F36" s="196" t="s">
        <v>243</v>
      </c>
      <c r="G36" s="196" t="s">
        <v>244</v>
      </c>
      <c r="H36" s="196" t="s">
        <v>245</v>
      </c>
      <c r="I36" s="1"/>
      <c r="J36" s="1"/>
      <c r="K36" s="1"/>
      <c r="L36" s="15" t="s">
        <v>106</v>
      </c>
      <c r="M36" s="118">
        <v>2.0</v>
      </c>
      <c r="N36" s="19">
        <f>M36/M4*1000</f>
        <v>8.298755187</v>
      </c>
      <c r="O36" s="118">
        <v>5.0</v>
      </c>
      <c r="P36" s="19">
        <f>O36/O4*1000</f>
        <v>20.92050209</v>
      </c>
      <c r="Q36" s="129">
        <v>3.0</v>
      </c>
      <c r="R36" s="19">
        <f>Q36/Q4*1000</f>
        <v>11.62790698</v>
      </c>
      <c r="S36" s="118">
        <v>4.0</v>
      </c>
      <c r="T36" s="19">
        <f>S36/S4*1000</f>
        <v>16.46090535</v>
      </c>
      <c r="U36" s="118">
        <v>6.0</v>
      </c>
      <c r="V36" s="19">
        <f>U36/U4*1000</f>
        <v>27.52293578</v>
      </c>
      <c r="W36" s="118">
        <v>3.0</v>
      </c>
      <c r="X36" s="19" t="str">
        <f>W36/W4*1000</f>
        <v>#DIV/0!</v>
      </c>
      <c r="Y36" s="19">
        <f t="shared" ref="Y36:Z36" si="43">((M36+O36+Q36+S36)/4)</f>
        <v>3.5</v>
      </c>
      <c r="Z36" s="19">
        <f t="shared" si="43"/>
        <v>14.3270174</v>
      </c>
      <c r="AA36" s="19">
        <f t="shared" si="3"/>
        <v>5</v>
      </c>
      <c r="AB36" s="19" t="str">
        <f t="shared" si="4"/>
        <v>#DIV/0!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118">
        <v>0.0</v>
      </c>
      <c r="N37" s="36"/>
      <c r="O37" s="118">
        <v>1.0</v>
      </c>
      <c r="P37" s="36"/>
      <c r="Q37" s="129">
        <v>1.0</v>
      </c>
      <c r="R37" s="36"/>
      <c r="S37" s="118">
        <v>1.0</v>
      </c>
      <c r="T37" s="36"/>
      <c r="U37" s="118">
        <v>0.0</v>
      </c>
      <c r="V37" s="36"/>
      <c r="W37" s="118">
        <v>0.0</v>
      </c>
      <c r="X37" s="36"/>
      <c r="Y37" s="36">
        <f t="shared" ref="Y37:Z37" si="44">((M37+O37+Q37+S37)/4)</f>
        <v>0.75</v>
      </c>
      <c r="Z37" s="36">
        <f t="shared" si="44"/>
        <v>0</v>
      </c>
      <c r="AA37" s="36">
        <f t="shared" si="3"/>
        <v>0.5</v>
      </c>
      <c r="AB37" s="36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18">
        <v>0.0</v>
      </c>
      <c r="N38" s="19">
        <f>M38/C7*10000</f>
        <v>0</v>
      </c>
      <c r="O38" s="118">
        <v>0.0</v>
      </c>
      <c r="P38" s="19">
        <f>O38/E7*10000</f>
        <v>0</v>
      </c>
      <c r="Q38" s="129">
        <v>6.0</v>
      </c>
      <c r="R38" s="19">
        <f>Q38/E7*10000</f>
        <v>2.382843527</v>
      </c>
      <c r="S38" s="118">
        <v>4.0</v>
      </c>
      <c r="T38" s="19">
        <f>S38/F7*10000</f>
        <v>1.537751807</v>
      </c>
      <c r="U38" s="118">
        <v>1.0</v>
      </c>
      <c r="V38" s="19">
        <f>U38/G7*10000</f>
        <v>0.3726615488</v>
      </c>
      <c r="W38" s="118">
        <v>0.0</v>
      </c>
      <c r="X38" s="19">
        <f>W38/H7*10000</f>
        <v>0</v>
      </c>
      <c r="Y38" s="19">
        <f t="shared" ref="Y38:Z38" si="45">((M38+O38+Q38+S38)/4)</f>
        <v>2.5</v>
      </c>
      <c r="Z38" s="19">
        <f t="shared" si="45"/>
        <v>0.9801488334</v>
      </c>
      <c r="AA38" s="19">
        <f t="shared" si="3"/>
        <v>2.5</v>
      </c>
      <c r="AB38" s="19">
        <f t="shared" si="4"/>
        <v>0.1863307744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7"/>
      <c r="N39" s="19">
        <f>M39/C17*10000</f>
        <v>0</v>
      </c>
      <c r="O39" s="17"/>
      <c r="P39" s="19">
        <f>O39/D17*10000</f>
        <v>0</v>
      </c>
      <c r="Q39" s="20"/>
      <c r="R39" s="19">
        <f>Q39/E17*100000</f>
        <v>0</v>
      </c>
      <c r="S39" s="17"/>
      <c r="T39" s="19">
        <f>S39/F17*100000</f>
        <v>0</v>
      </c>
      <c r="U39" s="17"/>
      <c r="V39" s="19">
        <f>U39/G17*100000</f>
        <v>0</v>
      </c>
      <c r="W39" s="17"/>
      <c r="X39" s="19">
        <f>W39/H17*100000</f>
        <v>0</v>
      </c>
      <c r="Y39" s="19">
        <f t="shared" ref="Y39:Z39" si="46">((M39+O39+Q39+S39)/4)</f>
        <v>0</v>
      </c>
      <c r="Z39" s="19">
        <f t="shared" si="46"/>
        <v>0</v>
      </c>
      <c r="AA39" s="19">
        <f t="shared" si="3"/>
        <v>0</v>
      </c>
      <c r="AB39" s="19">
        <f t="shared" si="4"/>
        <v>0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7"/>
      <c r="N40" s="19">
        <f>M40/C7*100000</f>
        <v>0</v>
      </c>
      <c r="O40" s="17"/>
      <c r="P40" s="19">
        <f>O40/D7*100000</f>
        <v>0</v>
      </c>
      <c r="Q40" s="20"/>
      <c r="R40" s="19">
        <f>Q40/E7*100000</f>
        <v>0</v>
      </c>
      <c r="S40" s="17"/>
      <c r="T40" s="19">
        <f>S40/F7*100000</f>
        <v>0</v>
      </c>
      <c r="U40" s="17"/>
      <c r="V40" s="19">
        <f>U40/G7*100000</f>
        <v>0</v>
      </c>
      <c r="W40" s="17"/>
      <c r="X40" s="19">
        <f>W40/H7*100000</f>
        <v>0</v>
      </c>
      <c r="Y40" s="19">
        <f t="shared" ref="Y40:Z40" si="47">((M40+O40+Q40+S40)/4)</f>
        <v>0</v>
      </c>
      <c r="Z40" s="19">
        <f t="shared" si="47"/>
        <v>0</v>
      </c>
      <c r="AA40" s="19">
        <f t="shared" si="3"/>
        <v>0</v>
      </c>
      <c r="AB40" s="19">
        <f t="shared" si="4"/>
        <v>0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124">
        <v>159.0</v>
      </c>
      <c r="N41" s="57">
        <f>M41/C7*10000</f>
        <v>67.04334626</v>
      </c>
      <c r="O41" s="118">
        <v>150.0</v>
      </c>
      <c r="P41" s="57">
        <f>O41/D7*10000</f>
        <v>61.49053046</v>
      </c>
      <c r="Q41" s="129">
        <v>197.0</v>
      </c>
      <c r="R41" s="57">
        <f>Q41/E7*10000</f>
        <v>78.23669579</v>
      </c>
      <c r="S41" s="124">
        <v>198.0</v>
      </c>
      <c r="T41" s="57">
        <f>S41/F7*10000</f>
        <v>76.11871444</v>
      </c>
      <c r="U41" s="124">
        <v>201.0</v>
      </c>
      <c r="V41" s="57">
        <f>U41/G7*10000</f>
        <v>74.90497131</v>
      </c>
      <c r="W41" s="124">
        <v>121.0</v>
      </c>
      <c r="X41" s="57">
        <f>W41/H7*10000</f>
        <v>43.77080017</v>
      </c>
      <c r="Y41" s="19">
        <f t="shared" ref="Y41:Z41" si="48">((M41+O41+Q41+S41)/4)</f>
        <v>176</v>
      </c>
      <c r="Z41" s="19">
        <f t="shared" si="48"/>
        <v>70.72232174</v>
      </c>
      <c r="AA41" s="19">
        <f t="shared" si="3"/>
        <v>199.5</v>
      </c>
      <c r="AB41" s="19">
        <f t="shared" si="4"/>
        <v>59.33788574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24">
        <v>11.0</v>
      </c>
      <c r="N42" s="57">
        <f>M42/C7*10000</f>
        <v>4.638218924</v>
      </c>
      <c r="O42" s="118">
        <v>1.0</v>
      </c>
      <c r="P42" s="57">
        <f>O42/D7*10000</f>
        <v>0.4099368697</v>
      </c>
      <c r="Q42" s="129">
        <v>7.0</v>
      </c>
      <c r="R42" s="57">
        <f>Q42/E7*10000</f>
        <v>2.779984114</v>
      </c>
      <c r="S42" s="124">
        <v>5.0</v>
      </c>
      <c r="T42" s="57">
        <f>S42/F7*10000</f>
        <v>1.922189759</v>
      </c>
      <c r="U42" s="124">
        <v>14.0</v>
      </c>
      <c r="V42" s="57">
        <f>U42/G7*10000</f>
        <v>5.217261683</v>
      </c>
      <c r="W42" s="124">
        <v>55.0</v>
      </c>
      <c r="X42" s="57">
        <f>W42/H7*10000</f>
        <v>19.89581826</v>
      </c>
      <c r="Y42" s="19">
        <f t="shared" ref="Y42:Z42" si="49">((M42+O42+Q42+S42)/4)</f>
        <v>6</v>
      </c>
      <c r="Z42" s="19">
        <f t="shared" si="49"/>
        <v>2.437582417</v>
      </c>
      <c r="AA42" s="19">
        <f t="shared" si="3"/>
        <v>9.5</v>
      </c>
      <c r="AB42" s="19">
        <f t="shared" si="4"/>
        <v>12.55653997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124"/>
      <c r="N43" s="57">
        <f>M43/C16*10000</f>
        <v>0</v>
      </c>
      <c r="O43" s="17"/>
      <c r="P43" s="57">
        <f>O43/D16*10000</f>
        <v>0</v>
      </c>
      <c r="Q43" s="20"/>
      <c r="R43" s="57">
        <f>Q43/E16*100000</f>
        <v>0</v>
      </c>
      <c r="S43" s="56"/>
      <c r="T43" s="57">
        <f>S43/F16*100000</f>
        <v>0</v>
      </c>
      <c r="U43" s="56"/>
      <c r="V43" s="57">
        <f>U43/G16*100000</f>
        <v>0</v>
      </c>
      <c r="W43" s="56"/>
      <c r="X43" s="57">
        <f>W43/H16*100000</f>
        <v>0</v>
      </c>
      <c r="Y43" s="19">
        <f t="shared" ref="Y43:Z43" si="50">((M43+O43+Q43+S43)/4)</f>
        <v>0</v>
      </c>
      <c r="Z43" s="19">
        <f t="shared" si="50"/>
        <v>0</v>
      </c>
      <c r="AA43" s="19">
        <f t="shared" si="3"/>
        <v>0</v>
      </c>
      <c r="AB43" s="19">
        <f t="shared" si="4"/>
        <v>0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26.0</v>
      </c>
      <c r="N44" s="57">
        <f>M44/C7*100000</f>
        <v>109.6306291</v>
      </c>
      <c r="O44" s="118">
        <v>44.0</v>
      </c>
      <c r="P44" s="57">
        <f>O44/D7*100000</f>
        <v>180.3722227</v>
      </c>
      <c r="Q44" s="118">
        <v>42.0</v>
      </c>
      <c r="R44" s="19">
        <f>Q44/E7*100000</f>
        <v>166.7990469</v>
      </c>
      <c r="S44" s="118">
        <v>31.0</v>
      </c>
      <c r="T44" s="19">
        <f>S44/F7*100000</f>
        <v>119.175765</v>
      </c>
      <c r="U44" s="118">
        <v>23.0</v>
      </c>
      <c r="V44" s="19">
        <f>U44/G7*100000</f>
        <v>85.71215622</v>
      </c>
      <c r="W44" s="118">
        <v>17.0</v>
      </c>
      <c r="X44" s="19">
        <f>W44/H7*100000</f>
        <v>61.49616553</v>
      </c>
      <c r="Y44" s="19">
        <f t="shared" ref="Y44:Z44" si="51">((M44+O44+Q44+S44)/4)</f>
        <v>35.75</v>
      </c>
      <c r="Z44" s="19">
        <f t="shared" si="51"/>
        <v>143.9944159</v>
      </c>
      <c r="AA44" s="19">
        <f t="shared" si="3"/>
        <v>27</v>
      </c>
      <c r="AB44" s="19">
        <f t="shared" si="4"/>
        <v>73.60416088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127">
        <v>244.0</v>
      </c>
      <c r="N45" s="57">
        <f>M45/M4*100</f>
        <v>101.2448133</v>
      </c>
      <c r="O45" s="118">
        <v>235.0</v>
      </c>
      <c r="P45" s="57">
        <f>O45/O4*100</f>
        <v>98.32635983</v>
      </c>
      <c r="Q45" s="118">
        <v>256.0</v>
      </c>
      <c r="R45" s="19">
        <f>Q45/Q4*100</f>
        <v>99.2248062</v>
      </c>
      <c r="S45" s="118">
        <v>245.0</v>
      </c>
      <c r="T45" s="19">
        <f>S45/S4*100</f>
        <v>100.8230453</v>
      </c>
      <c r="U45" s="118">
        <v>240.0</v>
      </c>
      <c r="V45" s="19">
        <f>U45/U4*100</f>
        <v>110.0917431</v>
      </c>
      <c r="W45" s="118">
        <v>129.0</v>
      </c>
      <c r="X45" s="19" t="str">
        <f>W45/W4*100</f>
        <v>#DIV/0!</v>
      </c>
      <c r="Y45" s="19">
        <f t="shared" ref="Y45:Z45" si="52">((M45+O45+Q45+S45)/4)</f>
        <v>245</v>
      </c>
      <c r="Z45" s="19">
        <f t="shared" si="52"/>
        <v>99.90475614</v>
      </c>
      <c r="AA45" s="19">
        <f t="shared" si="3"/>
        <v>242.5</v>
      </c>
      <c r="AB45" s="19" t="str">
        <f t="shared" si="4"/>
        <v>#DIV/0!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127">
        <v>202.0</v>
      </c>
      <c r="N46" s="57">
        <f>M46/M4*100</f>
        <v>83.81742739</v>
      </c>
      <c r="O46" s="118">
        <v>187.0</v>
      </c>
      <c r="P46" s="57">
        <f>O46/O4*100</f>
        <v>78.24267782</v>
      </c>
      <c r="Q46" s="118">
        <v>201.0</v>
      </c>
      <c r="R46" s="19">
        <f>Q46/Q4*100</f>
        <v>77.90697674</v>
      </c>
      <c r="S46" s="118">
        <v>199.0</v>
      </c>
      <c r="T46" s="19">
        <f>S46/S4*100</f>
        <v>81.89300412</v>
      </c>
      <c r="U46" s="118">
        <v>204.0</v>
      </c>
      <c r="V46" s="19">
        <f>U46/U4*100</f>
        <v>93.57798165</v>
      </c>
      <c r="W46" s="118">
        <v>104.0</v>
      </c>
      <c r="X46" s="19" t="str">
        <f>W46/W4*100</f>
        <v>#DIV/0!</v>
      </c>
      <c r="Y46" s="19">
        <f t="shared" ref="Y46:Z46" si="53">((M46+O46+Q46+S46)/4)</f>
        <v>197.25</v>
      </c>
      <c r="Z46" s="19">
        <f t="shared" si="53"/>
        <v>80.46502152</v>
      </c>
      <c r="AA46" s="19">
        <f t="shared" si="3"/>
        <v>201.5</v>
      </c>
      <c r="AB46" s="19" t="str">
        <f t="shared" si="4"/>
        <v>#DIV/0!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20"/>
      <c r="N47" s="19">
        <f>M47/C7*100000</f>
        <v>0</v>
      </c>
      <c r="O47" s="20"/>
      <c r="P47" s="19">
        <f>O47/D7*100000</f>
        <v>0</v>
      </c>
      <c r="Q47" s="20"/>
      <c r="R47" s="19">
        <f>Q47/E7*100000</f>
        <v>0</v>
      </c>
      <c r="S47" s="17"/>
      <c r="T47" s="19">
        <f>S47/F7*100000</f>
        <v>0</v>
      </c>
      <c r="U47" s="17"/>
      <c r="V47" s="19">
        <f>U47/G7*100000</f>
        <v>0</v>
      </c>
      <c r="W47" s="17"/>
      <c r="X47" s="19">
        <f>W47/H7*100000</f>
        <v>0</v>
      </c>
      <c r="Y47" s="19">
        <f t="shared" ref="Y47:Z47" si="54">((M47+O47+Q47+S47)/4)</f>
        <v>0</v>
      </c>
      <c r="Z47" s="19">
        <f t="shared" si="54"/>
        <v>0</v>
      </c>
      <c r="AA47" s="19">
        <f t="shared" si="3"/>
        <v>0</v>
      </c>
      <c r="AB47" s="19">
        <f t="shared" si="4"/>
        <v>0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20"/>
      <c r="N48" s="19">
        <f>M48/C7*100000</f>
        <v>0</v>
      </c>
      <c r="O48" s="17"/>
      <c r="P48" s="19">
        <f>O48/D7*100000</f>
        <v>0</v>
      </c>
      <c r="Q48" s="20"/>
      <c r="R48" s="19">
        <f>Q48/E7*100000</f>
        <v>0</v>
      </c>
      <c r="S48" s="17"/>
      <c r="T48" s="19">
        <f>S48/F7*100000</f>
        <v>0</v>
      </c>
      <c r="U48" s="17"/>
      <c r="V48" s="19">
        <f>U48/G7*100000</f>
        <v>0</v>
      </c>
      <c r="W48" s="17"/>
      <c r="X48" s="19">
        <f>W48/H7*100000</f>
        <v>0</v>
      </c>
      <c r="Y48" s="19">
        <f t="shared" ref="Y48:Z48" si="55">((M48+O48+Q48+S48)/4)</f>
        <v>0</v>
      </c>
      <c r="Z48" s="19">
        <f t="shared" si="55"/>
        <v>0</v>
      </c>
      <c r="AA48" s="19">
        <f t="shared" si="3"/>
        <v>0</v>
      </c>
      <c r="AB48" s="19">
        <f t="shared" si="4"/>
        <v>0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29">
        <v>2.0</v>
      </c>
      <c r="N49" s="19">
        <f>M49/C7*100000</f>
        <v>8.433125316</v>
      </c>
      <c r="O49" s="118">
        <v>3.0</v>
      </c>
      <c r="P49" s="19">
        <f>O49/D7*100000</f>
        <v>12.29810609</v>
      </c>
      <c r="Q49" s="129">
        <v>0.0</v>
      </c>
      <c r="R49" s="19">
        <f>Q49/E7*100000</f>
        <v>0</v>
      </c>
      <c r="S49" s="118">
        <v>0.0</v>
      </c>
      <c r="T49" s="19">
        <f>S49/F7*100000</f>
        <v>0</v>
      </c>
      <c r="U49" s="118">
        <v>0.0</v>
      </c>
      <c r="V49" s="19">
        <f>U49/G7*100000</f>
        <v>0</v>
      </c>
      <c r="W49" s="118">
        <v>0.0</v>
      </c>
      <c r="X49" s="19">
        <f>W49/H7*100000</f>
        <v>0</v>
      </c>
      <c r="Y49" s="19">
        <f t="shared" ref="Y49:Z49" si="56">((M49+O49+Q49+S49)/4)</f>
        <v>1.25</v>
      </c>
      <c r="Z49" s="19">
        <f t="shared" si="56"/>
        <v>5.182807852</v>
      </c>
      <c r="AA49" s="19">
        <f t="shared" si="3"/>
        <v>0</v>
      </c>
      <c r="AB49" s="19">
        <f t="shared" si="4"/>
        <v>0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129">
        <v>0.0</v>
      </c>
      <c r="N50" s="19">
        <f>M50/C7*100000</f>
        <v>0</v>
      </c>
      <c r="O50" s="129">
        <v>0.0</v>
      </c>
      <c r="P50" s="19">
        <f>O50/D7*100000</f>
        <v>0</v>
      </c>
      <c r="Q50" s="129">
        <v>0.0</v>
      </c>
      <c r="R50" s="19">
        <f>Q50/E7*100000</f>
        <v>0</v>
      </c>
      <c r="S50" s="118">
        <v>0.0</v>
      </c>
      <c r="T50" s="19">
        <f>S50/F7*100000</f>
        <v>0</v>
      </c>
      <c r="U50" s="118">
        <v>1.0</v>
      </c>
      <c r="V50" s="19">
        <f>U50/G7*100000</f>
        <v>3.726615488</v>
      </c>
      <c r="W50" s="118">
        <v>0.0</v>
      </c>
      <c r="X50" s="19">
        <f>W50/H7*100000</f>
        <v>0</v>
      </c>
      <c r="Y50" s="19">
        <f t="shared" ref="Y50:Z50" si="57">((M50+O50+Q50+S50)/4)</f>
        <v>0</v>
      </c>
      <c r="Z50" s="19">
        <f t="shared" si="57"/>
        <v>0</v>
      </c>
      <c r="AA50" s="19">
        <f t="shared" si="3"/>
        <v>0.5</v>
      </c>
      <c r="AB50" s="19">
        <f t="shared" si="4"/>
        <v>1.863307744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29">
        <v>0.0</v>
      </c>
      <c r="N51" s="19">
        <f>M51/C7*100000</f>
        <v>0</v>
      </c>
      <c r="O51" s="129">
        <v>0.0</v>
      </c>
      <c r="P51" s="19">
        <f>O51/D7*100000</f>
        <v>0</v>
      </c>
      <c r="Q51" s="129">
        <v>0.0</v>
      </c>
      <c r="R51" s="19">
        <f>Q51/E7*100000</f>
        <v>0</v>
      </c>
      <c r="S51" s="118">
        <v>0.0</v>
      </c>
      <c r="T51" s="19">
        <f>S51/F7*100000</f>
        <v>0</v>
      </c>
      <c r="U51" s="118">
        <v>0.0</v>
      </c>
      <c r="V51" s="19">
        <f>U51/G7*100000</f>
        <v>0</v>
      </c>
      <c r="W51" s="118">
        <v>0.0</v>
      </c>
      <c r="X51" s="19">
        <f>W51/H7*100000</f>
        <v>0</v>
      </c>
      <c r="Y51" s="19">
        <f t="shared" ref="Y51:Z51" si="58">((M51+O51+Q51+S51)/4)</f>
        <v>0</v>
      </c>
      <c r="Z51" s="19">
        <f t="shared" si="58"/>
        <v>0</v>
      </c>
      <c r="AA51" s="19">
        <f t="shared" si="3"/>
        <v>0</v>
      </c>
      <c r="AB51" s="19">
        <f t="shared" si="4"/>
        <v>0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29">
        <v>1.0</v>
      </c>
      <c r="N52" s="19">
        <f>M52/C7*100000</f>
        <v>4.216562658</v>
      </c>
      <c r="O52" s="129">
        <v>0.0</v>
      </c>
      <c r="P52" s="19">
        <f>O52/D7*100000</f>
        <v>0</v>
      </c>
      <c r="Q52" s="129">
        <v>0.0</v>
      </c>
      <c r="R52" s="19">
        <f>Q52/E7*100000</f>
        <v>0</v>
      </c>
      <c r="S52" s="118">
        <v>1.0</v>
      </c>
      <c r="T52" s="19">
        <f>S52/F7*100000</f>
        <v>3.844379517</v>
      </c>
      <c r="U52" s="118">
        <v>3.0</v>
      </c>
      <c r="V52" s="19">
        <f>U52/G7*100000</f>
        <v>11.17984646</v>
      </c>
      <c r="W52" s="118">
        <v>0.0</v>
      </c>
      <c r="X52" s="19">
        <f>W52/H7*100000</f>
        <v>0</v>
      </c>
      <c r="Y52" s="19">
        <f t="shared" ref="Y52:Z52" si="59">((M52+O52+Q52+S52)/4)</f>
        <v>0.5</v>
      </c>
      <c r="Z52" s="19">
        <f t="shared" si="59"/>
        <v>2.015235544</v>
      </c>
      <c r="AA52" s="19">
        <f t="shared" si="3"/>
        <v>2</v>
      </c>
      <c r="AB52" s="19">
        <f t="shared" si="4"/>
        <v>5.589923232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129">
        <v>0.0</v>
      </c>
      <c r="N53" s="19">
        <f>M53/C17*100000</f>
        <v>0</v>
      </c>
      <c r="O53" s="129">
        <v>1.0</v>
      </c>
      <c r="P53" s="19">
        <f>O53/D17*100000</f>
        <v>14.02327864</v>
      </c>
      <c r="Q53" s="129">
        <v>0.0</v>
      </c>
      <c r="R53" s="19">
        <f>Q53/E17*100000</f>
        <v>0</v>
      </c>
      <c r="S53" s="118">
        <v>1.0</v>
      </c>
      <c r="T53" s="19">
        <f>S53/F17*100000</f>
        <v>13.55748373</v>
      </c>
      <c r="U53" s="118">
        <v>1.0</v>
      </c>
      <c r="V53" s="19">
        <f>U53/G17*100000</f>
        <v>13.33155579</v>
      </c>
      <c r="W53" s="118">
        <v>0.0</v>
      </c>
      <c r="X53" s="19">
        <f>W53/H17*100000</f>
        <v>0</v>
      </c>
      <c r="Y53" s="19">
        <f t="shared" ref="Y53:Z53" si="60">((M53+O53+Q53+S53)/4)</f>
        <v>0.5</v>
      </c>
      <c r="Z53" s="19">
        <f t="shared" si="60"/>
        <v>6.895190593</v>
      </c>
      <c r="AA53" s="19">
        <f t="shared" si="3"/>
        <v>1</v>
      </c>
      <c r="AB53" s="19">
        <f t="shared" si="4"/>
        <v>6.665777896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129">
        <v>0.0</v>
      </c>
      <c r="N54" s="19">
        <f>M54/C19*100000</f>
        <v>0</v>
      </c>
      <c r="O54" s="129">
        <v>0.0</v>
      </c>
      <c r="P54" s="19">
        <f>O54/D19*100000</f>
        <v>0</v>
      </c>
      <c r="Q54" s="129">
        <v>0.0</v>
      </c>
      <c r="R54" s="19">
        <f>Q54/E19*100000</f>
        <v>0</v>
      </c>
      <c r="S54" s="118">
        <v>0.0</v>
      </c>
      <c r="T54" s="19">
        <f>S54/F19*100000</f>
        <v>0</v>
      </c>
      <c r="U54" s="118">
        <v>0.0</v>
      </c>
      <c r="V54" s="19">
        <f>U54/G19*100000</f>
        <v>0</v>
      </c>
      <c r="W54" s="118">
        <v>0.0</v>
      </c>
      <c r="X54" s="19">
        <f>W54/H19*100000</f>
        <v>0</v>
      </c>
      <c r="Y54" s="19">
        <f t="shared" ref="Y54:Z54" si="61">((M54+O54+Q54+S54)/4)</f>
        <v>0</v>
      </c>
      <c r="Z54" s="19">
        <f t="shared" si="61"/>
        <v>0</v>
      </c>
      <c r="AA54" s="19">
        <f t="shared" si="3"/>
        <v>0</v>
      </c>
      <c r="AB54" s="19">
        <f t="shared" si="4"/>
        <v>0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129">
        <v>0.0</v>
      </c>
      <c r="N55" s="19">
        <f>M55/C19*100000</f>
        <v>0</v>
      </c>
      <c r="O55" s="129">
        <v>0.0</v>
      </c>
      <c r="P55" s="19">
        <f>O55/D19*100000</f>
        <v>0</v>
      </c>
      <c r="Q55" s="129">
        <v>0.0</v>
      </c>
      <c r="R55" s="19">
        <f>Q55/E19*100000</f>
        <v>0</v>
      </c>
      <c r="S55" s="118">
        <v>0.0</v>
      </c>
      <c r="T55" s="19">
        <f>S55/F19*100000</f>
        <v>0</v>
      </c>
      <c r="U55" s="118">
        <v>0.0</v>
      </c>
      <c r="V55" s="19">
        <f>U55/G19*100000</f>
        <v>0</v>
      </c>
      <c r="W55" s="118">
        <v>0.0</v>
      </c>
      <c r="X55" s="19">
        <f>W55/H19*100000</f>
        <v>0</v>
      </c>
      <c r="Y55" s="19">
        <f t="shared" ref="Y55:Z55" si="62">((M55+O55+Q55+S55)/4)</f>
        <v>0</v>
      </c>
      <c r="Z55" s="19">
        <f t="shared" si="62"/>
        <v>0</v>
      </c>
      <c r="AA55" s="19">
        <f t="shared" si="3"/>
        <v>0</v>
      </c>
      <c r="AB55" s="19">
        <f t="shared" si="4"/>
        <v>0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29">
        <v>0.0</v>
      </c>
      <c r="N56" s="19">
        <f>M56/C7*100000</f>
        <v>0</v>
      </c>
      <c r="O56" s="129">
        <v>0.0</v>
      </c>
      <c r="P56" s="19">
        <f>O56/D7*100000</f>
        <v>0</v>
      </c>
      <c r="Q56" s="129">
        <v>0.0</v>
      </c>
      <c r="R56" s="19">
        <f>Q56/E7*100000</f>
        <v>0</v>
      </c>
      <c r="S56" s="118">
        <v>0.0</v>
      </c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29">
        <v>0.0</v>
      </c>
      <c r="N57" s="19">
        <f>M57/M4*100000</f>
        <v>0</v>
      </c>
      <c r="O57" s="129">
        <v>0.0</v>
      </c>
      <c r="P57" s="19">
        <f>O57/O4*100000</f>
        <v>0</v>
      </c>
      <c r="Q57" s="129">
        <v>0.0</v>
      </c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 t="str">
        <f>W57/W4*100000</f>
        <v>#DIV/0!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 t="str">
        <f t="shared" si="4"/>
        <v>#DIV/0!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86"/>
      <c r="N58" s="57">
        <f>M58/C7*100000</f>
        <v>0</v>
      </c>
      <c r="O58" s="86"/>
      <c r="P58" s="57">
        <f>O58/D7*100000</f>
        <v>0</v>
      </c>
      <c r="Q58" s="86"/>
      <c r="R58" s="57">
        <f>Q58/E7*100000</f>
        <v>0</v>
      </c>
      <c r="S58" s="56"/>
      <c r="T58" s="57">
        <f>S58/F7*100000</f>
        <v>0</v>
      </c>
      <c r="U58" s="56"/>
      <c r="V58" s="57">
        <f>U58/G7*100000</f>
        <v>0</v>
      </c>
      <c r="W58" s="56"/>
      <c r="X58" s="57">
        <f>W58/H7*100000</f>
        <v>0</v>
      </c>
      <c r="Y58" s="19">
        <f t="shared" ref="Y58:Z58" si="65">((M58+O58+Q58+S58)/4)</f>
        <v>0</v>
      </c>
      <c r="Z58" s="19">
        <f t="shared" si="65"/>
        <v>0</v>
      </c>
      <c r="AA58" s="19">
        <f t="shared" si="3"/>
        <v>0</v>
      </c>
      <c r="AB58" s="19">
        <f t="shared" si="4"/>
        <v>0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127">
        <v>0.0</v>
      </c>
      <c r="N59" s="57">
        <f>M59/C7*100000</f>
        <v>0</v>
      </c>
      <c r="O59" s="127">
        <v>0.0</v>
      </c>
      <c r="P59" s="57">
        <f>O59/D7*100000</f>
        <v>0</v>
      </c>
      <c r="Q59" s="127">
        <v>0.0</v>
      </c>
      <c r="R59" s="57">
        <f>Q59/E7*100000</f>
        <v>0</v>
      </c>
      <c r="S59" s="137">
        <v>0.0</v>
      </c>
      <c r="T59" s="98">
        <f>S59/F7*100000</f>
        <v>0</v>
      </c>
      <c r="U59" s="137">
        <v>0.0</v>
      </c>
      <c r="V59" s="98">
        <f>U59/G7*100000</f>
        <v>0</v>
      </c>
      <c r="W59" s="137">
        <v>0.0</v>
      </c>
      <c r="X59" s="98">
        <f>W59/H7*100000</f>
        <v>0</v>
      </c>
      <c r="Y59" s="99">
        <f t="shared" ref="Y59:Z59" si="66">((M59+O59+Q59+S59)/4)</f>
        <v>0</v>
      </c>
      <c r="Z59" s="99">
        <f t="shared" si="66"/>
        <v>0</v>
      </c>
      <c r="AA59" s="19">
        <f t="shared" si="3"/>
        <v>0</v>
      </c>
      <c r="AB59" s="19">
        <f t="shared" si="4"/>
        <v>0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86"/>
      <c r="N60" s="57">
        <f>M60/C17*100000</f>
        <v>0</v>
      </c>
      <c r="O60" s="86"/>
      <c r="P60" s="57">
        <f>O60/D17*100000</f>
        <v>0</v>
      </c>
      <c r="Q60" s="86"/>
      <c r="R60" s="57">
        <f>Q60/E17*100000</f>
        <v>0</v>
      </c>
      <c r="S60" s="56"/>
      <c r="T60" s="57">
        <f>S60/F17*100000</f>
        <v>0</v>
      </c>
      <c r="U60" s="56"/>
      <c r="V60" s="57">
        <f>U60/G17*100000</f>
        <v>0</v>
      </c>
      <c r="W60" s="56"/>
      <c r="X60" s="57">
        <f>W60/H17*100000</f>
        <v>0</v>
      </c>
      <c r="Y60" s="99">
        <f>((M60+O60+Q60+S60)/4)</f>
        <v>0</v>
      </c>
      <c r="Z60" s="99">
        <f>((N60+P60+R60+T60)/1)</f>
        <v>0</v>
      </c>
      <c r="AA60" s="19">
        <f t="shared" si="3"/>
        <v>0</v>
      </c>
      <c r="AB60" s="19">
        <f t="shared" si="4"/>
        <v>0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86"/>
      <c r="N61" s="57">
        <f>M61/C15*1000</f>
        <v>0</v>
      </c>
      <c r="O61" s="86"/>
      <c r="P61" s="57">
        <f>O61/D15*1000</f>
        <v>0</v>
      </c>
      <c r="Q61" s="86"/>
      <c r="R61" s="57">
        <f>Q61/E15*1000</f>
        <v>0</v>
      </c>
      <c r="S61" s="124">
        <v>198.0</v>
      </c>
      <c r="T61" s="57">
        <f>S61/F15*1000</f>
        <v>34.55497382</v>
      </c>
      <c r="U61" s="124">
        <v>204.0</v>
      </c>
      <c r="V61" s="57">
        <f>U61/G15*1000</f>
        <v>35.11187608</v>
      </c>
      <c r="W61" s="124">
        <v>198.0</v>
      </c>
      <c r="X61" s="57">
        <f>W61/H23*1000</f>
        <v>33.9273475</v>
      </c>
      <c r="Y61" s="99">
        <f t="shared" ref="Y61:Z61" si="67">((M61+O61+Q61+S61)/1)</f>
        <v>198</v>
      </c>
      <c r="Z61" s="99">
        <f t="shared" si="67"/>
        <v>34.55497382</v>
      </c>
      <c r="AA61" s="19">
        <f t="shared" si="3"/>
        <v>201</v>
      </c>
      <c r="AB61" s="19">
        <f t="shared" si="4"/>
        <v>34.51961179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86"/>
      <c r="N62" s="57">
        <f>M62/C15*1000</f>
        <v>0</v>
      </c>
      <c r="O62" s="86"/>
      <c r="P62" s="57">
        <f>O62/D15*1000</f>
        <v>0</v>
      </c>
      <c r="Q62" s="86"/>
      <c r="R62" s="57">
        <f>Q62/E15*1000</f>
        <v>0</v>
      </c>
      <c r="S62" s="124">
        <v>448.0</v>
      </c>
      <c r="T62" s="57">
        <f>S62/F15*1000</f>
        <v>78.18499127</v>
      </c>
      <c r="U62" s="124">
        <v>343.0</v>
      </c>
      <c r="V62" s="57">
        <f>U62/G15*1000</f>
        <v>59.03614458</v>
      </c>
      <c r="W62" s="124">
        <v>142.0</v>
      </c>
      <c r="X62" s="57">
        <f>W62/H15*1000</f>
        <v>24.33173406</v>
      </c>
      <c r="Y62" s="99">
        <f t="shared" ref="Y62:Z62" si="68">((M62+O62+Q62+S62)/1)</f>
        <v>448</v>
      </c>
      <c r="Z62" s="99">
        <f t="shared" si="68"/>
        <v>78.18499127</v>
      </c>
      <c r="AA62" s="19">
        <f t="shared" si="3"/>
        <v>395.5</v>
      </c>
      <c r="AB62" s="19">
        <f t="shared" si="4"/>
        <v>41.68393932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86"/>
      <c r="N63" s="57">
        <f>M63/C17*100000</f>
        <v>0</v>
      </c>
      <c r="O63" s="86"/>
      <c r="P63" s="57">
        <f>O63/D17*100000</f>
        <v>0</v>
      </c>
      <c r="Q63" s="86"/>
      <c r="R63" s="57">
        <f>Q63/E17*100000</f>
        <v>0</v>
      </c>
      <c r="S63" s="56"/>
      <c r="T63" s="57">
        <f>S63/F17*100000</f>
        <v>0</v>
      </c>
      <c r="U63" s="56"/>
      <c r="V63" s="57">
        <f>U63/G17*100000</f>
        <v>0</v>
      </c>
      <c r="W63" s="56"/>
      <c r="X63" s="57">
        <f>W63/H17*100000</f>
        <v>0</v>
      </c>
      <c r="Y63" s="99">
        <f t="shared" ref="Y63:Z63" si="69">((M63+O63+Q63+S63)/1)</f>
        <v>0</v>
      </c>
      <c r="Z63" s="99">
        <f t="shared" si="69"/>
        <v>0</v>
      </c>
      <c r="AA63" s="19">
        <f t="shared" si="3"/>
        <v>0</v>
      </c>
      <c r="AB63" s="19">
        <f t="shared" si="4"/>
        <v>0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127">
        <v>0.0</v>
      </c>
      <c r="N64" s="57">
        <f>M64/C17*100000</f>
        <v>0</v>
      </c>
      <c r="O64" s="127">
        <v>0.0</v>
      </c>
      <c r="P64" s="57">
        <f>O64/D17*100000</f>
        <v>0</v>
      </c>
      <c r="Q64" s="127">
        <v>0.0</v>
      </c>
      <c r="R64" s="57">
        <f>Q64/E17*100000</f>
        <v>0</v>
      </c>
      <c r="S64" s="124">
        <v>0.0</v>
      </c>
      <c r="T64" s="57">
        <f>S64/F17*100000</f>
        <v>0</v>
      </c>
      <c r="U64" s="139">
        <v>0.0</v>
      </c>
      <c r="V64" s="57">
        <f>U64/G17*100000</f>
        <v>0</v>
      </c>
      <c r="W64" s="124">
        <v>0.0</v>
      </c>
      <c r="X64" s="57">
        <f>W64/H17*100000</f>
        <v>0</v>
      </c>
      <c r="Y64" s="99">
        <f t="shared" ref="Y64:Z64" si="70">((M64+O64+Q64+S64)/1)</f>
        <v>0</v>
      </c>
      <c r="Z64" s="99">
        <f t="shared" si="70"/>
        <v>0</v>
      </c>
      <c r="AA64" s="19">
        <f t="shared" si="3"/>
        <v>0</v>
      </c>
      <c r="AB64" s="19">
        <f t="shared" si="4"/>
        <v>0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86"/>
      <c r="N65" s="57">
        <f>M65/C17*100000</f>
        <v>0</v>
      </c>
      <c r="O65" s="86"/>
      <c r="P65" s="57">
        <f>O65/D17*100000</f>
        <v>0</v>
      </c>
      <c r="Q65" s="86"/>
      <c r="R65" s="57">
        <f>Q65/E17*100000</f>
        <v>0</v>
      </c>
      <c r="S65" s="86"/>
      <c r="T65" s="57">
        <f>S65/F17*100000</f>
        <v>0</v>
      </c>
      <c r="U65" s="86"/>
      <c r="V65" s="57">
        <f>U65/G17*100000</f>
        <v>0</v>
      </c>
      <c r="W65" s="56"/>
      <c r="X65" s="57">
        <f>W65/H17*100000</f>
        <v>0</v>
      </c>
      <c r="Y65" s="99">
        <f t="shared" ref="Y65:Z65" si="71">((M65+O65+Q65+S65)/1)</f>
        <v>0</v>
      </c>
      <c r="Z65" s="99">
        <f t="shared" si="71"/>
        <v>0</v>
      </c>
      <c r="AA65" s="19">
        <f t="shared" si="3"/>
        <v>0</v>
      </c>
      <c r="AB65" s="19">
        <f t="shared" si="4"/>
        <v>0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86"/>
      <c r="N66" s="57">
        <f>M66/C17*100000</f>
        <v>0</v>
      </c>
      <c r="O66" s="86"/>
      <c r="P66" s="57">
        <f>O66/D17*100000</f>
        <v>0</v>
      </c>
      <c r="Q66" s="86"/>
      <c r="R66" s="57">
        <f>Q66/E17*100000</f>
        <v>0</v>
      </c>
      <c r="S66" s="86"/>
      <c r="T66" s="57">
        <f>S66/F17*100000</f>
        <v>0</v>
      </c>
      <c r="U66" s="86"/>
      <c r="V66" s="57">
        <f>U66/G17*100000</f>
        <v>0</v>
      </c>
      <c r="W66" s="56"/>
      <c r="X66" s="57">
        <f>W66/H17*100000</f>
        <v>0</v>
      </c>
      <c r="Y66" s="99">
        <f t="shared" ref="Y66:Z66" si="72">((M66+O66+Q66+S66)/1)</f>
        <v>0</v>
      </c>
      <c r="Z66" s="99">
        <f t="shared" si="72"/>
        <v>0</v>
      </c>
      <c r="AA66" s="19">
        <f t="shared" si="3"/>
        <v>0</v>
      </c>
      <c r="AB66" s="19">
        <f t="shared" si="4"/>
        <v>0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86"/>
      <c r="N67" s="57">
        <f>M67/C17*100000</f>
        <v>0</v>
      </c>
      <c r="O67" s="86"/>
      <c r="P67" s="57">
        <f>O67/D17*100000</f>
        <v>0</v>
      </c>
      <c r="Q67" s="86"/>
      <c r="R67" s="57">
        <f>Q67/E17*100000</f>
        <v>0</v>
      </c>
      <c r="S67" s="86"/>
      <c r="T67" s="57">
        <f>S67/F17*100000</f>
        <v>0</v>
      </c>
      <c r="U67" s="86"/>
      <c r="V67" s="57">
        <f>U67/G17*100000</f>
        <v>0</v>
      </c>
      <c r="W67" s="56"/>
      <c r="X67" s="57">
        <f>W67/H17*100000</f>
        <v>0</v>
      </c>
      <c r="Y67" s="99">
        <f t="shared" ref="Y67:Z67" si="73">((M67+O67+Q67+S67)/1)</f>
        <v>0</v>
      </c>
      <c r="Z67" s="99">
        <f t="shared" si="73"/>
        <v>0</v>
      </c>
      <c r="AA67" s="19">
        <f t="shared" si="3"/>
        <v>0</v>
      </c>
      <c r="AB67" s="19">
        <f t="shared" si="4"/>
        <v>0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86"/>
      <c r="N68" s="57">
        <f>M68/C11*100000</f>
        <v>0</v>
      </c>
      <c r="O68" s="86"/>
      <c r="P68" s="57">
        <f>O68/D11*100000</f>
        <v>0</v>
      </c>
      <c r="Q68" s="86"/>
      <c r="R68" s="57">
        <f>Q68/E11*100000</f>
        <v>0</v>
      </c>
      <c r="S68" s="86"/>
      <c r="T68" s="57">
        <f>S68/F11*100000</f>
        <v>0</v>
      </c>
      <c r="U68" s="86"/>
      <c r="V68" s="57">
        <f>U68/G11*100000</f>
        <v>0</v>
      </c>
      <c r="W68" s="56"/>
      <c r="X68" s="57">
        <f>W68/H11*100000</f>
        <v>0</v>
      </c>
      <c r="Y68" s="99">
        <f t="shared" ref="Y68:Z68" si="74">((M68+O68+Q68+S68)/2)</f>
        <v>0</v>
      </c>
      <c r="Z68" s="99">
        <f t="shared" si="74"/>
        <v>0</v>
      </c>
      <c r="AA68" s="19">
        <f t="shared" si="3"/>
        <v>0</v>
      </c>
      <c r="AB68" s="19">
        <f t="shared" si="4"/>
        <v>0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86"/>
      <c r="N69" s="57">
        <f>M69/C11*100000</f>
        <v>0</v>
      </c>
      <c r="O69" s="86"/>
      <c r="P69" s="57">
        <f>O69/D11*100000</f>
        <v>0</v>
      </c>
      <c r="Q69" s="86"/>
      <c r="R69" s="57">
        <f>Q69/E11*100000</f>
        <v>0</v>
      </c>
      <c r="S69" s="86"/>
      <c r="T69" s="57">
        <f>S69/F11*100000</f>
        <v>0</v>
      </c>
      <c r="U69" s="86"/>
      <c r="V69" s="57">
        <f>U69/G11*100000</f>
        <v>0</v>
      </c>
      <c r="W69" s="56"/>
      <c r="X69" s="57">
        <f>W69/H11*100000</f>
        <v>0</v>
      </c>
      <c r="Y69" s="19">
        <f t="shared" ref="Y69:Z69" si="75">((M69+O69+Q69+S69)/2)</f>
        <v>0</v>
      </c>
      <c r="Z69" s="19">
        <f t="shared" si="75"/>
        <v>0</v>
      </c>
      <c r="AA69" s="19">
        <f t="shared" si="3"/>
        <v>0</v>
      </c>
      <c r="AB69" s="19">
        <f t="shared" si="4"/>
        <v>0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43">
        <v>0.0</v>
      </c>
      <c r="N70" s="98">
        <f>M70/C7*100000</f>
        <v>0</v>
      </c>
      <c r="O70" s="143">
        <v>1.0</v>
      </c>
      <c r="P70" s="98">
        <f>O70/D7*100000</f>
        <v>4.099368697</v>
      </c>
      <c r="Q70" s="143">
        <v>0.0</v>
      </c>
      <c r="R70" s="98">
        <f>Q70/E7*100000</f>
        <v>0</v>
      </c>
      <c r="S70" s="143">
        <v>0.0</v>
      </c>
      <c r="T70" s="98">
        <f>S70/F7*100000</f>
        <v>0</v>
      </c>
      <c r="U70" s="143">
        <v>4.0</v>
      </c>
      <c r="V70" s="98">
        <f>U70/G7*100000</f>
        <v>14.90646195</v>
      </c>
      <c r="W70" s="137">
        <v>0.0</v>
      </c>
      <c r="X70" s="98">
        <f>W70/H7*100000</f>
        <v>0</v>
      </c>
      <c r="Y70" s="99">
        <f t="shared" ref="Y70:Z70" si="76">((M70+O70+Q70+S70)/1)</f>
        <v>1</v>
      </c>
      <c r="Z70" s="99">
        <f t="shared" si="76"/>
        <v>4.099368697</v>
      </c>
      <c r="AA70" s="99">
        <f t="shared" si="3"/>
        <v>2</v>
      </c>
      <c r="AB70" s="99">
        <f t="shared" si="4"/>
        <v>7.453230976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4.29"/>
    <col customWidth="1" min="2" max="2" width="23.86"/>
    <col customWidth="1" min="3" max="3" width="15.14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57"/>
    <col customWidth="1" min="11" max="11" width="1.14"/>
    <col customWidth="1" min="12" max="12" width="37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8.25" customHeight="1">
      <c r="B1" s="2"/>
      <c r="C1" s="3" t="s">
        <v>0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73.5" customHeight="1">
      <c r="A2" s="1"/>
      <c r="B2" s="12" t="s">
        <v>246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118">
        <v>147.0</v>
      </c>
      <c r="N3" s="19">
        <f>M3/C7*1000</f>
        <v>3.413920435</v>
      </c>
      <c r="O3" s="118">
        <v>248.0</v>
      </c>
      <c r="P3" s="19">
        <f>O3/D7*1000</f>
        <v>5.614670591</v>
      </c>
      <c r="Q3" s="129">
        <v>180.0</v>
      </c>
      <c r="R3" s="19">
        <f>Q3/E7*1000</f>
        <v>3.956826625</v>
      </c>
      <c r="S3" s="118">
        <v>130.0</v>
      </c>
      <c r="T3" s="19">
        <f>S3/F7*1000</f>
        <v>2.770791594</v>
      </c>
      <c r="U3" s="118">
        <v>166.0</v>
      </c>
      <c r="V3" s="19">
        <f>U3/G7*1000</f>
        <v>3.435572664</v>
      </c>
      <c r="W3" s="118">
        <v>80.0</v>
      </c>
      <c r="X3" s="19">
        <f>W3/H7*1000</f>
        <v>1.611538616</v>
      </c>
      <c r="Y3" s="19">
        <f t="shared" ref="Y3:Z3" si="1">((M3+O3+Q3+S3)/4)</f>
        <v>176.25</v>
      </c>
      <c r="Z3" s="19">
        <f t="shared" si="1"/>
        <v>3.939052311</v>
      </c>
      <c r="AA3" s="19">
        <f t="shared" ref="AA3:AA70" si="3">((S3+U3)/2)</f>
        <v>148</v>
      </c>
      <c r="AB3" s="19">
        <f t="shared" ref="AB3:AB70" si="4">(V3+X3)/2</f>
        <v>2.52355564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118">
        <v>131.0</v>
      </c>
      <c r="N4" s="19">
        <f>M4/C7*1000</f>
        <v>3.042337258</v>
      </c>
      <c r="O4" s="118">
        <v>561.0</v>
      </c>
      <c r="P4" s="19">
        <f>O4/D7*1000</f>
        <v>12.70092823</v>
      </c>
      <c r="Q4" s="129">
        <v>689.0</v>
      </c>
      <c r="R4" s="19">
        <f>Q4/E7*1000</f>
        <v>15.14585303</v>
      </c>
      <c r="S4" s="118">
        <v>660.0</v>
      </c>
      <c r="T4" s="19">
        <f>S4/F7*1000</f>
        <v>14.06709578</v>
      </c>
      <c r="U4" s="118">
        <v>684.0</v>
      </c>
      <c r="V4" s="19">
        <f>U4/G7*1000</f>
        <v>14.15621508</v>
      </c>
      <c r="W4" s="118">
        <v>292.0</v>
      </c>
      <c r="X4" s="19">
        <f>W4/H7*1000</f>
        <v>5.88211595</v>
      </c>
      <c r="Y4" s="19">
        <f t="shared" ref="Y4:Z4" si="2">((M4+O4+Q4+S4)/4)</f>
        <v>510.25</v>
      </c>
      <c r="Z4" s="19">
        <f t="shared" si="2"/>
        <v>11.23905358</v>
      </c>
      <c r="AA4" s="19">
        <f t="shared" si="3"/>
        <v>672</v>
      </c>
      <c r="AB4" s="19">
        <f t="shared" si="4"/>
        <v>10.01916551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1"/>
      <c r="J5" s="1"/>
      <c r="K5" s="1"/>
      <c r="L5" s="15" t="s">
        <v>38</v>
      </c>
      <c r="M5" s="118">
        <v>0.0</v>
      </c>
      <c r="N5" s="19">
        <f>M5/C12*100000</f>
        <v>0</v>
      </c>
      <c r="O5" s="118">
        <v>1.0</v>
      </c>
      <c r="P5" s="19">
        <f>O5/D12*100000</f>
        <v>178.2531194</v>
      </c>
      <c r="Q5" s="129">
        <v>0.0</v>
      </c>
      <c r="R5" s="19">
        <f>Q5/E12*100000</f>
        <v>0</v>
      </c>
      <c r="S5" s="118">
        <v>0.0</v>
      </c>
      <c r="T5" s="19">
        <f>S5/F12*100000</f>
        <v>0</v>
      </c>
      <c r="U5" s="118">
        <v>1.0</v>
      </c>
      <c r="V5" s="19">
        <f>U5/G12*100000</f>
        <v>146.1988304</v>
      </c>
      <c r="W5" s="118"/>
      <c r="X5" s="19" t="str">
        <f>W5/H12*100000</f>
        <v>#DIV/0!</v>
      </c>
      <c r="Y5" s="19">
        <f t="shared" ref="Y5:Z5" si="5">((M5+O5+Q5+S5)/4)</f>
        <v>0.25</v>
      </c>
      <c r="Z5" s="19">
        <f t="shared" si="5"/>
        <v>44.56327986</v>
      </c>
      <c r="AA5" s="19">
        <f t="shared" si="3"/>
        <v>0.5</v>
      </c>
      <c r="AB5" s="19" t="str">
        <f t="shared" si="4"/>
        <v>#DIV/0!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1"/>
      <c r="J6" s="1"/>
      <c r="K6" s="1"/>
      <c r="L6" s="15" t="s">
        <v>40</v>
      </c>
      <c r="M6" s="118"/>
      <c r="N6" s="19">
        <f>M6/M4*1000</f>
        <v>0</v>
      </c>
      <c r="O6" s="118">
        <v>3.0</v>
      </c>
      <c r="P6" s="19">
        <f>O6/O4*1000</f>
        <v>5.347593583</v>
      </c>
      <c r="Q6" s="20"/>
      <c r="R6" s="19">
        <f>Q6/Q4*1000</f>
        <v>0</v>
      </c>
      <c r="S6" s="17"/>
      <c r="T6" s="19">
        <f>S6/S4*1000</f>
        <v>0</v>
      </c>
      <c r="U6" s="17"/>
      <c r="V6" s="19">
        <f>U6/U4*1000</f>
        <v>0</v>
      </c>
      <c r="W6" s="17"/>
      <c r="X6" s="19">
        <f>W6/W4*1000</f>
        <v>0</v>
      </c>
      <c r="Y6" s="19">
        <f t="shared" ref="Y6:Z6" si="6">((M6+O6+Q6+S6)/4)</f>
        <v>0.75</v>
      </c>
      <c r="Z6" s="19">
        <f t="shared" si="6"/>
        <v>1.336898396</v>
      </c>
      <c r="AA6" s="19">
        <f t="shared" si="3"/>
        <v>0</v>
      </c>
      <c r="AB6" s="19">
        <f t="shared" si="4"/>
        <v>0</v>
      </c>
      <c r="AC6" s="22" t="s">
        <v>28</v>
      </c>
    </row>
    <row r="7" ht="14.25" customHeight="1">
      <c r="A7" s="1"/>
      <c r="B7" s="32" t="s">
        <v>41</v>
      </c>
      <c r="C7" s="152">
        <v>43059.0</v>
      </c>
      <c r="D7" s="197">
        <v>44170.0</v>
      </c>
      <c r="E7" s="152">
        <v>45491.0</v>
      </c>
      <c r="F7" s="131">
        <v>46918.0</v>
      </c>
      <c r="G7" s="131">
        <v>48318.0</v>
      </c>
      <c r="H7" s="134">
        <v>49642.0</v>
      </c>
      <c r="I7" s="1"/>
      <c r="J7" s="1"/>
      <c r="K7" s="1"/>
      <c r="L7" s="15" t="s">
        <v>42</v>
      </c>
      <c r="M7" s="17"/>
      <c r="N7" s="36"/>
      <c r="O7" s="17"/>
      <c r="P7" s="36"/>
      <c r="Q7" s="20"/>
      <c r="R7" s="36"/>
      <c r="S7" s="17"/>
      <c r="T7" s="36"/>
      <c r="U7" s="118">
        <v>9.0</v>
      </c>
      <c r="V7" s="36">
        <f>4/859*1000</f>
        <v>4.656577416</v>
      </c>
      <c r="W7" s="118">
        <v>5.0</v>
      </c>
      <c r="X7" s="36">
        <f>4/376*1000</f>
        <v>10.63829787</v>
      </c>
      <c r="Y7" s="19">
        <f t="shared" ref="Y7:Z7" si="7">((M7+O7+Q7+S7)/4)</f>
        <v>0</v>
      </c>
      <c r="Z7" s="19">
        <f t="shared" si="7"/>
        <v>0</v>
      </c>
      <c r="AA7" s="19">
        <f t="shared" si="3"/>
        <v>4.5</v>
      </c>
      <c r="AB7" s="19">
        <f t="shared" si="4"/>
        <v>7.647437644</v>
      </c>
      <c r="AC7" s="22" t="s">
        <v>43</v>
      </c>
    </row>
    <row r="8" ht="14.25" customHeight="1">
      <c r="A8" s="1"/>
      <c r="B8" s="32" t="s">
        <v>44</v>
      </c>
      <c r="C8" s="131">
        <v>17417.0</v>
      </c>
      <c r="D8" s="131">
        <v>18785.0</v>
      </c>
      <c r="E8" s="131">
        <v>20092.0</v>
      </c>
      <c r="F8" s="131">
        <v>21399.0</v>
      </c>
      <c r="G8" s="131">
        <v>22581.0</v>
      </c>
      <c r="H8" s="134">
        <v>23653.0</v>
      </c>
      <c r="I8" s="1"/>
      <c r="J8" s="1"/>
      <c r="K8" s="1"/>
      <c r="L8" s="15" t="s">
        <v>45</v>
      </c>
      <c r="M8" s="118">
        <v>0.0</v>
      </c>
      <c r="N8" s="19">
        <f>M8/C15*1000</f>
        <v>0</v>
      </c>
      <c r="O8" s="118">
        <v>0.0</v>
      </c>
      <c r="P8" s="19">
        <f>O8/D15*1000</f>
        <v>0</v>
      </c>
      <c r="Q8" s="129">
        <v>0.0</v>
      </c>
      <c r="R8" s="19">
        <f>Q8/E15*1000</f>
        <v>0</v>
      </c>
      <c r="S8" s="118">
        <v>0.0</v>
      </c>
      <c r="T8" s="19">
        <f>S8/F15*1000</f>
        <v>0</v>
      </c>
      <c r="U8" s="118">
        <v>0.0</v>
      </c>
      <c r="V8" s="19">
        <f>U8/G15*1000</f>
        <v>0</v>
      </c>
      <c r="W8" s="118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131">
        <v>25642.0</v>
      </c>
      <c r="D9" s="131">
        <v>23385.0</v>
      </c>
      <c r="E9" s="131">
        <v>25399.0</v>
      </c>
      <c r="F9" s="131">
        <v>25519.0</v>
      </c>
      <c r="G9" s="131">
        <v>25737.0</v>
      </c>
      <c r="H9" s="134">
        <v>25989.0</v>
      </c>
      <c r="I9" s="1"/>
      <c r="J9" s="1"/>
      <c r="K9" s="1"/>
      <c r="L9" s="15" t="s">
        <v>48</v>
      </c>
      <c r="M9" s="118">
        <v>7.0</v>
      </c>
      <c r="N9" s="19">
        <f>M9/C7*100000</f>
        <v>16.25676398</v>
      </c>
      <c r="O9" s="118">
        <v>18.0</v>
      </c>
      <c r="P9" s="19">
        <f>O9/D7*100000</f>
        <v>40.75164139</v>
      </c>
      <c r="Q9" s="129">
        <v>21.0</v>
      </c>
      <c r="R9" s="19">
        <f>Q9/E7*100000</f>
        <v>46.16297729</v>
      </c>
      <c r="S9" s="118">
        <v>14.0</v>
      </c>
      <c r="T9" s="19">
        <f>S9/F7*100000</f>
        <v>29.83929409</v>
      </c>
      <c r="U9" s="118">
        <v>23.0</v>
      </c>
      <c r="V9" s="19">
        <f>U9/G7*100000</f>
        <v>47.601308</v>
      </c>
      <c r="W9" s="17"/>
      <c r="X9" s="19">
        <f>W9/H7*100000</f>
        <v>0</v>
      </c>
      <c r="Y9" s="19">
        <f t="shared" ref="Y9:Z9" si="9">((M9+O9+Q9+S9)/4)</f>
        <v>15</v>
      </c>
      <c r="Z9" s="19">
        <f t="shared" si="9"/>
        <v>33.25266919</v>
      </c>
      <c r="AA9" s="19">
        <f t="shared" si="3"/>
        <v>18.5</v>
      </c>
      <c r="AB9" s="19">
        <f t="shared" si="4"/>
        <v>23.800654</v>
      </c>
      <c r="AC9" s="22" t="s">
        <v>28</v>
      </c>
    </row>
    <row r="10" ht="14.25" customHeight="1">
      <c r="A10" s="1"/>
      <c r="B10" s="32" t="s">
        <v>50</v>
      </c>
      <c r="C10" s="131">
        <v>21398.0</v>
      </c>
      <c r="D10" s="131">
        <v>21979.0</v>
      </c>
      <c r="E10" s="131">
        <v>22673.0</v>
      </c>
      <c r="F10" s="136">
        <v>23413.0</v>
      </c>
      <c r="G10" s="133">
        <v>24134.0</v>
      </c>
      <c r="H10" s="134">
        <v>24820.0</v>
      </c>
      <c r="I10" s="1"/>
      <c r="J10" s="1"/>
      <c r="K10" s="1"/>
      <c r="L10" s="15" t="s">
        <v>51</v>
      </c>
      <c r="M10" s="118">
        <v>0.0</v>
      </c>
      <c r="N10" s="19">
        <f>M10/C15*100000</f>
        <v>0</v>
      </c>
      <c r="O10" s="118">
        <v>0.0</v>
      </c>
      <c r="P10" s="19">
        <f t="shared" ref="P10:P11" si="11">O10/D15*100000</f>
        <v>0</v>
      </c>
      <c r="Q10" s="129">
        <v>0.0</v>
      </c>
      <c r="R10" s="19">
        <f>Q10/E15*100000</f>
        <v>0</v>
      </c>
      <c r="S10" s="118">
        <v>0.0</v>
      </c>
      <c r="T10" s="19">
        <f>S10/F15*100000</f>
        <v>0</v>
      </c>
      <c r="U10" s="118">
        <v>0.0</v>
      </c>
      <c r="V10" s="19">
        <f>U10/G15*100000</f>
        <v>0</v>
      </c>
      <c r="W10" s="118">
        <v>1.0</v>
      </c>
      <c r="X10" s="19">
        <f>W10/H15*100000</f>
        <v>20.50861362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10.25430681</v>
      </c>
      <c r="AC10" s="22" t="s">
        <v>28</v>
      </c>
    </row>
    <row r="11" ht="14.25" customHeight="1">
      <c r="A11" s="1"/>
      <c r="B11" s="32" t="s">
        <v>52</v>
      </c>
      <c r="C11" s="131">
        <v>21661.0</v>
      </c>
      <c r="D11" s="131">
        <v>22191.0</v>
      </c>
      <c r="E11" s="131">
        <v>22818.0</v>
      </c>
      <c r="F11" s="136">
        <v>23505.0</v>
      </c>
      <c r="G11" s="133">
        <v>24184.0</v>
      </c>
      <c r="H11" s="134">
        <v>24822.0</v>
      </c>
      <c r="I11" s="1"/>
      <c r="J11" s="1"/>
      <c r="K11" s="1"/>
      <c r="L11" s="15" t="s">
        <v>53</v>
      </c>
      <c r="M11" s="118">
        <v>0.0</v>
      </c>
      <c r="N11" s="19">
        <f>M11/C15*100000</f>
        <v>0</v>
      </c>
      <c r="O11" s="118">
        <v>0.0</v>
      </c>
      <c r="P11" s="19">
        <f t="shared" si="11"/>
        <v>0</v>
      </c>
      <c r="Q11" s="129">
        <v>0.0</v>
      </c>
      <c r="R11" s="19">
        <f>Q11/F16*100000</f>
        <v>0</v>
      </c>
      <c r="S11" s="118">
        <v>0.0</v>
      </c>
      <c r="T11" s="19">
        <f>S11/F15*100000</f>
        <v>0</v>
      </c>
      <c r="U11" s="118">
        <v>0.0</v>
      </c>
      <c r="V11" s="19">
        <f>U11/G15*100000</f>
        <v>0</v>
      </c>
      <c r="W11" s="118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133">
        <v>131.0</v>
      </c>
      <c r="D12" s="131">
        <v>561.0</v>
      </c>
      <c r="E12" s="133">
        <v>689.0</v>
      </c>
      <c r="F12" s="133">
        <v>660.0</v>
      </c>
      <c r="G12" s="131">
        <v>684.0</v>
      </c>
      <c r="H12" s="134">
        <v>0.0</v>
      </c>
      <c r="I12" s="1"/>
      <c r="J12" s="1"/>
      <c r="K12" s="1"/>
      <c r="L12" s="15" t="s">
        <v>55</v>
      </c>
      <c r="M12" s="118">
        <v>171.0</v>
      </c>
      <c r="N12" s="19">
        <f>M12/C7*100000</f>
        <v>397.12952</v>
      </c>
      <c r="O12" s="118">
        <v>311.0</v>
      </c>
      <c r="P12" s="19">
        <f>O12/D7*100000</f>
        <v>704.0978039</v>
      </c>
      <c r="Q12" s="129">
        <v>527.0</v>
      </c>
      <c r="R12" s="19">
        <f>Q12/E7*100000</f>
        <v>1158.470906</v>
      </c>
      <c r="S12" s="118">
        <v>598.0</v>
      </c>
      <c r="T12" s="19">
        <f>S12/F7*100000</f>
        <v>1274.564133</v>
      </c>
      <c r="U12" s="118">
        <v>590.0</v>
      </c>
      <c r="V12" s="19">
        <f>U12/G7*100000</f>
        <v>1221.077031</v>
      </c>
      <c r="W12" s="17"/>
      <c r="X12" s="19">
        <f>W12/H7*100000</f>
        <v>0</v>
      </c>
      <c r="Y12" s="19">
        <f t="shared" ref="Y12:Z12" si="13">((M12+O12+Q12+S12)/4)</f>
        <v>401.75</v>
      </c>
      <c r="Z12" s="19">
        <f t="shared" si="13"/>
        <v>883.5655909</v>
      </c>
      <c r="AA12" s="19">
        <f t="shared" si="3"/>
        <v>594</v>
      </c>
      <c r="AB12" s="19">
        <f t="shared" si="4"/>
        <v>610.5385157</v>
      </c>
      <c r="AC12" s="22" t="s">
        <v>57</v>
      </c>
    </row>
    <row r="13" ht="14.25" customHeight="1">
      <c r="A13" s="1"/>
      <c r="B13" s="32" t="s">
        <v>58</v>
      </c>
      <c r="C13" s="133">
        <v>147.0</v>
      </c>
      <c r="D13" s="131">
        <v>248.0</v>
      </c>
      <c r="E13" s="133">
        <v>180.0</v>
      </c>
      <c r="F13" s="133">
        <v>130.0</v>
      </c>
      <c r="G13" s="131">
        <v>166.0</v>
      </c>
      <c r="H13" s="134">
        <v>0.0</v>
      </c>
      <c r="I13" s="1"/>
      <c r="J13" s="1"/>
      <c r="K13" s="1"/>
      <c r="L13" s="15" t="s">
        <v>59</v>
      </c>
      <c r="M13" s="118">
        <v>147.0</v>
      </c>
      <c r="N13" s="19">
        <f>M13/C11*100000</f>
        <v>678.6390287</v>
      </c>
      <c r="O13" s="118">
        <v>260.0</v>
      </c>
      <c r="P13" s="19">
        <f>O13/D11*100000</f>
        <v>1171.646163</v>
      </c>
      <c r="Q13" s="129">
        <v>423.0</v>
      </c>
      <c r="R13" s="19">
        <f>Q13/E11*100000</f>
        <v>1853.799632</v>
      </c>
      <c r="S13" s="118">
        <v>476.0</v>
      </c>
      <c r="T13" s="19">
        <f>S13/F11*100000</f>
        <v>2025.101042</v>
      </c>
      <c r="U13" s="118">
        <v>474.0</v>
      </c>
      <c r="V13" s="19">
        <f>U13/G11*100000</f>
        <v>1959.973536</v>
      </c>
      <c r="W13" s="118">
        <v>141.0</v>
      </c>
      <c r="X13" s="19">
        <f>W13/H11*100000</f>
        <v>568.0444767</v>
      </c>
      <c r="Y13" s="19">
        <f t="shared" ref="Y13:Z13" si="14">((M13+O13+Q13+S13)/4)</f>
        <v>326.5</v>
      </c>
      <c r="Z13" s="19">
        <f t="shared" si="14"/>
        <v>1432.296466</v>
      </c>
      <c r="AA13" s="19">
        <f t="shared" si="3"/>
        <v>475</v>
      </c>
      <c r="AB13" s="19">
        <f t="shared" si="4"/>
        <v>1264.009006</v>
      </c>
      <c r="AC13" s="22" t="s">
        <v>57</v>
      </c>
    </row>
    <row r="14" ht="14.25" customHeight="1">
      <c r="A14" s="1"/>
      <c r="B14" s="32" t="s">
        <v>60</v>
      </c>
      <c r="C14" s="131">
        <v>1590.0</v>
      </c>
      <c r="D14" s="131">
        <v>1548.0</v>
      </c>
      <c r="E14" s="131">
        <v>1553.0</v>
      </c>
      <c r="F14" s="133">
        <v>158.0</v>
      </c>
      <c r="G14" s="131">
        <v>1577.0</v>
      </c>
      <c r="H14" s="134">
        <v>1598.0</v>
      </c>
      <c r="I14" s="1"/>
      <c r="J14" s="1"/>
      <c r="K14" s="1"/>
      <c r="L14" s="15" t="s">
        <v>61</v>
      </c>
      <c r="M14" s="118">
        <v>0.0</v>
      </c>
      <c r="N14" s="19">
        <f>M14/M4*1000</f>
        <v>0</v>
      </c>
      <c r="O14" s="118">
        <v>0.0</v>
      </c>
      <c r="P14" s="19">
        <f>O14/O4*1000</f>
        <v>0</v>
      </c>
      <c r="Q14" s="129">
        <v>0.0</v>
      </c>
      <c r="R14" s="19">
        <f>Q14/Q4*1000</f>
        <v>0</v>
      </c>
      <c r="S14" s="118">
        <v>0.0</v>
      </c>
      <c r="T14" s="19">
        <f>S14/S4*1000</f>
        <v>0</v>
      </c>
      <c r="U14" s="118">
        <v>0.0</v>
      </c>
      <c r="V14" s="19">
        <f>U14/U4*1000</f>
        <v>0</v>
      </c>
      <c r="W14" s="17"/>
      <c r="X14" s="19">
        <f>W14/W4*1000</f>
        <v>0</v>
      </c>
      <c r="Y14" s="19">
        <f t="shared" ref="Y14:Z14" si="15">((M14+O14+Q14+S14)/4)</f>
        <v>0</v>
      </c>
      <c r="Z14" s="19">
        <f t="shared" si="15"/>
        <v>0</v>
      </c>
      <c r="AA14" s="19">
        <f t="shared" si="3"/>
        <v>0</v>
      </c>
      <c r="AB14" s="19">
        <f t="shared" si="4"/>
        <v>0</v>
      </c>
      <c r="AC14" s="22" t="s">
        <v>28</v>
      </c>
    </row>
    <row r="15" ht="14.25" customHeight="1">
      <c r="A15" s="1"/>
      <c r="B15" s="32" t="s">
        <v>62</v>
      </c>
      <c r="C15" s="131">
        <v>4706.0</v>
      </c>
      <c r="D15" s="131">
        <v>4644.0</v>
      </c>
      <c r="E15" s="131">
        <v>4787.0</v>
      </c>
      <c r="F15" s="131">
        <v>4838.0</v>
      </c>
      <c r="G15" s="131">
        <v>4858.0</v>
      </c>
      <c r="H15" s="134">
        <v>4876.0</v>
      </c>
      <c r="I15" s="1"/>
      <c r="J15" s="1"/>
      <c r="K15" s="1"/>
      <c r="L15" s="15" t="s">
        <v>63</v>
      </c>
      <c r="M15" s="118">
        <v>6.0</v>
      </c>
      <c r="N15" s="19">
        <f>M15/C15*100000</f>
        <v>127.4968126</v>
      </c>
      <c r="O15" s="118">
        <v>7.0</v>
      </c>
      <c r="P15" s="19">
        <f>O15/D15*100000</f>
        <v>150.7321275</v>
      </c>
      <c r="Q15" s="129">
        <v>5.0</v>
      </c>
      <c r="R15" s="19">
        <f>Q15/E15*100000</f>
        <v>104.4495509</v>
      </c>
      <c r="S15" s="118">
        <v>2.0</v>
      </c>
      <c r="T15" s="19">
        <f>S15/F15*100000</f>
        <v>41.33939644</v>
      </c>
      <c r="U15" s="118">
        <v>5.0</v>
      </c>
      <c r="V15" s="19">
        <f>U15/G15*100000</f>
        <v>102.9230136</v>
      </c>
      <c r="W15" s="17"/>
      <c r="X15" s="19">
        <f>W15/H15*100000</f>
        <v>0</v>
      </c>
      <c r="Y15" s="19">
        <f t="shared" ref="Y15:Z15" si="16">((M15+O15+Q15+S15)/4)</f>
        <v>5</v>
      </c>
      <c r="Z15" s="19">
        <f t="shared" si="16"/>
        <v>106.0044718</v>
      </c>
      <c r="AA15" s="19">
        <f t="shared" si="3"/>
        <v>3.5</v>
      </c>
      <c r="AB15" s="19">
        <f t="shared" si="4"/>
        <v>51.46150679</v>
      </c>
      <c r="AC15" s="22" t="s">
        <v>28</v>
      </c>
    </row>
    <row r="16" ht="14.25" customHeight="1">
      <c r="A16" s="1"/>
      <c r="B16" s="32" t="s">
        <v>64</v>
      </c>
      <c r="C16" s="131">
        <v>35747.0</v>
      </c>
      <c r="D16" s="131">
        <v>43024.0</v>
      </c>
      <c r="E16" s="131">
        <v>34238.0</v>
      </c>
      <c r="F16" s="131">
        <v>33374.0</v>
      </c>
      <c r="G16" s="131">
        <v>36771.0</v>
      </c>
      <c r="H16" s="134">
        <v>37788.0</v>
      </c>
      <c r="I16" s="1"/>
      <c r="J16" s="1"/>
      <c r="K16" s="1"/>
      <c r="L16" s="15" t="s">
        <v>65</v>
      </c>
      <c r="M16" s="118">
        <v>84.0</v>
      </c>
      <c r="N16" s="19">
        <f>M16/M4*100</f>
        <v>64.1221374</v>
      </c>
      <c r="O16" s="118">
        <v>89.0</v>
      </c>
      <c r="P16" s="19">
        <f>O16/O4*100</f>
        <v>15.86452763</v>
      </c>
      <c r="Q16" s="129"/>
      <c r="R16" s="19">
        <f>Q16/Q4*100</f>
        <v>0</v>
      </c>
      <c r="S16" s="118"/>
      <c r="T16" s="19">
        <f>S16/S4*100</f>
        <v>0</v>
      </c>
      <c r="U16" s="118"/>
      <c r="V16" s="19">
        <f>U16/U4*100</f>
        <v>0</v>
      </c>
      <c r="W16" s="17"/>
      <c r="X16" s="19">
        <f>W16/W4*100</f>
        <v>0</v>
      </c>
      <c r="Y16" s="19">
        <f t="shared" ref="Y16:Z16" si="17">((M16+O16+Q16+S16)/4)</f>
        <v>43.25</v>
      </c>
      <c r="Z16" s="19">
        <f t="shared" si="17"/>
        <v>19.99666626</v>
      </c>
      <c r="AA16" s="19">
        <f t="shared" si="3"/>
        <v>0</v>
      </c>
      <c r="AB16" s="19">
        <f t="shared" si="4"/>
        <v>0</v>
      </c>
      <c r="AC16" s="22" t="s">
        <v>30</v>
      </c>
    </row>
    <row r="17" ht="14.25" customHeight="1">
      <c r="A17" s="1"/>
      <c r="B17" s="32" t="s">
        <v>66</v>
      </c>
      <c r="C17" s="131">
        <v>14497.0</v>
      </c>
      <c r="D17" s="131">
        <v>14648.0</v>
      </c>
      <c r="E17" s="131">
        <v>15804.0</v>
      </c>
      <c r="F17" s="131">
        <v>16058.0</v>
      </c>
      <c r="G17" s="198">
        <v>15476.0</v>
      </c>
      <c r="H17" s="198">
        <v>15713.0</v>
      </c>
      <c r="I17" s="1"/>
      <c r="J17" s="1"/>
      <c r="K17" s="1"/>
      <c r="L17" s="15" t="s">
        <v>67</v>
      </c>
      <c r="M17" s="17"/>
      <c r="N17" s="19">
        <f>M17/M4*100</f>
        <v>0</v>
      </c>
      <c r="O17" s="17"/>
      <c r="P17" s="19">
        <f>O17/O4*100</f>
        <v>0</v>
      </c>
      <c r="Q17" s="20"/>
      <c r="R17" s="19">
        <f>Q17/Q4*100</f>
        <v>0</v>
      </c>
      <c r="S17" s="17"/>
      <c r="T17" s="19">
        <f>S17/S4*100</f>
        <v>0</v>
      </c>
      <c r="U17" s="17"/>
      <c r="V17" s="19">
        <f>U17/U4*100</f>
        <v>0</v>
      </c>
      <c r="W17" s="17"/>
      <c r="X17" s="19">
        <f>W17/W4*100</f>
        <v>0</v>
      </c>
      <c r="Y17" s="19">
        <f t="shared" ref="Y17:Z17" si="18">((M17+O17+Q17+S17)/4)</f>
        <v>0</v>
      </c>
      <c r="Z17" s="19">
        <f t="shared" si="18"/>
        <v>0</v>
      </c>
      <c r="AA17" s="19">
        <f t="shared" si="3"/>
        <v>0</v>
      </c>
      <c r="AB17" s="19">
        <f t="shared" si="4"/>
        <v>0</v>
      </c>
      <c r="AC17" s="22" t="s">
        <v>30</v>
      </c>
    </row>
    <row r="18" ht="14.25" customHeight="1">
      <c r="A18" s="1"/>
      <c r="B18" s="32" t="s">
        <v>68</v>
      </c>
      <c r="C18" s="131">
        <v>42405.0</v>
      </c>
      <c r="D18" s="131">
        <v>52138.0</v>
      </c>
      <c r="E18" s="131">
        <v>43332.0</v>
      </c>
      <c r="F18" s="131">
        <v>44849.0</v>
      </c>
      <c r="G18" s="131">
        <v>47629.0</v>
      </c>
      <c r="H18" s="134">
        <v>47317.0</v>
      </c>
      <c r="I18" s="1"/>
      <c r="J18" s="1"/>
      <c r="K18" s="1"/>
      <c r="L18" s="15" t="s">
        <v>69</v>
      </c>
      <c r="M18" s="124">
        <v>17.0</v>
      </c>
      <c r="N18" s="57">
        <f>M18/C15*1000</f>
        <v>3.61240969</v>
      </c>
      <c r="O18" s="118">
        <v>14.0</v>
      </c>
      <c r="P18" s="57">
        <f>O18/D15*1000</f>
        <v>3.01464255</v>
      </c>
      <c r="Q18" s="129">
        <v>36.0</v>
      </c>
      <c r="R18" s="57">
        <f>Q18/E15*1000</f>
        <v>7.520367662</v>
      </c>
      <c r="S18" s="124">
        <v>38.0</v>
      </c>
      <c r="T18" s="57">
        <f>S18/F15*1000</f>
        <v>7.854485325</v>
      </c>
      <c r="U18" s="124">
        <v>47.0</v>
      </c>
      <c r="V18" s="57">
        <f>U18/G15*1000</f>
        <v>9.674763277</v>
      </c>
      <c r="W18" s="124">
        <v>26.0</v>
      </c>
      <c r="X18" s="57">
        <f>W18/H15*1000</f>
        <v>5.332239541</v>
      </c>
      <c r="Y18" s="19">
        <f t="shared" ref="Y18:Z18" si="19">((M18+O18+Q18+S18)/4)</f>
        <v>26.25</v>
      </c>
      <c r="Z18" s="19">
        <f t="shared" si="19"/>
        <v>5.500476307</v>
      </c>
      <c r="AA18" s="19">
        <f t="shared" si="3"/>
        <v>42.5</v>
      </c>
      <c r="AB18" s="19">
        <f t="shared" si="4"/>
        <v>7.503501409</v>
      </c>
      <c r="AC18" s="22" t="s">
        <v>57</v>
      </c>
    </row>
    <row r="19" ht="14.25" customHeight="1">
      <c r="A19" s="133"/>
      <c r="B19" s="32" t="s">
        <v>70</v>
      </c>
      <c r="C19" s="198">
        <v>26908.0</v>
      </c>
      <c r="D19" s="131">
        <v>37454.0</v>
      </c>
      <c r="E19" s="131">
        <v>28545.0</v>
      </c>
      <c r="F19" s="131">
        <v>29613.0</v>
      </c>
      <c r="G19" s="131">
        <v>33166.0</v>
      </c>
      <c r="H19" s="134">
        <v>31604.0</v>
      </c>
      <c r="I19" s="1"/>
      <c r="J19" s="1"/>
      <c r="K19" s="1"/>
      <c r="L19" s="15" t="s">
        <v>71</v>
      </c>
      <c r="M19" s="17"/>
      <c r="N19" s="19">
        <f>M19/M4*100</f>
        <v>0</v>
      </c>
      <c r="O19" s="17"/>
      <c r="P19" s="19">
        <f>O19/O4*100</f>
        <v>0</v>
      </c>
      <c r="Q19" s="20"/>
      <c r="R19" s="19">
        <f>Q19/Q4*100</f>
        <v>0</v>
      </c>
      <c r="S19" s="17"/>
      <c r="T19" s="19">
        <f>S19/S4*100</f>
        <v>0</v>
      </c>
      <c r="U19" s="17"/>
      <c r="V19" s="19">
        <f>U19/U4*100</f>
        <v>0</v>
      </c>
      <c r="W19" s="17"/>
      <c r="X19" s="19">
        <f>W19/W4*100</f>
        <v>0</v>
      </c>
      <c r="Y19" s="19">
        <f t="shared" ref="Y19:Z19" si="20">((M19+O19+Q19+S19)/4)</f>
        <v>0</v>
      </c>
      <c r="Z19" s="19">
        <f t="shared" si="20"/>
        <v>0</v>
      </c>
      <c r="AA19" s="19">
        <f t="shared" si="3"/>
        <v>0</v>
      </c>
      <c r="AB19" s="19">
        <f t="shared" si="4"/>
        <v>0</v>
      </c>
      <c r="AC19" s="22" t="s">
        <v>72</v>
      </c>
    </row>
    <row r="20" ht="14.25" customHeight="1">
      <c r="A20" s="1"/>
      <c r="B20" s="32" t="s">
        <v>73</v>
      </c>
      <c r="C20" s="131">
        <v>1662.0</v>
      </c>
      <c r="D20" s="131">
        <v>3434.0</v>
      </c>
      <c r="E20" s="131">
        <v>3493.0</v>
      </c>
      <c r="F20" s="131">
        <v>3573.0</v>
      </c>
      <c r="G20" s="131">
        <v>3660.0</v>
      </c>
      <c r="H20" s="134">
        <v>3750.0</v>
      </c>
      <c r="I20" s="1"/>
      <c r="J20" s="1"/>
      <c r="K20" s="1"/>
      <c r="L20" s="15" t="s">
        <v>74</v>
      </c>
      <c r="M20" s="17"/>
      <c r="N20" s="19">
        <f t="shared" ref="N20:N21" si="22">M20/C20*1000</f>
        <v>0</v>
      </c>
      <c r="O20" s="17"/>
      <c r="P20" s="19">
        <f>O20/D20*1000</f>
        <v>0</v>
      </c>
      <c r="Q20" s="129">
        <v>2.0</v>
      </c>
      <c r="R20" s="19">
        <f>Q20/E20*1000</f>
        <v>0.5725737189</v>
      </c>
      <c r="S20" s="118">
        <v>1.0</v>
      </c>
      <c r="T20" s="19">
        <f t="shared" ref="T20:T21" si="23">S20/F20*1000</f>
        <v>0.2798768542</v>
      </c>
      <c r="U20" s="118">
        <v>3.0</v>
      </c>
      <c r="V20" s="19">
        <f t="shared" ref="V20:V21" si="24">U20/G20*1000</f>
        <v>0.8196721311</v>
      </c>
      <c r="W20" s="118">
        <v>1.0</v>
      </c>
      <c r="X20" s="19">
        <f t="shared" ref="X20:X21" si="25">W20/H20*1000</f>
        <v>0.2666666667</v>
      </c>
      <c r="Y20" s="19">
        <f t="shared" ref="Y20:Z20" si="21">((M20+O20+Q20+S20)/4)</f>
        <v>0.75</v>
      </c>
      <c r="Z20" s="19">
        <f t="shared" si="21"/>
        <v>0.2131126433</v>
      </c>
      <c r="AA20" s="19">
        <f t="shared" si="3"/>
        <v>2</v>
      </c>
      <c r="AB20" s="19">
        <f t="shared" si="4"/>
        <v>0.5431693989</v>
      </c>
      <c r="AC20" s="22" t="s">
        <v>72</v>
      </c>
    </row>
    <row r="21" ht="14.25" customHeight="1">
      <c r="A21" s="1"/>
      <c r="B21" s="32" t="s">
        <v>75</v>
      </c>
      <c r="C21" s="131">
        <v>1863.0</v>
      </c>
      <c r="D21" s="131">
        <v>3708.0</v>
      </c>
      <c r="E21" s="198">
        <v>3730.0</v>
      </c>
      <c r="F21" s="131">
        <v>3761.0</v>
      </c>
      <c r="G21" s="131">
        <v>3605.0</v>
      </c>
      <c r="H21" s="134">
        <v>4496.0</v>
      </c>
      <c r="I21" s="1"/>
      <c r="J21" s="1"/>
      <c r="K21" s="1"/>
      <c r="L21" s="15" t="s">
        <v>76</v>
      </c>
      <c r="M21" s="17"/>
      <c r="N21" s="19">
        <f t="shared" si="22"/>
        <v>0</v>
      </c>
      <c r="O21" s="17"/>
      <c r="P21" s="19">
        <f>O21/D21*1000</f>
        <v>0</v>
      </c>
      <c r="Q21" s="129">
        <v>70.0</v>
      </c>
      <c r="R21" s="19">
        <f>Q21/D21*1000</f>
        <v>18.8781014</v>
      </c>
      <c r="S21" s="118">
        <v>77.0</v>
      </c>
      <c r="T21" s="19">
        <f t="shared" si="23"/>
        <v>20.47327838</v>
      </c>
      <c r="U21" s="118">
        <v>60.0</v>
      </c>
      <c r="V21" s="19">
        <f t="shared" si="24"/>
        <v>16.64355062</v>
      </c>
      <c r="W21" s="118">
        <v>56.0</v>
      </c>
      <c r="X21" s="19">
        <f t="shared" si="25"/>
        <v>12.45551601</v>
      </c>
      <c r="Y21" s="19">
        <f t="shared" ref="Y21:Z21" si="26">((M21+O21+Q21+S21)/4)</f>
        <v>36.75</v>
      </c>
      <c r="Z21" s="19">
        <f t="shared" si="26"/>
        <v>9.837844946</v>
      </c>
      <c r="AA21" s="19">
        <f t="shared" si="3"/>
        <v>68.5</v>
      </c>
      <c r="AB21" s="19">
        <f t="shared" si="4"/>
        <v>14.54953332</v>
      </c>
      <c r="AC21" s="22" t="s">
        <v>72</v>
      </c>
    </row>
    <row r="22" ht="14.25" customHeight="1">
      <c r="A22" s="199"/>
      <c r="B22" s="32" t="s">
        <v>77</v>
      </c>
      <c r="C22" s="198">
        <v>14408.0</v>
      </c>
      <c r="D22" s="131">
        <v>14748.0</v>
      </c>
      <c r="E22" s="131">
        <v>15168.0</v>
      </c>
      <c r="F22" s="131">
        <v>15623.0</v>
      </c>
      <c r="G22" s="131">
        <v>16076.0</v>
      </c>
      <c r="H22" s="134">
        <v>16495.0</v>
      </c>
      <c r="I22" s="1"/>
      <c r="J22" s="1"/>
      <c r="K22" s="1"/>
      <c r="L22" s="15" t="s">
        <v>78</v>
      </c>
      <c r="M22" s="124">
        <v>5.0</v>
      </c>
      <c r="N22" s="57">
        <f>M22/C7*100000</f>
        <v>11.61197427</v>
      </c>
      <c r="O22" s="118">
        <v>9.0</v>
      </c>
      <c r="P22" s="57">
        <f>O22/D7*100000</f>
        <v>20.37582069</v>
      </c>
      <c r="Q22" s="129">
        <v>13.0</v>
      </c>
      <c r="R22" s="57">
        <f>Q22/E7*100000</f>
        <v>28.57708118</v>
      </c>
      <c r="S22" s="124">
        <v>7.0</v>
      </c>
      <c r="T22" s="57">
        <f>S22/F7*100000</f>
        <v>14.91964704</v>
      </c>
      <c r="U22" s="124">
        <v>16.0</v>
      </c>
      <c r="V22" s="57">
        <f>U22/G7*100000</f>
        <v>33.11395339</v>
      </c>
      <c r="W22" s="56"/>
      <c r="X22" s="57">
        <f>W22/H7*100000</f>
        <v>0</v>
      </c>
      <c r="Y22" s="19">
        <f t="shared" ref="Y22:Z22" si="27">((M22+O22+Q22+S22)/4)</f>
        <v>8.5</v>
      </c>
      <c r="Z22" s="19">
        <f t="shared" si="27"/>
        <v>18.8711308</v>
      </c>
      <c r="AA22" s="19">
        <f t="shared" si="3"/>
        <v>11.5</v>
      </c>
      <c r="AB22" s="19">
        <f t="shared" si="4"/>
        <v>16.5569767</v>
      </c>
      <c r="AC22" s="22" t="s">
        <v>28</v>
      </c>
    </row>
    <row r="23" ht="14.25" customHeight="1">
      <c r="A23" s="1"/>
      <c r="B23" s="32" t="s">
        <v>79</v>
      </c>
      <c r="C23" s="200">
        <v>4706.0</v>
      </c>
      <c r="D23" s="131">
        <v>4747.0</v>
      </c>
      <c r="E23" s="131">
        <v>4787.0</v>
      </c>
      <c r="F23" s="131">
        <v>4838.0</v>
      </c>
      <c r="G23" s="131">
        <v>4858.0</v>
      </c>
      <c r="H23" s="134">
        <v>4876.0</v>
      </c>
      <c r="I23" s="1"/>
      <c r="J23" s="1"/>
      <c r="K23" s="1"/>
      <c r="L23" s="15" t="s">
        <v>80</v>
      </c>
      <c r="M23" s="124">
        <v>0.0</v>
      </c>
      <c r="N23" s="57">
        <f>M23/C7*100000</f>
        <v>0</v>
      </c>
      <c r="O23" s="118">
        <v>0.0</v>
      </c>
      <c r="P23" s="57">
        <f>O23/D7*100000</f>
        <v>0</v>
      </c>
      <c r="Q23" s="129">
        <v>0.0</v>
      </c>
      <c r="R23" s="57">
        <f>Q23/E7*100000</f>
        <v>0</v>
      </c>
      <c r="S23" s="124">
        <v>2.0</v>
      </c>
      <c r="T23" s="57">
        <f>S23/F7*100000</f>
        <v>4.262756298</v>
      </c>
      <c r="U23" s="124">
        <v>0.0</v>
      </c>
      <c r="V23" s="57">
        <f>U23/G7*100000</f>
        <v>0</v>
      </c>
      <c r="W23" s="124">
        <v>2.0</v>
      </c>
      <c r="X23" s="57">
        <f>W23/H7*100000</f>
        <v>4.028846541</v>
      </c>
      <c r="Y23" s="19">
        <f t="shared" ref="Y23:Z23" si="28">((M23+O23+Q23+S23)/4)</f>
        <v>0.5</v>
      </c>
      <c r="Z23" s="19">
        <f t="shared" si="28"/>
        <v>1.065689075</v>
      </c>
      <c r="AA23" s="19">
        <f t="shared" si="3"/>
        <v>1</v>
      </c>
      <c r="AB23" s="19">
        <f t="shared" si="4"/>
        <v>2.014423271</v>
      </c>
      <c r="AC23" s="22" t="s">
        <v>28</v>
      </c>
    </row>
    <row r="24" ht="14.25" customHeight="1">
      <c r="A24" s="1"/>
      <c r="B24" s="201" t="s">
        <v>81</v>
      </c>
      <c r="C24" s="131">
        <v>4207.0</v>
      </c>
      <c r="D24" s="131">
        <v>4272.0</v>
      </c>
      <c r="E24" s="131">
        <v>4281.0</v>
      </c>
      <c r="F24" s="131">
        <v>4343.0</v>
      </c>
      <c r="G24" s="131">
        <v>4422.0</v>
      </c>
      <c r="H24" s="134">
        <v>4507.0</v>
      </c>
      <c r="I24" s="1"/>
      <c r="J24" s="1"/>
      <c r="K24" s="1"/>
      <c r="L24" s="15" t="s">
        <v>82</v>
      </c>
      <c r="M24" s="124">
        <v>1.0</v>
      </c>
      <c r="N24" s="57">
        <f>M24/C7*100000</f>
        <v>2.322394854</v>
      </c>
      <c r="O24" s="118">
        <v>2.0</v>
      </c>
      <c r="P24" s="57">
        <f>O24/D7*100000</f>
        <v>4.527960154</v>
      </c>
      <c r="Q24" s="129">
        <v>1.0</v>
      </c>
      <c r="R24" s="57">
        <f>Q24/E7*100000</f>
        <v>2.198237014</v>
      </c>
      <c r="S24" s="124">
        <v>2.0</v>
      </c>
      <c r="T24" s="57">
        <f>S24/F7*100000</f>
        <v>4.262756298</v>
      </c>
      <c r="U24" s="124">
        <v>2.0</v>
      </c>
      <c r="V24" s="57">
        <f>U24/G7*100000</f>
        <v>4.139244174</v>
      </c>
      <c r="W24" s="56"/>
      <c r="X24" s="57">
        <f>W24/H7*100000</f>
        <v>0</v>
      </c>
      <c r="Y24" s="19">
        <f t="shared" ref="Y24:Z24" si="29">((M24+O24+Q24+S24)/4)</f>
        <v>1.5</v>
      </c>
      <c r="Z24" s="19">
        <f t="shared" si="29"/>
        <v>3.32783708</v>
      </c>
      <c r="AA24" s="19">
        <f t="shared" si="3"/>
        <v>2</v>
      </c>
      <c r="AB24" s="19">
        <f t="shared" si="4"/>
        <v>2.069622087</v>
      </c>
      <c r="AC24" s="22" t="s">
        <v>28</v>
      </c>
    </row>
    <row r="25" ht="14.25" customHeight="1">
      <c r="A25" s="1"/>
      <c r="B25" s="201" t="s">
        <v>83</v>
      </c>
      <c r="C25" s="131">
        <v>4222.0</v>
      </c>
      <c r="D25" s="131">
        <v>4233.0</v>
      </c>
      <c r="E25" s="131">
        <v>4281.0</v>
      </c>
      <c r="F25" s="131">
        <v>4343.0</v>
      </c>
      <c r="G25" s="131">
        <v>4422.0</v>
      </c>
      <c r="H25" s="134">
        <v>4507.0</v>
      </c>
      <c r="I25" s="1"/>
      <c r="J25" s="1"/>
      <c r="K25" s="1"/>
      <c r="L25" s="15" t="s">
        <v>84</v>
      </c>
      <c r="M25" s="124">
        <v>26.0</v>
      </c>
      <c r="N25" s="57">
        <f>M25/C7*100000</f>
        <v>60.38226619</v>
      </c>
      <c r="O25" s="118">
        <v>26.0</v>
      </c>
      <c r="P25" s="57">
        <f>O25/D7*100000</f>
        <v>58.863482</v>
      </c>
      <c r="Q25" s="129">
        <v>43.0</v>
      </c>
      <c r="R25" s="57">
        <f>Q25/E7*100000</f>
        <v>94.5241916</v>
      </c>
      <c r="S25" s="124">
        <v>50.0</v>
      </c>
      <c r="T25" s="57">
        <f>S25/F7*100000</f>
        <v>106.5689075</v>
      </c>
      <c r="U25" s="124">
        <v>33.0</v>
      </c>
      <c r="V25" s="57">
        <f>U25/G7*100000</f>
        <v>68.29752887</v>
      </c>
      <c r="W25" s="124">
        <v>10.0</v>
      </c>
      <c r="X25" s="57">
        <f>W25/H7*100000</f>
        <v>20.14423271</v>
      </c>
      <c r="Y25" s="19">
        <f t="shared" ref="Y25:Z25" si="30">((M25+O25+Q25+S25)/4)</f>
        <v>36.25</v>
      </c>
      <c r="Z25" s="19">
        <f t="shared" si="30"/>
        <v>80.08471181</v>
      </c>
      <c r="AA25" s="19">
        <f t="shared" si="3"/>
        <v>41.5</v>
      </c>
      <c r="AB25" s="19">
        <f t="shared" si="4"/>
        <v>44.22088079</v>
      </c>
      <c r="AC25" s="22" t="s">
        <v>57</v>
      </c>
    </row>
    <row r="26" ht="14.25" customHeight="1">
      <c r="A26" s="1"/>
      <c r="B26" s="201" t="s">
        <v>85</v>
      </c>
      <c r="C26" s="144">
        <v>9450.0</v>
      </c>
      <c r="D26" s="144">
        <v>9654.0</v>
      </c>
      <c r="E26" s="144">
        <v>9845.0</v>
      </c>
      <c r="F26" s="144">
        <v>10014.0</v>
      </c>
      <c r="G26" s="144">
        <v>10143.0</v>
      </c>
      <c r="H26" s="134">
        <v>10226.0</v>
      </c>
      <c r="I26" s="1"/>
      <c r="J26" s="1"/>
      <c r="K26" s="1"/>
      <c r="L26" s="15" t="s">
        <v>86</v>
      </c>
      <c r="M26" s="17"/>
      <c r="N26" s="19">
        <f>M26/C7*100000</f>
        <v>0</v>
      </c>
      <c r="O26" s="17"/>
      <c r="P26" s="19">
        <f>O26/D7*100000</f>
        <v>0</v>
      </c>
      <c r="Q26" s="20"/>
      <c r="R26" s="19">
        <f>Q26/E7*100000</f>
        <v>0</v>
      </c>
      <c r="S26" s="17"/>
      <c r="T26" s="19">
        <f>S26/F7*100000</f>
        <v>0</v>
      </c>
      <c r="U26" s="17"/>
      <c r="V26" s="19">
        <f>U26/G7*100000</f>
        <v>0</v>
      </c>
      <c r="W26" s="17"/>
      <c r="X26" s="19">
        <f>W26/H7*100000</f>
        <v>0</v>
      </c>
      <c r="Y26" s="19">
        <f t="shared" ref="Y26:Z26" si="31">((M26+O26+Q26+S26)/4)</f>
        <v>0</v>
      </c>
      <c r="Z26" s="19">
        <f t="shared" si="31"/>
        <v>0</v>
      </c>
      <c r="AA26" s="19">
        <f t="shared" si="3"/>
        <v>0</v>
      </c>
      <c r="AB26" s="19">
        <f t="shared" si="4"/>
        <v>0</v>
      </c>
      <c r="AC26" s="22" t="s">
        <v>28</v>
      </c>
    </row>
    <row r="27" ht="14.25" customHeight="1">
      <c r="A27" s="1"/>
      <c r="B27" s="62" t="s">
        <v>87</v>
      </c>
      <c r="C27" s="146">
        <v>6864.0</v>
      </c>
      <c r="D27" s="146">
        <v>3235.0</v>
      </c>
      <c r="E27" s="146">
        <v>3406.0</v>
      </c>
      <c r="F27" s="146">
        <v>3595.0</v>
      </c>
      <c r="G27" s="146">
        <v>3802.0</v>
      </c>
      <c r="H27" s="147">
        <v>4008.0</v>
      </c>
      <c r="I27" s="1"/>
      <c r="J27" s="1"/>
      <c r="K27" s="1"/>
      <c r="L27" s="15" t="s">
        <v>88</v>
      </c>
      <c r="M27" s="118">
        <v>1.0</v>
      </c>
      <c r="N27" s="19">
        <f>M27/C11*100000</f>
        <v>4.616592032</v>
      </c>
      <c r="O27" s="118">
        <v>1.0</v>
      </c>
      <c r="P27" s="19">
        <f>O27/D11*100000</f>
        <v>4.506331396</v>
      </c>
      <c r="Q27" s="129">
        <v>2.0</v>
      </c>
      <c r="R27" s="19">
        <f>Q27/E11*100000</f>
        <v>8.76501008</v>
      </c>
      <c r="S27" s="118">
        <v>3.0</v>
      </c>
      <c r="T27" s="19">
        <f>S27/F11*100000</f>
        <v>12.76324186</v>
      </c>
      <c r="U27" s="118">
        <v>2.0</v>
      </c>
      <c r="V27" s="19">
        <f>U27/G11*100000</f>
        <v>8.269930533</v>
      </c>
      <c r="W27" s="17"/>
      <c r="X27" s="19">
        <f>W27/H11*100000</f>
        <v>0</v>
      </c>
      <c r="Y27" s="19">
        <f t="shared" ref="Y27:Z27" si="32">((M27+O27+Q27+S27)/4)</f>
        <v>1.75</v>
      </c>
      <c r="Z27" s="19">
        <f t="shared" si="32"/>
        <v>7.662793843</v>
      </c>
      <c r="AA27" s="19">
        <f t="shared" si="3"/>
        <v>2.5</v>
      </c>
      <c r="AB27" s="19">
        <f t="shared" si="4"/>
        <v>4.134965266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118">
        <v>0.0</v>
      </c>
      <c r="N28" s="19">
        <f>M28/C11*100000</f>
        <v>0</v>
      </c>
      <c r="O28" s="118">
        <v>2.0</v>
      </c>
      <c r="P28" s="19">
        <f>O28/D11*100000</f>
        <v>9.012662791</v>
      </c>
      <c r="Q28" s="129">
        <v>2.0</v>
      </c>
      <c r="R28" s="19">
        <f>Q28/E11*100000</f>
        <v>8.76501008</v>
      </c>
      <c r="S28" s="118">
        <v>4.0</v>
      </c>
      <c r="T28" s="19">
        <f>S28/F11*100000</f>
        <v>17.01765582</v>
      </c>
      <c r="U28" s="118">
        <v>7.0</v>
      </c>
      <c r="V28" s="19">
        <f>U28/G11*100000</f>
        <v>28.94475686</v>
      </c>
      <c r="W28" s="17"/>
      <c r="X28" s="19">
        <f>W28/H11*100000</f>
        <v>0</v>
      </c>
      <c r="Y28" s="19">
        <f t="shared" ref="Y28:Z28" si="33">((M28+O28+Q28+S28)/4)</f>
        <v>2</v>
      </c>
      <c r="Z28" s="19">
        <f t="shared" si="33"/>
        <v>8.698832172</v>
      </c>
      <c r="AA28" s="19">
        <f t="shared" si="3"/>
        <v>5.5</v>
      </c>
      <c r="AB28" s="19">
        <f t="shared" si="4"/>
        <v>14.47237843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118">
        <v>2.0</v>
      </c>
      <c r="N29" s="19">
        <f>M29/C10*100000</f>
        <v>9.346667913</v>
      </c>
      <c r="O29" s="118">
        <v>1.0</v>
      </c>
      <c r="P29" s="19">
        <f>O29/D10*100000</f>
        <v>4.549797534</v>
      </c>
      <c r="Q29" s="129">
        <v>0.0</v>
      </c>
      <c r="R29" s="19">
        <f>Q29/E10*100000</f>
        <v>0</v>
      </c>
      <c r="S29" s="118">
        <v>2.0</v>
      </c>
      <c r="T29" s="19">
        <f>S29/F10*100000</f>
        <v>8.542262845</v>
      </c>
      <c r="U29" s="118">
        <v>5.0</v>
      </c>
      <c r="V29" s="19">
        <f>U29/G10*100000</f>
        <v>20.71765973</v>
      </c>
      <c r="W29" s="17"/>
      <c r="X29" s="19">
        <f>W29/H10*100000</f>
        <v>0</v>
      </c>
      <c r="Y29" s="19">
        <f t="shared" ref="Y29:Z29" si="34">((M29+O29+Q29+S29)/4)</f>
        <v>1.25</v>
      </c>
      <c r="Z29" s="19">
        <f t="shared" si="34"/>
        <v>5.609682073</v>
      </c>
      <c r="AA29" s="19">
        <f t="shared" si="3"/>
        <v>3.5</v>
      </c>
      <c r="AB29" s="19">
        <f t="shared" si="4"/>
        <v>10.35882987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118">
        <v>30.0</v>
      </c>
      <c r="N30" s="19">
        <f>M30/C7*100000</f>
        <v>69.67184561</v>
      </c>
      <c r="O30" s="118">
        <v>80.0</v>
      </c>
      <c r="P30" s="19">
        <f>O30/D7*100000</f>
        <v>181.1184062</v>
      </c>
      <c r="Q30" s="129">
        <v>13.0</v>
      </c>
      <c r="R30" s="19">
        <f>Q30/E7*100000</f>
        <v>28.57708118</v>
      </c>
      <c r="S30" s="118">
        <v>6.0</v>
      </c>
      <c r="T30" s="19">
        <f>S30/F7*100000</f>
        <v>12.78826889</v>
      </c>
      <c r="U30" s="118">
        <v>8.0</v>
      </c>
      <c r="V30" s="19">
        <f>U30/G7*100000</f>
        <v>16.5569767</v>
      </c>
      <c r="W30" s="17"/>
      <c r="X30" s="19">
        <f>W30/H7*100000</f>
        <v>0</v>
      </c>
      <c r="Y30" s="19">
        <f t="shared" ref="Y30:Z30" si="35">((M30+O30+Q30+S30)/4)</f>
        <v>32.25</v>
      </c>
      <c r="Z30" s="19">
        <f t="shared" si="35"/>
        <v>73.03890046</v>
      </c>
      <c r="AA30" s="19">
        <f t="shared" si="3"/>
        <v>7</v>
      </c>
      <c r="AB30" s="19">
        <f t="shared" si="4"/>
        <v>8.278488348</v>
      </c>
      <c r="AC30" s="22" t="s">
        <v>28</v>
      </c>
    </row>
    <row r="31" ht="14.25" customHeight="1">
      <c r="A31" s="206"/>
      <c r="B31" s="71" t="s">
        <v>93</v>
      </c>
      <c r="C31" s="207">
        <v>4706.0</v>
      </c>
      <c r="D31" s="206">
        <v>4747.0</v>
      </c>
      <c r="E31" s="206">
        <v>4787.0</v>
      </c>
      <c r="F31" s="207">
        <v>4838.0</v>
      </c>
      <c r="G31" s="206">
        <v>4858.0</v>
      </c>
      <c r="H31" s="207">
        <v>4876.0</v>
      </c>
      <c r="I31" s="1"/>
      <c r="J31" s="1"/>
      <c r="K31" s="1"/>
      <c r="L31" s="15" t="s">
        <v>94</v>
      </c>
      <c r="M31" s="118">
        <v>0.0</v>
      </c>
      <c r="N31" s="19">
        <f>M31/C7*100000</f>
        <v>0</v>
      </c>
      <c r="O31" s="118">
        <v>0.0</v>
      </c>
      <c r="P31" s="19">
        <f>O31/D7*100000</f>
        <v>0</v>
      </c>
      <c r="Q31" s="129">
        <v>0.0</v>
      </c>
      <c r="R31" s="19">
        <f>Q31/E7*100000</f>
        <v>0</v>
      </c>
      <c r="S31" s="118">
        <v>0.0</v>
      </c>
      <c r="T31" s="19">
        <f>S31/F7*100000</f>
        <v>0</v>
      </c>
      <c r="U31" s="118">
        <v>0.0</v>
      </c>
      <c r="V31" s="19">
        <f>U31/G7*100000</f>
        <v>0</v>
      </c>
      <c r="W31" s="17"/>
      <c r="X31" s="19">
        <f>W31/H7*100000</f>
        <v>0</v>
      </c>
      <c r="Y31" s="19">
        <f t="shared" ref="Y31:Z31" si="36">((M31+O31+Q31+S31)/4)</f>
        <v>0</v>
      </c>
      <c r="Z31" s="19">
        <f t="shared" si="36"/>
        <v>0</v>
      </c>
      <c r="AA31" s="19">
        <f t="shared" si="3"/>
        <v>0</v>
      </c>
      <c r="AB31" s="19">
        <f t="shared" si="4"/>
        <v>0</v>
      </c>
      <c r="AC31" s="22" t="s">
        <v>28</v>
      </c>
    </row>
    <row r="32" ht="14.25" customHeight="1">
      <c r="A32" s="70"/>
      <c r="B32" s="209" t="s">
        <v>95</v>
      </c>
      <c r="C32" s="206">
        <v>4207.0</v>
      </c>
      <c r="D32" s="207">
        <v>4272.0</v>
      </c>
      <c r="E32" s="207">
        <v>4377.0</v>
      </c>
      <c r="F32" s="206">
        <v>4507.0</v>
      </c>
      <c r="G32" s="206">
        <v>4636.0</v>
      </c>
      <c r="H32" s="206">
        <v>4759.0</v>
      </c>
      <c r="I32" s="1"/>
      <c r="J32" s="1"/>
      <c r="K32" s="1"/>
      <c r="L32" s="15" t="s">
        <v>96</v>
      </c>
      <c r="M32" s="124">
        <v>5.0</v>
      </c>
      <c r="N32" s="72">
        <f>M32/C7*100</f>
        <v>0.01161197427</v>
      </c>
      <c r="O32" s="118">
        <v>17.0</v>
      </c>
      <c r="P32" s="72">
        <f>O32/D7*100</f>
        <v>0.03848766131</v>
      </c>
      <c r="Q32" s="129">
        <v>18.0</v>
      </c>
      <c r="R32" s="72">
        <f>Q32/E7*100</f>
        <v>0.03956826625</v>
      </c>
      <c r="S32" s="124">
        <v>15.0</v>
      </c>
      <c r="T32" s="72">
        <f>S32/F7*100</f>
        <v>0.03197067224</v>
      </c>
      <c r="U32" s="124">
        <v>40.0</v>
      </c>
      <c r="V32" s="72">
        <f>U32/G7*100</f>
        <v>0.08278488348</v>
      </c>
      <c r="W32" s="124">
        <v>9.0</v>
      </c>
      <c r="X32" s="72">
        <f>W32/H7*100</f>
        <v>0.01812980944</v>
      </c>
      <c r="Y32" s="19">
        <f t="shared" ref="Y32:Z32" si="37">((M32+O32+Q32+S32)/4)</f>
        <v>13.75</v>
      </c>
      <c r="Z32" s="74">
        <f t="shared" si="37"/>
        <v>0.03040964352</v>
      </c>
      <c r="AA32" s="19">
        <f t="shared" si="3"/>
        <v>27.5</v>
      </c>
      <c r="AB32" s="19">
        <f t="shared" si="4"/>
        <v>0.05045734646</v>
      </c>
      <c r="AC32" s="22" t="s">
        <v>57</v>
      </c>
    </row>
    <row r="33" ht="14.25" customHeight="1">
      <c r="A33" s="1"/>
      <c r="B33" s="209" t="s">
        <v>99</v>
      </c>
      <c r="C33" s="206">
        <v>4222.0</v>
      </c>
      <c r="D33" s="206">
        <v>4233.0</v>
      </c>
      <c r="E33" s="206">
        <v>4281.0</v>
      </c>
      <c r="F33" s="206">
        <v>4343.0</v>
      </c>
      <c r="G33" s="206">
        <v>4422.0</v>
      </c>
      <c r="H33" s="206">
        <v>4507.0</v>
      </c>
      <c r="I33" s="1"/>
      <c r="J33" s="1"/>
      <c r="K33" s="1"/>
      <c r="L33" s="15" t="s">
        <v>100</v>
      </c>
      <c r="M33" s="118">
        <v>9333.0</v>
      </c>
      <c r="N33" s="19">
        <f>M33/C7*10000</f>
        <v>2167.491117</v>
      </c>
      <c r="O33" s="118">
        <v>5263.0</v>
      </c>
      <c r="P33" s="19">
        <f>O33/D7*10000</f>
        <v>1191.532715</v>
      </c>
      <c r="Q33" s="129">
        <v>9743.0</v>
      </c>
      <c r="R33" s="19">
        <f>Q33/E7*10000</f>
        <v>2141.742323</v>
      </c>
      <c r="S33" s="118">
        <v>9416.0</v>
      </c>
      <c r="T33" s="19">
        <f>S33/F7*10000</f>
        <v>2006.905665</v>
      </c>
      <c r="U33" s="118">
        <v>7422.0</v>
      </c>
      <c r="V33" s="19">
        <f>U33/G7*10000</f>
        <v>1536.073513</v>
      </c>
      <c r="W33" s="118">
        <v>4250.0</v>
      </c>
      <c r="X33" s="19">
        <f>W33/H7*10000</f>
        <v>856.12989</v>
      </c>
      <c r="Y33" s="19">
        <f t="shared" ref="Y33:Z33" si="38">((M33+O33+Q33+S33)/4)</f>
        <v>8438.75</v>
      </c>
      <c r="Z33" s="19">
        <f t="shared" si="38"/>
        <v>1876.917955</v>
      </c>
      <c r="AA33" s="19">
        <f t="shared" si="3"/>
        <v>8419</v>
      </c>
      <c r="AB33" s="19">
        <f t="shared" si="4"/>
        <v>1196.101701</v>
      </c>
      <c r="AC33" s="22" t="s">
        <v>57</v>
      </c>
    </row>
    <row r="34" ht="14.25" customHeight="1">
      <c r="A34" s="1"/>
      <c r="B34" s="71" t="s">
        <v>101</v>
      </c>
      <c r="C34" s="206">
        <v>9450.0</v>
      </c>
      <c r="D34" s="207">
        <v>9654.0</v>
      </c>
      <c r="E34" s="206">
        <v>9845.0</v>
      </c>
      <c r="F34" s="206">
        <v>10014.0</v>
      </c>
      <c r="G34" s="213">
        <v>10143.0</v>
      </c>
      <c r="H34" s="206">
        <v>10226.0</v>
      </c>
      <c r="I34" s="1"/>
      <c r="J34" s="1"/>
      <c r="K34" s="1"/>
      <c r="L34" s="15" t="s">
        <v>102</v>
      </c>
      <c r="M34" s="118">
        <v>2063.0</v>
      </c>
      <c r="N34" s="19">
        <f>M34/C7*10000</f>
        <v>479.1100583</v>
      </c>
      <c r="O34" s="118">
        <v>2378.0</v>
      </c>
      <c r="P34" s="19">
        <f>O34/D7*10000</f>
        <v>538.3744623</v>
      </c>
      <c r="Q34" s="129">
        <v>3272.0</v>
      </c>
      <c r="R34" s="19">
        <f>Q34/E7*10000</f>
        <v>719.263151</v>
      </c>
      <c r="S34" s="118">
        <v>3276.0</v>
      </c>
      <c r="T34" s="19">
        <f>S34/F7*10000</f>
        <v>698.2394816</v>
      </c>
      <c r="U34" s="118">
        <v>4775.0</v>
      </c>
      <c r="V34" s="19">
        <f>U34/G7*10000</f>
        <v>988.2445465</v>
      </c>
      <c r="W34" s="118">
        <v>2592.0</v>
      </c>
      <c r="X34" s="19">
        <f>W34/H7*10000</f>
        <v>522.1385117</v>
      </c>
      <c r="Y34" s="19">
        <f t="shared" ref="Y34:Z34" si="39">((M34+O34+Q34+S34)/4)</f>
        <v>2747.25</v>
      </c>
      <c r="Z34" s="19">
        <f t="shared" si="39"/>
        <v>608.7467883</v>
      </c>
      <c r="AA34" s="19">
        <f t="shared" si="3"/>
        <v>4025.5</v>
      </c>
      <c r="AB34" s="19">
        <f t="shared" si="4"/>
        <v>755.1915291</v>
      </c>
      <c r="AC34" s="22" t="s">
        <v>57</v>
      </c>
    </row>
    <row r="35" ht="14.25" customHeight="1">
      <c r="A35" s="206"/>
      <c r="B35" s="71" t="s">
        <v>103</v>
      </c>
      <c r="C35" s="206">
        <v>17408.0</v>
      </c>
      <c r="D35" s="207">
        <v>18029.0</v>
      </c>
      <c r="E35" s="206">
        <v>18795.0</v>
      </c>
      <c r="F35" s="206">
        <v>19621.0</v>
      </c>
      <c r="G35" s="206">
        <v>20457.0</v>
      </c>
      <c r="H35" s="206">
        <v>21266.0</v>
      </c>
      <c r="I35" s="1"/>
      <c r="J35" s="1"/>
      <c r="K35" s="1"/>
      <c r="L35" s="15" t="s">
        <v>104</v>
      </c>
      <c r="M35" s="118">
        <v>34.0</v>
      </c>
      <c r="N35" s="19">
        <f>M35/M4*1000</f>
        <v>259.5419847</v>
      </c>
      <c r="O35" s="118">
        <v>34.0</v>
      </c>
      <c r="P35" s="19">
        <f>O35/O4*1000</f>
        <v>60.60606061</v>
      </c>
      <c r="Q35" s="129">
        <v>55.0</v>
      </c>
      <c r="R35" s="19">
        <f>Q35/Q4*1000</f>
        <v>79.82583454</v>
      </c>
      <c r="S35" s="118">
        <v>40.0</v>
      </c>
      <c r="T35" s="19">
        <f>S35/S4*1000</f>
        <v>60.60606061</v>
      </c>
      <c r="U35" s="118">
        <v>46.0</v>
      </c>
      <c r="V35" s="19">
        <f>U35/U4*1000</f>
        <v>67.25146199</v>
      </c>
      <c r="W35" s="118">
        <v>29.0</v>
      </c>
      <c r="X35" s="19">
        <f>W35/W4*1000</f>
        <v>99.31506849</v>
      </c>
      <c r="Y35" s="19">
        <f t="shared" ref="Y35:Z35" si="40">((M35+O35+Q35+S35)/4)</f>
        <v>40.75</v>
      </c>
      <c r="Z35" s="19">
        <f t="shared" si="40"/>
        <v>115.1449851</v>
      </c>
      <c r="AA35" s="19">
        <f t="shared" si="3"/>
        <v>43</v>
      </c>
      <c r="AB35" s="19">
        <f t="shared" si="4"/>
        <v>83.28326524</v>
      </c>
      <c r="AC35" s="22" t="s">
        <v>57</v>
      </c>
    </row>
    <row r="36" ht="14.25" customHeight="1">
      <c r="A36" s="70"/>
      <c r="B36" s="71" t="s">
        <v>105</v>
      </c>
      <c r="C36" s="207">
        <v>6864.0</v>
      </c>
      <c r="D36" s="206">
        <v>3235.0</v>
      </c>
      <c r="E36" s="206">
        <v>3406.0</v>
      </c>
      <c r="F36" s="206">
        <v>3595.0</v>
      </c>
      <c r="G36" s="216">
        <v>3802.0</v>
      </c>
      <c r="H36" s="206">
        <v>4008.0</v>
      </c>
      <c r="I36" s="1"/>
      <c r="J36" s="1"/>
      <c r="K36" s="1"/>
      <c r="L36" s="15" t="s">
        <v>106</v>
      </c>
      <c r="M36" s="118">
        <v>6.0</v>
      </c>
      <c r="N36" s="19">
        <f>M36/M4*1000</f>
        <v>45.80152672</v>
      </c>
      <c r="O36" s="118">
        <v>3.0</v>
      </c>
      <c r="P36" s="19">
        <f>O36/O4*1000</f>
        <v>5.347593583</v>
      </c>
      <c r="Q36" s="129">
        <v>6.0</v>
      </c>
      <c r="R36" s="19">
        <f>Q36/Q4*1000</f>
        <v>8.708272859</v>
      </c>
      <c r="S36" s="118">
        <v>6.0</v>
      </c>
      <c r="T36" s="19">
        <f>S36/S4*1000</f>
        <v>9.090909091</v>
      </c>
      <c r="U36" s="118">
        <v>5.0</v>
      </c>
      <c r="V36" s="19">
        <f>U36/U4*1000</f>
        <v>7.30994152</v>
      </c>
      <c r="W36" s="118">
        <v>3.0</v>
      </c>
      <c r="X36" s="19">
        <f>W36/W4*1000</f>
        <v>10.2739726</v>
      </c>
      <c r="Y36" s="19">
        <f t="shared" ref="Y36:Z36" si="41">((M36+O36+Q36+S36)/4)</f>
        <v>5.25</v>
      </c>
      <c r="Z36" s="19">
        <f t="shared" si="41"/>
        <v>17.23707556</v>
      </c>
      <c r="AA36" s="19">
        <f t="shared" si="3"/>
        <v>5.5</v>
      </c>
      <c r="AB36" s="19">
        <f t="shared" si="4"/>
        <v>8.791957062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H37" s="1"/>
      <c r="I37" s="1"/>
      <c r="J37" s="1"/>
      <c r="K37" s="1"/>
      <c r="L37" s="15" t="s">
        <v>107</v>
      </c>
      <c r="M37" s="118">
        <v>0.0</v>
      </c>
      <c r="N37" s="36"/>
      <c r="O37" s="118">
        <v>1.0</v>
      </c>
      <c r="P37" s="36"/>
      <c r="Q37" s="129">
        <v>0.0</v>
      </c>
      <c r="R37" s="36"/>
      <c r="S37" s="118">
        <v>0.0</v>
      </c>
      <c r="T37" s="36"/>
      <c r="U37" s="118">
        <v>1.0</v>
      </c>
      <c r="V37" s="36">
        <f>U37/889*1000</f>
        <v>1.124859393</v>
      </c>
      <c r="W37" s="118">
        <v>1.0</v>
      </c>
      <c r="X37" s="36">
        <f>W37/387*1000</f>
        <v>2.583979328</v>
      </c>
      <c r="Y37" s="19">
        <f t="shared" ref="Y37:Z37" si="42">((M37+O37+Q37+S37)/4)</f>
        <v>0.25</v>
      </c>
      <c r="Z37" s="19">
        <f t="shared" si="42"/>
        <v>0</v>
      </c>
      <c r="AA37" s="19">
        <f t="shared" si="3"/>
        <v>0.5</v>
      </c>
      <c r="AB37" s="19">
        <f t="shared" si="4"/>
        <v>1.85441936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17"/>
      <c r="N38" s="19">
        <f>M38/C7*10000</f>
        <v>0</v>
      </c>
      <c r="O38" s="17"/>
      <c r="P38" s="19">
        <f>O38/E7*10000</f>
        <v>0</v>
      </c>
      <c r="Q38" s="20"/>
      <c r="R38" s="19">
        <f>Q38/E7*10000</f>
        <v>0</v>
      </c>
      <c r="S38" s="118">
        <v>1.0</v>
      </c>
      <c r="T38" s="19">
        <f>S38/F7*10000</f>
        <v>0.2131378149</v>
      </c>
      <c r="U38" s="118">
        <v>4.0</v>
      </c>
      <c r="V38" s="19">
        <f>U38/G7*10000</f>
        <v>0.8278488348</v>
      </c>
      <c r="W38" s="118">
        <v>9.0</v>
      </c>
      <c r="X38" s="19">
        <f>W38/H7*10000</f>
        <v>1.812980944</v>
      </c>
      <c r="Y38" s="19">
        <f t="shared" ref="Y38:Z38" si="43">((M38+O38+Q38+S38)/4)</f>
        <v>0.25</v>
      </c>
      <c r="Z38" s="19">
        <f t="shared" si="43"/>
        <v>0.05328445373</v>
      </c>
      <c r="AA38" s="19">
        <f t="shared" si="3"/>
        <v>2.5</v>
      </c>
      <c r="AB38" s="19">
        <f t="shared" si="4"/>
        <v>1.320414889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17"/>
      <c r="N39" s="19">
        <f>M39/C17*10000</f>
        <v>0</v>
      </c>
      <c r="O39" s="17"/>
      <c r="P39" s="19">
        <f>O39/D17*10000</f>
        <v>0</v>
      </c>
      <c r="Q39" s="129"/>
      <c r="R39" s="19">
        <f>Q39/E17*100000</f>
        <v>0</v>
      </c>
      <c r="S39" s="118">
        <v>676.0</v>
      </c>
      <c r="T39" s="19">
        <f>S39/F17*100000</f>
        <v>4209.739694</v>
      </c>
      <c r="U39" s="118">
        <v>724.0</v>
      </c>
      <c r="V39" s="19">
        <f>U39/G17*100000</f>
        <v>4678.211424</v>
      </c>
      <c r="W39" s="118">
        <v>397.0</v>
      </c>
      <c r="X39" s="19">
        <f>W39/H17*100000</f>
        <v>2526.570356</v>
      </c>
      <c r="Y39" s="19">
        <f t="shared" ref="Y39:Z39" si="44">((M39+O39+Q39+S39)/4)</f>
        <v>169</v>
      </c>
      <c r="Z39" s="19">
        <f t="shared" si="44"/>
        <v>1052.434923</v>
      </c>
      <c r="AA39" s="19">
        <f t="shared" si="3"/>
        <v>700</v>
      </c>
      <c r="AB39" s="19">
        <f t="shared" si="4"/>
        <v>3602.39089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118">
        <v>10.0</v>
      </c>
      <c r="N40" s="19">
        <f>M40/C7*100000</f>
        <v>23.22394854</v>
      </c>
      <c r="O40" s="118">
        <v>49.0</v>
      </c>
      <c r="P40" s="19">
        <f>O40/D7*100000</f>
        <v>110.9350238</v>
      </c>
      <c r="Q40" s="129">
        <v>112.0</v>
      </c>
      <c r="R40" s="19">
        <f>Q40/E7*100000</f>
        <v>246.2025456</v>
      </c>
      <c r="S40" s="118">
        <v>107.0</v>
      </c>
      <c r="T40" s="19">
        <f>S40/F7*100000</f>
        <v>228.057462</v>
      </c>
      <c r="U40" s="118">
        <v>130.0</v>
      </c>
      <c r="V40" s="19">
        <f>U40/G7*100000</f>
        <v>269.0508713</v>
      </c>
      <c r="W40" s="17"/>
      <c r="X40" s="19">
        <f>W40/H7*100000</f>
        <v>0</v>
      </c>
      <c r="Y40" s="19">
        <f t="shared" ref="Y40:Z40" si="45">((M40+O40+Q40+S40)/4)</f>
        <v>69.5</v>
      </c>
      <c r="Z40" s="19">
        <f t="shared" si="45"/>
        <v>152.104745</v>
      </c>
      <c r="AA40" s="19">
        <f t="shared" si="3"/>
        <v>118.5</v>
      </c>
      <c r="AB40" s="19">
        <f t="shared" si="4"/>
        <v>134.5254357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56"/>
      <c r="N41" s="57">
        <f>M41/C7*10000</f>
        <v>0</v>
      </c>
      <c r="O41" s="17"/>
      <c r="P41" s="57">
        <f>O41/D7*10000</f>
        <v>0</v>
      </c>
      <c r="Q41" s="20"/>
      <c r="R41" s="57">
        <f>Q41/E7*10000</f>
        <v>0</v>
      </c>
      <c r="S41" s="56"/>
      <c r="T41" s="57">
        <f>S41/F7*10000</f>
        <v>0</v>
      </c>
      <c r="U41" s="56"/>
      <c r="V41" s="57">
        <f>U41/G7*10000</f>
        <v>0</v>
      </c>
      <c r="W41" s="56"/>
      <c r="X41" s="57">
        <f>W41/H7*10000</f>
        <v>0</v>
      </c>
      <c r="Y41" s="19">
        <f t="shared" ref="Y41:Z41" si="46">((M41+O41+Q41+S41)/4)</f>
        <v>0</v>
      </c>
      <c r="Z41" s="19">
        <f t="shared" si="46"/>
        <v>0</v>
      </c>
      <c r="AA41" s="19">
        <f t="shared" si="3"/>
        <v>0</v>
      </c>
      <c r="AB41" s="19">
        <f t="shared" si="4"/>
        <v>0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124">
        <v>47.0</v>
      </c>
      <c r="N42" s="57">
        <f>M42/C7*10000</f>
        <v>10.91525581</v>
      </c>
      <c r="O42" s="118">
        <v>16.0</v>
      </c>
      <c r="P42" s="57">
        <f>O42/D7*10000</f>
        <v>3.622368123</v>
      </c>
      <c r="Q42" s="129">
        <v>48.0</v>
      </c>
      <c r="R42" s="57">
        <f>Q42/E7*10000</f>
        <v>10.55153767</v>
      </c>
      <c r="S42" s="124">
        <v>85.0</v>
      </c>
      <c r="T42" s="57">
        <f>S42/F7*10000</f>
        <v>18.11671427</v>
      </c>
      <c r="U42" s="124">
        <v>46.0</v>
      </c>
      <c r="V42" s="57">
        <f>U42/G7*10000</f>
        <v>9.5202616</v>
      </c>
      <c r="W42" s="124">
        <v>33.0</v>
      </c>
      <c r="X42" s="57">
        <f>W42/H7*10000</f>
        <v>6.647596793</v>
      </c>
      <c r="Y42" s="19">
        <f t="shared" ref="Y42:Z42" si="47">((M42+O42+Q42+S42)/4)</f>
        <v>49</v>
      </c>
      <c r="Z42" s="19">
        <f t="shared" si="47"/>
        <v>10.80146897</v>
      </c>
      <c r="AA42" s="19">
        <f t="shared" si="3"/>
        <v>65.5</v>
      </c>
      <c r="AB42" s="19">
        <f t="shared" si="4"/>
        <v>8.083929197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56"/>
      <c r="N43" s="57">
        <f>M43/C16*10000</f>
        <v>0</v>
      </c>
      <c r="O43" s="17"/>
      <c r="P43" s="57">
        <f>O43/D16*10000</f>
        <v>0</v>
      </c>
      <c r="Q43" s="20"/>
      <c r="R43" s="57">
        <f>Q43/E16*100000</f>
        <v>0</v>
      </c>
      <c r="S43" s="124">
        <v>675.0</v>
      </c>
      <c r="T43" s="57">
        <f>S43/F16*100000</f>
        <v>2022.53251</v>
      </c>
      <c r="U43" s="124">
        <v>726.0</v>
      </c>
      <c r="V43" s="57">
        <f>U43/G16*100000</f>
        <v>1974.381986</v>
      </c>
      <c r="W43" s="124">
        <v>392.0</v>
      </c>
      <c r="X43" s="57">
        <f>W43/H16*100000</f>
        <v>1037.36636</v>
      </c>
      <c r="Y43" s="19">
        <f t="shared" ref="Y43:Z43" si="48">((M43+O43+Q43+S43)/4)</f>
        <v>168.75</v>
      </c>
      <c r="Z43" s="19">
        <f t="shared" si="48"/>
        <v>505.6331276</v>
      </c>
      <c r="AA43" s="19">
        <f t="shared" si="3"/>
        <v>700.5</v>
      </c>
      <c r="AB43" s="19">
        <f t="shared" si="4"/>
        <v>1505.874173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127">
        <v>43.0</v>
      </c>
      <c r="N44" s="57">
        <f>M44/C7*100000</f>
        <v>99.8629787</v>
      </c>
      <c r="O44" s="118">
        <v>44.0</v>
      </c>
      <c r="P44" s="57">
        <f>O44/D7*100000</f>
        <v>99.61512339</v>
      </c>
      <c r="Q44" s="118">
        <v>53.0</v>
      </c>
      <c r="R44" s="19">
        <f>Q44/E7*100000</f>
        <v>116.5065617</v>
      </c>
      <c r="S44" s="118">
        <v>26.0</v>
      </c>
      <c r="T44" s="19">
        <f>S44/F7*100000</f>
        <v>55.41583188</v>
      </c>
      <c r="U44" s="118">
        <v>42.0</v>
      </c>
      <c r="V44" s="19">
        <f>U44/G7*100000</f>
        <v>86.92412765</v>
      </c>
      <c r="W44" s="17"/>
      <c r="X44" s="19">
        <f>W44/H7*100000</f>
        <v>0</v>
      </c>
      <c r="Y44" s="19">
        <f t="shared" ref="Y44:Z44" si="49">((M44+O44+Q44+S44)/4)</f>
        <v>41.5</v>
      </c>
      <c r="Z44" s="19">
        <f t="shared" si="49"/>
        <v>92.85012393</v>
      </c>
      <c r="AA44" s="19">
        <f t="shared" si="3"/>
        <v>34</v>
      </c>
      <c r="AB44" s="19">
        <f t="shared" si="4"/>
        <v>43.46206383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86"/>
      <c r="N45" s="57">
        <f>M45/M4*100</f>
        <v>0</v>
      </c>
      <c r="O45" s="17"/>
      <c r="P45" s="57">
        <f>O45/O4*100</f>
        <v>0</v>
      </c>
      <c r="Q45" s="17"/>
      <c r="R45" s="19">
        <f>Q45/Q4*100</f>
        <v>0</v>
      </c>
      <c r="S45" s="17"/>
      <c r="T45" s="19">
        <f>S45/S4*100</f>
        <v>0</v>
      </c>
      <c r="U45" s="17"/>
      <c r="V45" s="19">
        <f>U45/U4*100</f>
        <v>0</v>
      </c>
      <c r="W45" s="17"/>
      <c r="X45" s="19">
        <f>W45/W4*100</f>
        <v>0</v>
      </c>
      <c r="Y45" s="19">
        <f t="shared" ref="Y45:Z45" si="50">((M45+O45+Q45+S45)/4)</f>
        <v>0</v>
      </c>
      <c r="Z45" s="19">
        <f t="shared" si="50"/>
        <v>0</v>
      </c>
      <c r="AA45" s="19">
        <f t="shared" si="3"/>
        <v>0</v>
      </c>
      <c r="AB45" s="19">
        <f t="shared" si="4"/>
        <v>0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86"/>
      <c r="N46" s="57">
        <f>M46/M4*100</f>
        <v>0</v>
      </c>
      <c r="O46" s="17"/>
      <c r="P46" s="57">
        <f>O46/O4*100</f>
        <v>0</v>
      </c>
      <c r="Q46" s="17"/>
      <c r="R46" s="19">
        <f>Q46/Q4*100</f>
        <v>0</v>
      </c>
      <c r="S46" s="17"/>
      <c r="T46" s="19">
        <f>S46/S4*100</f>
        <v>0</v>
      </c>
      <c r="U46" s="17"/>
      <c r="V46" s="19">
        <f>U46/U4*100</f>
        <v>0</v>
      </c>
      <c r="W46" s="17"/>
      <c r="X46" s="19">
        <f>W46/W4*100</f>
        <v>0</v>
      </c>
      <c r="Y46" s="19">
        <f t="shared" ref="Y46:Z46" si="51">((M46+O46+Q46+S46)/4)</f>
        <v>0</v>
      </c>
      <c r="Z46" s="19">
        <f t="shared" si="51"/>
        <v>0</v>
      </c>
      <c r="AA46" s="19">
        <f t="shared" si="3"/>
        <v>0</v>
      </c>
      <c r="AB46" s="19">
        <f t="shared" si="4"/>
        <v>0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129">
        <v>12.0</v>
      </c>
      <c r="N47" s="19">
        <f>M47/C7*100000</f>
        <v>27.86873824</v>
      </c>
      <c r="O47" s="129">
        <v>11.0</v>
      </c>
      <c r="P47" s="19">
        <f>O47/D7*100000</f>
        <v>24.90378085</v>
      </c>
      <c r="Q47" s="129">
        <v>11.0</v>
      </c>
      <c r="R47" s="19">
        <f>Q47/E7*100000</f>
        <v>24.18060715</v>
      </c>
      <c r="S47" s="118">
        <v>19.0</v>
      </c>
      <c r="T47" s="19">
        <f>S47/F7*100000</f>
        <v>40.49618483</v>
      </c>
      <c r="U47" s="118">
        <v>17.0</v>
      </c>
      <c r="V47" s="19">
        <f>U47/G7*100000</f>
        <v>35.18357548</v>
      </c>
      <c r="W47" s="118">
        <v>12.0</v>
      </c>
      <c r="X47" s="19">
        <f>W47/H7*100000</f>
        <v>24.17307925</v>
      </c>
      <c r="Y47" s="19">
        <f t="shared" ref="Y47:Z47" si="52">((M47+O47+Q47+S47)/4)</f>
        <v>13.25</v>
      </c>
      <c r="Z47" s="19">
        <f t="shared" si="52"/>
        <v>29.36232777</v>
      </c>
      <c r="AA47" s="19">
        <f t="shared" si="3"/>
        <v>18</v>
      </c>
      <c r="AB47" s="19">
        <f t="shared" si="4"/>
        <v>29.67832736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129">
        <v>5.0</v>
      </c>
      <c r="N48" s="19">
        <f>M48/C7*100000</f>
        <v>11.61197427</v>
      </c>
      <c r="O48" s="118">
        <v>8.0</v>
      </c>
      <c r="P48" s="19">
        <f>O48/D7*100000</f>
        <v>18.11184062</v>
      </c>
      <c r="Q48" s="129">
        <v>6.0</v>
      </c>
      <c r="R48" s="19">
        <f>Q48/E7*100000</f>
        <v>13.18942208</v>
      </c>
      <c r="S48" s="118">
        <v>5.0</v>
      </c>
      <c r="T48" s="19">
        <f>S48/F7*100000</f>
        <v>10.65689075</v>
      </c>
      <c r="U48" s="118">
        <v>7.0</v>
      </c>
      <c r="V48" s="19">
        <f>U48/G7*100000</f>
        <v>14.48735461</v>
      </c>
      <c r="W48" s="17"/>
      <c r="X48" s="19">
        <f>W48/H7*100000</f>
        <v>0</v>
      </c>
      <c r="Y48" s="19">
        <f t="shared" ref="Y48:Z48" si="53">((M48+O48+Q48+S48)/4)</f>
        <v>6</v>
      </c>
      <c r="Z48" s="19">
        <f t="shared" si="53"/>
        <v>13.39253193</v>
      </c>
      <c r="AA48" s="19">
        <f t="shared" si="3"/>
        <v>6</v>
      </c>
      <c r="AB48" s="19">
        <f t="shared" si="4"/>
        <v>7.243677305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129">
        <v>6.0</v>
      </c>
      <c r="N49" s="19">
        <f>M49/C7*100000</f>
        <v>13.93436912</v>
      </c>
      <c r="O49" s="118">
        <v>3.0</v>
      </c>
      <c r="P49" s="19">
        <f>O49/D7*100000</f>
        <v>6.791940231</v>
      </c>
      <c r="Q49" s="129">
        <v>3.0</v>
      </c>
      <c r="R49" s="19">
        <f>Q49/E7*100000</f>
        <v>6.594711042</v>
      </c>
      <c r="S49" s="118">
        <v>1.0</v>
      </c>
      <c r="T49" s="19">
        <f>S49/F7*100000</f>
        <v>2.131378149</v>
      </c>
      <c r="U49" s="118">
        <v>2.0</v>
      </c>
      <c r="V49" s="19">
        <f>U49/G7*100000</f>
        <v>4.139244174</v>
      </c>
      <c r="W49" s="17"/>
      <c r="X49" s="19">
        <f>W49/H7*100000</f>
        <v>0</v>
      </c>
      <c r="Y49" s="19">
        <f t="shared" ref="Y49:Z49" si="54">((M49+O49+Q49+S49)/4)</f>
        <v>3.25</v>
      </c>
      <c r="Z49" s="19">
        <f t="shared" si="54"/>
        <v>7.363099636</v>
      </c>
      <c r="AA49" s="19">
        <f t="shared" si="3"/>
        <v>1.5</v>
      </c>
      <c r="AB49" s="19">
        <f t="shared" si="4"/>
        <v>2.069622087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20"/>
      <c r="N50" s="19">
        <f>M50/C7*100000</f>
        <v>0</v>
      </c>
      <c r="O50" s="20"/>
      <c r="P50" s="19">
        <f>O50/D7*100000</f>
        <v>0</v>
      </c>
      <c r="Q50" s="20"/>
      <c r="R50" s="19">
        <f>Q50/E7*100000</f>
        <v>0</v>
      </c>
      <c r="S50" s="118">
        <v>1.0</v>
      </c>
      <c r="T50" s="19">
        <f>S50/F7*100000</f>
        <v>2.131378149</v>
      </c>
      <c r="U50" s="118">
        <v>2.0</v>
      </c>
      <c r="V50" s="19">
        <f>U50/G7*100000</f>
        <v>4.139244174</v>
      </c>
      <c r="W50" s="17"/>
      <c r="X50" s="19">
        <f>W50/H7*100000</f>
        <v>0</v>
      </c>
      <c r="Y50" s="19">
        <f t="shared" ref="Y50:Z50" si="55">((M50+O50+Q50+S50)/4)</f>
        <v>0.25</v>
      </c>
      <c r="Z50" s="19">
        <f t="shared" si="55"/>
        <v>0.5328445373</v>
      </c>
      <c r="AA50" s="19">
        <f t="shared" si="3"/>
        <v>1.5</v>
      </c>
      <c r="AB50" s="19">
        <f t="shared" si="4"/>
        <v>2.069622087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129">
        <v>0.0</v>
      </c>
      <c r="N51" s="19">
        <f>M51/C7*100000</f>
        <v>0</v>
      </c>
      <c r="O51" s="129">
        <v>0.0</v>
      </c>
      <c r="P51" s="19">
        <f>O51/D7*100000</f>
        <v>0</v>
      </c>
      <c r="Q51" s="129">
        <v>0.0</v>
      </c>
      <c r="R51" s="19">
        <f>Q51/E7*100000</f>
        <v>0</v>
      </c>
      <c r="S51" s="118">
        <v>0.0</v>
      </c>
      <c r="T51" s="19">
        <f>S51/F7*100000</f>
        <v>0</v>
      </c>
      <c r="U51" s="118">
        <v>0.0</v>
      </c>
      <c r="V51" s="19">
        <f>U51/G7*100000</f>
        <v>0</v>
      </c>
      <c r="W51" s="118">
        <v>0.0</v>
      </c>
      <c r="X51" s="19">
        <f>W51/H7*100000</f>
        <v>0</v>
      </c>
      <c r="Y51" s="19">
        <f t="shared" ref="Y51:Z51" si="56">((M51+O51+Q51+S51)/4)</f>
        <v>0</v>
      </c>
      <c r="Z51" s="19">
        <f t="shared" si="56"/>
        <v>0</v>
      </c>
      <c r="AA51" s="19">
        <f t="shared" si="3"/>
        <v>0</v>
      </c>
      <c r="AB51" s="19">
        <f t="shared" si="4"/>
        <v>0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129">
        <v>5.0</v>
      </c>
      <c r="N52" s="19">
        <f>M52/C7*100000</f>
        <v>11.61197427</v>
      </c>
      <c r="O52" s="129">
        <v>3.0</v>
      </c>
      <c r="P52" s="19">
        <f>O52/D7*100000</f>
        <v>6.791940231</v>
      </c>
      <c r="Q52" s="129">
        <v>3.0</v>
      </c>
      <c r="R52" s="19">
        <f>Q52/E7*100000</f>
        <v>6.594711042</v>
      </c>
      <c r="S52" s="118">
        <v>3.0</v>
      </c>
      <c r="T52" s="19">
        <f>S52/F7*100000</f>
        <v>6.394134447</v>
      </c>
      <c r="U52" s="118">
        <v>3.0</v>
      </c>
      <c r="V52" s="19">
        <f>U52/G7*100000</f>
        <v>6.208866261</v>
      </c>
      <c r="W52" s="118">
        <v>1.0</v>
      </c>
      <c r="X52" s="19">
        <f>W52/H7*100000</f>
        <v>2.014423271</v>
      </c>
      <c r="Y52" s="19">
        <f t="shared" ref="Y52:Z52" si="57">((M52+O52+Q52+S52)/4)</f>
        <v>3.5</v>
      </c>
      <c r="Z52" s="19">
        <f t="shared" si="57"/>
        <v>7.848189997</v>
      </c>
      <c r="AA52" s="19">
        <f t="shared" si="3"/>
        <v>3</v>
      </c>
      <c r="AB52" s="19">
        <f t="shared" si="4"/>
        <v>4.111644766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20"/>
      <c r="N53" s="19">
        <f>M53/C17*100000</f>
        <v>0</v>
      </c>
      <c r="O53" s="20"/>
      <c r="P53" s="19">
        <f>O53/D17*100000</f>
        <v>0</v>
      </c>
      <c r="Q53" s="20"/>
      <c r="R53" s="19">
        <f>Q53/E17*100000</f>
        <v>0</v>
      </c>
      <c r="S53" s="17"/>
      <c r="T53" s="19">
        <f>S53/F17*100000</f>
        <v>0</v>
      </c>
      <c r="U53" s="17"/>
      <c r="V53" s="19">
        <f>U53/G17*100000</f>
        <v>0</v>
      </c>
      <c r="W53" s="17"/>
      <c r="X53" s="19">
        <f>W53/H17*100000</f>
        <v>0</v>
      </c>
      <c r="Y53" s="19">
        <f t="shared" ref="Y53:Z53" si="58">((M53+O53+Q53+S53)/4)</f>
        <v>0</v>
      </c>
      <c r="Z53" s="19">
        <f t="shared" si="58"/>
        <v>0</v>
      </c>
      <c r="AA53" s="19">
        <f t="shared" si="3"/>
        <v>0</v>
      </c>
      <c r="AB53" s="19">
        <f t="shared" si="4"/>
        <v>0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20"/>
      <c r="N54" s="19" t="str">
        <f>M54/A19*100000</f>
        <v>#DIV/0!</v>
      </c>
      <c r="O54" s="20"/>
      <c r="P54" s="19">
        <f>O54/D19*100000</f>
        <v>0</v>
      </c>
      <c r="Q54" s="20"/>
      <c r="R54" s="19">
        <f>Q54/E19*100000</f>
        <v>0</v>
      </c>
      <c r="S54" s="17"/>
      <c r="T54" s="19">
        <f>S54/F19*100000</f>
        <v>0</v>
      </c>
      <c r="U54" s="17"/>
      <c r="V54" s="19">
        <f>U54/G19*100000</f>
        <v>0</v>
      </c>
      <c r="W54" s="17"/>
      <c r="X54" s="19">
        <f>W54/H19*100000</f>
        <v>0</v>
      </c>
      <c r="Y54" s="19">
        <f t="shared" ref="Y54:Z54" si="59">((M54+O54+Q54+S54)/4)</f>
        <v>0</v>
      </c>
      <c r="Z54" s="19" t="str">
        <f t="shared" si="59"/>
        <v>#DIV/0!</v>
      </c>
      <c r="AA54" s="19">
        <f t="shared" si="3"/>
        <v>0</v>
      </c>
      <c r="AB54" s="19">
        <f t="shared" si="4"/>
        <v>0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20"/>
      <c r="N55" s="19" t="str">
        <f>M55/A19*100000</f>
        <v>#DIV/0!</v>
      </c>
      <c r="O55" s="20"/>
      <c r="P55" s="19">
        <f>O55/D19*100000</f>
        <v>0</v>
      </c>
      <c r="Q55" s="20"/>
      <c r="R55" s="19">
        <f>Q55/E19*100000</f>
        <v>0</v>
      </c>
      <c r="S55" s="17"/>
      <c r="T55" s="19">
        <f>S55/F19*100000</f>
        <v>0</v>
      </c>
      <c r="U55" s="17"/>
      <c r="V55" s="19">
        <f>U55/G19*100000</f>
        <v>0</v>
      </c>
      <c r="W55" s="17"/>
      <c r="X55" s="19">
        <f>W55/H19*100000</f>
        <v>0</v>
      </c>
      <c r="Y55" s="19">
        <f t="shared" ref="Y55:Z55" si="60">((M55+O55+Q55+S55)/4)</f>
        <v>0</v>
      </c>
      <c r="Z55" s="19" t="str">
        <f t="shared" si="60"/>
        <v>#DIV/0!</v>
      </c>
      <c r="AA55" s="19">
        <f t="shared" si="3"/>
        <v>0</v>
      </c>
      <c r="AB55" s="19">
        <f t="shared" si="4"/>
        <v>0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129">
        <v>0.0</v>
      </c>
      <c r="N56" s="19">
        <f>M56/C7*100000</f>
        <v>0</v>
      </c>
      <c r="O56" s="129">
        <v>0.0</v>
      </c>
      <c r="P56" s="19">
        <f>O56/D7*100000</f>
        <v>0</v>
      </c>
      <c r="Q56" s="129">
        <v>0.0</v>
      </c>
      <c r="R56" s="19">
        <f>Q56/E7*100000</f>
        <v>0</v>
      </c>
      <c r="S56" s="118">
        <v>0.0</v>
      </c>
      <c r="T56" s="19">
        <f>S56/F7*100000</f>
        <v>0</v>
      </c>
      <c r="U56" s="118">
        <v>0.0</v>
      </c>
      <c r="V56" s="19">
        <f>U56/G7*100000</f>
        <v>0</v>
      </c>
      <c r="W56" s="118">
        <v>0.0</v>
      </c>
      <c r="X56" s="19">
        <f>W56/H7*100000</f>
        <v>0</v>
      </c>
      <c r="Y56" s="19">
        <f t="shared" ref="Y56:Z56" si="61">((M56+O56+Q56+S56)/4)</f>
        <v>0</v>
      </c>
      <c r="Z56" s="19">
        <f t="shared" si="61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129">
        <v>0.0</v>
      </c>
      <c r="N57" s="19">
        <f>M57/M4*100000</f>
        <v>0</v>
      </c>
      <c r="O57" s="129">
        <v>0.0</v>
      </c>
      <c r="P57" s="19">
        <f>O57/O4*100000</f>
        <v>0</v>
      </c>
      <c r="Q57" s="129">
        <v>0.0</v>
      </c>
      <c r="R57" s="19">
        <f>Q57/Q4*100000</f>
        <v>0</v>
      </c>
      <c r="S57" s="118">
        <v>0.0</v>
      </c>
      <c r="T57" s="19">
        <f>S57/S4*100000</f>
        <v>0</v>
      </c>
      <c r="U57" s="118">
        <v>0.0</v>
      </c>
      <c r="V57" s="19">
        <f>U57/U4*100000</f>
        <v>0</v>
      </c>
      <c r="W57" s="118">
        <v>0.0</v>
      </c>
      <c r="X57" s="19">
        <f>W57/W4*100000</f>
        <v>0</v>
      </c>
      <c r="Y57" s="19">
        <f t="shared" ref="Y57:Z57" si="62">((M57+O57+Q57+S57)/4)</f>
        <v>0</v>
      </c>
      <c r="Z57" s="19">
        <f t="shared" si="62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86"/>
      <c r="N58" s="57">
        <f>M58/C7*100000</f>
        <v>0</v>
      </c>
      <c r="O58" s="86"/>
      <c r="P58" s="57">
        <f>O58/D7*100000</f>
        <v>0</v>
      </c>
      <c r="Q58" s="86"/>
      <c r="R58" s="57">
        <f>Q58/E7*100000</f>
        <v>0</v>
      </c>
      <c r="S58" s="56"/>
      <c r="T58" s="57">
        <f>S58/F7*100000</f>
        <v>0</v>
      </c>
      <c r="U58" s="56"/>
      <c r="V58" s="57">
        <f>U58/G7*100000</f>
        <v>0</v>
      </c>
      <c r="W58" s="56"/>
      <c r="X58" s="57">
        <f>W58/H7*100000</f>
        <v>0</v>
      </c>
      <c r="Y58" s="19">
        <f t="shared" ref="Y58:Z58" si="63">((M58+O58+Q58+S58)/4)</f>
        <v>0</v>
      </c>
      <c r="Z58" s="19">
        <f t="shared" si="63"/>
        <v>0</v>
      </c>
      <c r="AA58" s="19">
        <f t="shared" si="3"/>
        <v>0</v>
      </c>
      <c r="AB58" s="19">
        <f t="shared" si="4"/>
        <v>0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86"/>
      <c r="N59" s="57">
        <f>M59/C7*100000</f>
        <v>0</v>
      </c>
      <c r="O59" s="86"/>
      <c r="P59" s="57">
        <f>O59/D7*100000</f>
        <v>0</v>
      </c>
      <c r="Q59" s="86"/>
      <c r="R59" s="57">
        <f>Q59/E7*100000</f>
        <v>0</v>
      </c>
      <c r="S59" s="97"/>
      <c r="T59" s="98">
        <f>S59/F7*100000</f>
        <v>0</v>
      </c>
      <c r="U59" s="97"/>
      <c r="V59" s="98">
        <f>U59/G7*100000</f>
        <v>0</v>
      </c>
      <c r="W59" s="97"/>
      <c r="X59" s="98">
        <f>W59/H7*100000</f>
        <v>0</v>
      </c>
      <c r="Y59" s="99">
        <f t="shared" ref="Y59:Z59" si="64">((M59+O59+Q59+S59)/4)</f>
        <v>0</v>
      </c>
      <c r="Z59" s="99">
        <f t="shared" si="64"/>
        <v>0</v>
      </c>
      <c r="AA59" s="19">
        <f t="shared" si="3"/>
        <v>0</v>
      </c>
      <c r="AB59" s="19">
        <f t="shared" si="4"/>
        <v>0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86"/>
      <c r="N60" s="57">
        <f>M60/C17*100000</f>
        <v>0</v>
      </c>
      <c r="O60" s="86"/>
      <c r="P60" s="57">
        <f>O60/D17*100000</f>
        <v>0</v>
      </c>
      <c r="Q60" s="86"/>
      <c r="R60" s="57">
        <f>Q60/E17*100000</f>
        <v>0</v>
      </c>
      <c r="S60" s="56"/>
      <c r="T60" s="57">
        <f>S60/F17*100000</f>
        <v>0</v>
      </c>
      <c r="U60" s="56"/>
      <c r="V60" s="57">
        <f>U60/G17*100000</f>
        <v>0</v>
      </c>
      <c r="W60" s="56"/>
      <c r="X60" s="57">
        <f>W60/H17*100000</f>
        <v>0</v>
      </c>
      <c r="Y60" s="99">
        <f>((M60+O60+Q60+S60)/4)</f>
        <v>0</v>
      </c>
      <c r="Z60" s="99">
        <f>((N60+P60+R60+T60)/1)</f>
        <v>0</v>
      </c>
      <c r="AA60" s="19">
        <f t="shared" si="3"/>
        <v>0</v>
      </c>
      <c r="AB60" s="19">
        <f t="shared" si="4"/>
        <v>0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127">
        <v>0.0</v>
      </c>
      <c r="N61" s="57">
        <f>M61/C15*1000</f>
        <v>0</v>
      </c>
      <c r="O61" s="127">
        <v>0.0</v>
      </c>
      <c r="P61" s="57">
        <f>O61/D15*1000</f>
        <v>0</v>
      </c>
      <c r="Q61" s="127">
        <v>0.0</v>
      </c>
      <c r="R61" s="57">
        <f>Q61/E15*1000</f>
        <v>0</v>
      </c>
      <c r="S61" s="124">
        <v>0.0</v>
      </c>
      <c r="T61" s="57">
        <f>S61/F15*1000</f>
        <v>0</v>
      </c>
      <c r="U61" s="124">
        <v>0.0</v>
      </c>
      <c r="V61" s="57">
        <f>U61/G15*1000</f>
        <v>0</v>
      </c>
      <c r="W61" s="124">
        <v>0.0</v>
      </c>
      <c r="X61" s="57">
        <f>W61/H23*1000</f>
        <v>0</v>
      </c>
      <c r="Y61" s="99">
        <f t="shared" ref="Y61:Z61" si="65">((M61+O61+Q61+S61)/1)</f>
        <v>0</v>
      </c>
      <c r="Z61" s="99">
        <f t="shared" si="65"/>
        <v>0</v>
      </c>
      <c r="AA61" s="19">
        <f t="shared" si="3"/>
        <v>0</v>
      </c>
      <c r="AB61" s="19">
        <f t="shared" si="4"/>
        <v>0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127">
        <v>0.0</v>
      </c>
      <c r="N62" s="57">
        <f>M62/C15*1000</f>
        <v>0</v>
      </c>
      <c r="O62" s="127">
        <v>0.0</v>
      </c>
      <c r="P62" s="57">
        <f>O62/D15*1000</f>
        <v>0</v>
      </c>
      <c r="Q62" s="127">
        <v>0.0</v>
      </c>
      <c r="R62" s="57">
        <f>Q62/E15*1000</f>
        <v>0</v>
      </c>
      <c r="S62" s="124">
        <v>0.0</v>
      </c>
      <c r="T62" s="57">
        <f>S62/F15*1000</f>
        <v>0</v>
      </c>
      <c r="U62" s="124">
        <v>0.0</v>
      </c>
      <c r="V62" s="57">
        <f>U62/G15*1000</f>
        <v>0</v>
      </c>
      <c r="W62" s="124">
        <v>0.0</v>
      </c>
      <c r="X62" s="57">
        <f>W62/H15*1000</f>
        <v>0</v>
      </c>
      <c r="Y62" s="99">
        <f t="shared" ref="Y62:Z62" si="66">((M62+O62+Q62+S62)/1)</f>
        <v>0</v>
      </c>
      <c r="Z62" s="99">
        <f t="shared" si="66"/>
        <v>0</v>
      </c>
      <c r="AA62" s="19">
        <f t="shared" si="3"/>
        <v>0</v>
      </c>
      <c r="AB62" s="19">
        <f t="shared" si="4"/>
        <v>0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86"/>
      <c r="N63" s="57">
        <f>M63/C17*100000</f>
        <v>0</v>
      </c>
      <c r="O63" s="86"/>
      <c r="P63" s="57">
        <f>O63/D17*100000</f>
        <v>0</v>
      </c>
      <c r="Q63" s="86"/>
      <c r="R63" s="57">
        <f>Q63/E17*100000</f>
        <v>0</v>
      </c>
      <c r="S63" s="124">
        <v>671.0</v>
      </c>
      <c r="T63" s="57">
        <f>S63/F17*100000</f>
        <v>4178.602566</v>
      </c>
      <c r="U63" s="124">
        <v>717.0</v>
      </c>
      <c r="V63" s="57">
        <f>U63/G17*100000</f>
        <v>4632.980098</v>
      </c>
      <c r="W63" s="124">
        <v>367.0</v>
      </c>
      <c r="X63" s="57">
        <f>W63/H17*100000</f>
        <v>2335.645644</v>
      </c>
      <c r="Y63" s="99">
        <f t="shared" ref="Y63:Z63" si="67">((M63+O63+Q63+S63)/1)</f>
        <v>671</v>
      </c>
      <c r="Z63" s="99">
        <f t="shared" si="67"/>
        <v>4178.602566</v>
      </c>
      <c r="AA63" s="19">
        <f t="shared" si="3"/>
        <v>694</v>
      </c>
      <c r="AB63" s="19">
        <f t="shared" si="4"/>
        <v>3484.312871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222"/>
      <c r="N64" s="57">
        <f>M64/C17*100000</f>
        <v>0</v>
      </c>
      <c r="O64" s="86"/>
      <c r="P64" s="57">
        <f>O64/D17*100000</f>
        <v>0</v>
      </c>
      <c r="Q64" s="86"/>
      <c r="R64" s="57">
        <f>Q64/E17*100000</f>
        <v>0</v>
      </c>
      <c r="S64" s="56"/>
      <c r="T64" s="57">
        <f>S64/F17*100000</f>
        <v>0</v>
      </c>
      <c r="U64" s="57"/>
      <c r="V64" s="57">
        <f>U64/G17*100000</f>
        <v>0</v>
      </c>
      <c r="W64" s="56"/>
      <c r="X64" s="57">
        <f>W64/H17*100000</f>
        <v>0</v>
      </c>
      <c r="Y64" s="99">
        <f t="shared" ref="Y64:Z64" si="68">((M64+O64+Q64+S64)/1)</f>
        <v>0</v>
      </c>
      <c r="Z64" s="99">
        <f t="shared" si="68"/>
        <v>0</v>
      </c>
      <c r="AA64" s="19">
        <f t="shared" si="3"/>
        <v>0</v>
      </c>
      <c r="AB64" s="19">
        <f t="shared" si="4"/>
        <v>0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86"/>
      <c r="N65" s="57">
        <f>M65/C17*100000</f>
        <v>0</v>
      </c>
      <c r="O65" s="86"/>
      <c r="P65" s="57">
        <f>O65/D17*100000</f>
        <v>0</v>
      </c>
      <c r="Q65" s="86"/>
      <c r="R65" s="57">
        <f>Q65/E17*100000</f>
        <v>0</v>
      </c>
      <c r="S65" s="127">
        <v>2.0</v>
      </c>
      <c r="T65" s="57">
        <f>S65/F17*100000</f>
        <v>12.45485116</v>
      </c>
      <c r="U65" s="127">
        <v>14.0</v>
      </c>
      <c r="V65" s="57">
        <f>U65/G17*100000</f>
        <v>90.46265185</v>
      </c>
      <c r="W65" s="124">
        <v>10.0</v>
      </c>
      <c r="X65" s="57">
        <f>W65/H17*100000</f>
        <v>63.64157067</v>
      </c>
      <c r="Y65" s="99">
        <f t="shared" ref="Y65:Z65" si="69">((M65+O65+Q65+S65)/1)</f>
        <v>2</v>
      </c>
      <c r="Z65" s="99">
        <f t="shared" si="69"/>
        <v>12.45485116</v>
      </c>
      <c r="AA65" s="19">
        <f t="shared" si="3"/>
        <v>8</v>
      </c>
      <c r="AB65" s="19">
        <f t="shared" si="4"/>
        <v>77.05211126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86"/>
      <c r="N66" s="57">
        <f>M66/C17*100000</f>
        <v>0</v>
      </c>
      <c r="O66" s="86"/>
      <c r="P66" s="57">
        <f>O66/D17*100000</f>
        <v>0</v>
      </c>
      <c r="Q66" s="86"/>
      <c r="R66" s="57">
        <f>Q66/E17*100000</f>
        <v>0</v>
      </c>
      <c r="S66" s="127">
        <v>654.0</v>
      </c>
      <c r="T66" s="57">
        <f>S66/F17*100000</f>
        <v>4072.736331</v>
      </c>
      <c r="U66" s="127">
        <v>726.0</v>
      </c>
      <c r="V66" s="57">
        <f>U66/G17*100000</f>
        <v>4691.13466</v>
      </c>
      <c r="W66" s="124">
        <v>394.0</v>
      </c>
      <c r="X66" s="57">
        <f>W66/H17*100000</f>
        <v>2507.477885</v>
      </c>
      <c r="Y66" s="99">
        <f t="shared" ref="Y66:Z66" si="70">((M66+O66+Q66+S66)/1)</f>
        <v>654</v>
      </c>
      <c r="Z66" s="99">
        <f t="shared" si="70"/>
        <v>4072.736331</v>
      </c>
      <c r="AA66" s="19">
        <f t="shared" si="3"/>
        <v>690</v>
      </c>
      <c r="AB66" s="19">
        <f t="shared" si="4"/>
        <v>3599.306272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127">
        <v>4.0</v>
      </c>
      <c r="N67" s="57">
        <f>M67/C17*100000</f>
        <v>27.59191557</v>
      </c>
      <c r="O67" s="127">
        <v>7.0</v>
      </c>
      <c r="P67" s="57">
        <f>O67/D17*100000</f>
        <v>47.78809394</v>
      </c>
      <c r="Q67" s="127">
        <v>2.0</v>
      </c>
      <c r="R67" s="57">
        <f>Q67/E17*100000</f>
        <v>12.65502404</v>
      </c>
      <c r="S67" s="127">
        <v>5.0</v>
      </c>
      <c r="T67" s="57">
        <f>S67/F17*100000</f>
        <v>31.13712791</v>
      </c>
      <c r="U67" s="127">
        <v>10.0</v>
      </c>
      <c r="V67" s="57">
        <f>U67/G17*100000</f>
        <v>64.61617989</v>
      </c>
      <c r="W67" s="124">
        <v>5.0</v>
      </c>
      <c r="X67" s="57">
        <f>W67/H17*100000</f>
        <v>31.82078534</v>
      </c>
      <c r="Y67" s="99">
        <f t="shared" ref="Y67:Z67" si="71">((M67+O67+Q67+S67)/1)</f>
        <v>18</v>
      </c>
      <c r="Z67" s="99">
        <f t="shared" si="71"/>
        <v>119.1721615</v>
      </c>
      <c r="AA67" s="19">
        <f t="shared" si="3"/>
        <v>7.5</v>
      </c>
      <c r="AB67" s="19">
        <f t="shared" si="4"/>
        <v>48.21848261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127">
        <v>0.0</v>
      </c>
      <c r="N68" s="57">
        <f>M68/C11*100000</f>
        <v>0</v>
      </c>
      <c r="O68" s="127">
        <v>0.0</v>
      </c>
      <c r="P68" s="57">
        <f>O68/D11*100000</f>
        <v>0</v>
      </c>
      <c r="Q68" s="127">
        <v>1.0</v>
      </c>
      <c r="R68" s="57">
        <f>Q68/E11*100000</f>
        <v>4.38250504</v>
      </c>
      <c r="S68" s="127">
        <v>5.0</v>
      </c>
      <c r="T68" s="57">
        <f>S68/F11*100000</f>
        <v>21.27206977</v>
      </c>
      <c r="U68" s="127">
        <v>14.0</v>
      </c>
      <c r="V68" s="57">
        <f>U68/G11*100000</f>
        <v>57.88951373</v>
      </c>
      <c r="W68" s="56"/>
      <c r="X68" s="57">
        <f>W68/H11*100000</f>
        <v>0</v>
      </c>
      <c r="Y68" s="99">
        <f t="shared" ref="Y68:Z68" si="72">((M68+O68+Q68+S68)/2)</f>
        <v>3</v>
      </c>
      <c r="Z68" s="99">
        <f t="shared" si="72"/>
        <v>12.82728741</v>
      </c>
      <c r="AA68" s="19">
        <f t="shared" si="3"/>
        <v>9.5</v>
      </c>
      <c r="AB68" s="19">
        <f t="shared" si="4"/>
        <v>28.94475686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127">
        <v>0.0</v>
      </c>
      <c r="N69" s="57">
        <f>M69/C11*100000</f>
        <v>0</v>
      </c>
      <c r="O69" s="127">
        <v>0.0</v>
      </c>
      <c r="P69" s="57">
        <f>O69/D11*100000</f>
        <v>0</v>
      </c>
      <c r="Q69" s="127">
        <v>0.0</v>
      </c>
      <c r="R69" s="57">
        <f>Q69/E11*100000</f>
        <v>0</v>
      </c>
      <c r="S69" s="127">
        <v>0.0</v>
      </c>
      <c r="T69" s="57">
        <f>S69/F11*100000</f>
        <v>0</v>
      </c>
      <c r="U69" s="127">
        <v>15.0</v>
      </c>
      <c r="V69" s="57">
        <f>U69/G11*100000</f>
        <v>62.02447899</v>
      </c>
      <c r="W69" s="56"/>
      <c r="X69" s="57">
        <f>W69/H11*100000</f>
        <v>0</v>
      </c>
      <c r="Y69" s="19">
        <f t="shared" ref="Y69:Z69" si="73">((M69+O69+Q69+S69)/2)</f>
        <v>0</v>
      </c>
      <c r="Z69" s="19">
        <f t="shared" si="73"/>
        <v>0</v>
      </c>
      <c r="AA69" s="19">
        <f t="shared" si="3"/>
        <v>7.5</v>
      </c>
      <c r="AB69" s="19">
        <f t="shared" si="4"/>
        <v>31.0122395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143">
        <v>1.0</v>
      </c>
      <c r="N70" s="98">
        <f>M70/C7*100000</f>
        <v>2.322394854</v>
      </c>
      <c r="O70" s="143">
        <v>2.0</v>
      </c>
      <c r="P70" s="98">
        <f>O70/D7*100000</f>
        <v>4.527960154</v>
      </c>
      <c r="Q70" s="143">
        <v>4.0</v>
      </c>
      <c r="R70" s="98">
        <f>Q70/E7*100000</f>
        <v>8.792948056</v>
      </c>
      <c r="S70" s="143">
        <v>6.0</v>
      </c>
      <c r="T70" s="98">
        <f>S70/F7*100000</f>
        <v>12.78826889</v>
      </c>
      <c r="U70" s="143">
        <v>3.0</v>
      </c>
      <c r="V70" s="98">
        <f>U70/G7*100000</f>
        <v>6.208866261</v>
      </c>
      <c r="W70" s="97"/>
      <c r="X70" s="98">
        <f>W70/H7*100000</f>
        <v>0</v>
      </c>
      <c r="Y70" s="99">
        <f t="shared" ref="Y70:Z70" si="74">((M70+O70+Q70+S70)/1)</f>
        <v>13</v>
      </c>
      <c r="Z70" s="99">
        <f t="shared" si="74"/>
        <v>28.43157196</v>
      </c>
      <c r="AA70" s="99">
        <f t="shared" si="3"/>
        <v>4.5</v>
      </c>
      <c r="AB70" s="99">
        <f t="shared" si="4"/>
        <v>3.104433131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0.43"/>
    <col customWidth="1" min="10" max="10" width="1.57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57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45.75" customHeight="1">
      <c r="B1" s="2"/>
      <c r="C1" s="4" t="s">
        <v>1</v>
      </c>
      <c r="D1" s="5"/>
      <c r="E1" s="5"/>
      <c r="F1" s="5"/>
      <c r="G1" s="5"/>
      <c r="H1" s="6"/>
      <c r="I1" s="7"/>
      <c r="J1" s="7"/>
      <c r="K1" s="7"/>
      <c r="L1" s="9" t="s">
        <v>3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45.75" customHeight="1">
      <c r="A2" s="1"/>
      <c r="B2" s="12" t="s">
        <v>247</v>
      </c>
      <c r="I2" s="1"/>
      <c r="J2" s="1"/>
      <c r="K2" s="1"/>
      <c r="L2" s="11" t="s">
        <v>5</v>
      </c>
      <c r="M2" s="13" t="s">
        <v>8</v>
      </c>
      <c r="N2" s="13" t="s">
        <v>9</v>
      </c>
      <c r="O2" s="13" t="s">
        <v>10</v>
      </c>
      <c r="P2" s="13" t="s">
        <v>11</v>
      </c>
      <c r="Q2" s="13" t="s">
        <v>12</v>
      </c>
      <c r="R2" s="13" t="s">
        <v>13</v>
      </c>
      <c r="S2" s="13" t="s">
        <v>14</v>
      </c>
      <c r="T2" s="13" t="s">
        <v>15</v>
      </c>
      <c r="U2" s="13" t="s">
        <v>16</v>
      </c>
      <c r="V2" s="13" t="s">
        <v>17</v>
      </c>
      <c r="W2" s="13" t="s">
        <v>19</v>
      </c>
      <c r="X2" s="13" t="s">
        <v>27</v>
      </c>
      <c r="Y2" s="13" t="s">
        <v>21</v>
      </c>
      <c r="Z2" s="13" t="s">
        <v>22</v>
      </c>
      <c r="AA2" s="13" t="s">
        <v>23</v>
      </c>
      <c r="AB2" s="13" t="s">
        <v>24</v>
      </c>
      <c r="AC2" s="14" t="s">
        <v>25</v>
      </c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5" t="s">
        <v>26</v>
      </c>
      <c r="M3" s="202">
        <v>837.0</v>
      </c>
      <c r="N3" s="19">
        <f>M3/C7*1000</f>
        <v>5.719088226</v>
      </c>
      <c r="O3" s="202">
        <v>1137.0</v>
      </c>
      <c r="P3" s="19">
        <f>O3/D7*1000</f>
        <v>7.470679063</v>
      </c>
      <c r="Q3" s="203">
        <v>760.0</v>
      </c>
      <c r="R3" s="19">
        <f>Q3/E7*1000</f>
        <v>4.841288547</v>
      </c>
      <c r="S3" s="202">
        <v>688.0</v>
      </c>
      <c r="T3" s="19">
        <f>S3/F7*1000</f>
        <v>4.261513209</v>
      </c>
      <c r="U3" s="202">
        <v>752.0</v>
      </c>
      <c r="V3" s="19">
        <f>U3/G7*1000</f>
        <v>4.532523265</v>
      </c>
      <c r="W3" s="202">
        <v>368.0</v>
      </c>
      <c r="X3" s="19">
        <f>W3/H7*1000</f>
        <v>2.161374822</v>
      </c>
      <c r="Y3" s="19">
        <f t="shared" ref="Y3:Z3" si="1">((M3+O3+Q3+S3)/4)</f>
        <v>855.5</v>
      </c>
      <c r="Z3" s="19">
        <f t="shared" si="1"/>
        <v>5.573142261</v>
      </c>
      <c r="AA3" s="19">
        <f t="shared" ref="AA3:AA70" si="3">((S3+U3)/2)</f>
        <v>720</v>
      </c>
      <c r="AB3" s="19">
        <f t="shared" ref="AB3:AB70" si="4">(V3+X3)/2</f>
        <v>3.346949044</v>
      </c>
      <c r="AC3" s="22" t="s">
        <v>28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 t="s">
        <v>29</v>
      </c>
      <c r="M4" s="204">
        <v>1861.0</v>
      </c>
      <c r="N4" s="19">
        <f>M4/C7*1000</f>
        <v>12.71591779</v>
      </c>
      <c r="O4" s="204">
        <v>1729.0</v>
      </c>
      <c r="P4" s="19">
        <f>O4/D7*1000</f>
        <v>11.36042577</v>
      </c>
      <c r="Q4" s="205">
        <v>1724.0</v>
      </c>
      <c r="R4" s="19">
        <f>Q4/E7*1000</f>
        <v>10.98208086</v>
      </c>
      <c r="S4" s="204">
        <v>1635.0</v>
      </c>
      <c r="T4" s="19">
        <f>S4/F7*1000</f>
        <v>10.12728793</v>
      </c>
      <c r="U4" s="204">
        <v>1519.0</v>
      </c>
      <c r="V4" s="19">
        <f>U4/G7*1000</f>
        <v>9.155455904</v>
      </c>
      <c r="W4" s="204">
        <v>761.0</v>
      </c>
      <c r="X4" s="19">
        <f>W4/H7*1000</f>
        <v>4.469582173</v>
      </c>
      <c r="Y4" s="19">
        <f t="shared" ref="Y4:Z4" si="2">((M4+O4+Q4+S4)/4)</f>
        <v>1737.25</v>
      </c>
      <c r="Z4" s="19">
        <f t="shared" si="2"/>
        <v>11.29642809</v>
      </c>
      <c r="AA4" s="19">
        <f t="shared" si="3"/>
        <v>1577</v>
      </c>
      <c r="AB4" s="19">
        <f t="shared" si="4"/>
        <v>6.812519039</v>
      </c>
      <c r="AC4" s="22" t="s">
        <v>30</v>
      </c>
    </row>
    <row r="5" ht="14.25" customHeight="1">
      <c r="A5" s="1"/>
      <c r="B5" s="26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8" t="s">
        <v>37</v>
      </c>
      <c r="I5" s="208"/>
      <c r="J5" s="1"/>
      <c r="K5" s="1"/>
      <c r="L5" s="15" t="s">
        <v>38</v>
      </c>
      <c r="M5" s="202">
        <v>2.0</v>
      </c>
      <c r="N5" s="19">
        <f>M5/C12*100000</f>
        <v>107.2961373</v>
      </c>
      <c r="O5" s="202">
        <v>2.0</v>
      </c>
      <c r="P5" s="19">
        <f>O5/D12*100000</f>
        <v>115.942029</v>
      </c>
      <c r="Q5" s="203">
        <v>0.0</v>
      </c>
      <c r="R5" s="19">
        <f>Q5/E12*100000</f>
        <v>0</v>
      </c>
      <c r="S5" s="202">
        <v>0.0</v>
      </c>
      <c r="T5" s="19">
        <f>S5/F12*100000</f>
        <v>0</v>
      </c>
      <c r="U5" s="202">
        <v>2.0</v>
      </c>
      <c r="V5" s="19">
        <f>U5/G12*100000</f>
        <v>131.061599</v>
      </c>
      <c r="W5" s="202">
        <v>0.0</v>
      </c>
      <c r="X5" s="19">
        <f>W5/H12*100000</f>
        <v>0</v>
      </c>
      <c r="Y5" s="19">
        <f t="shared" ref="Y5:Z5" si="5">((M5+O5+Q5+S5)/4)</f>
        <v>1</v>
      </c>
      <c r="Z5" s="19">
        <f t="shared" si="5"/>
        <v>55.80954158</v>
      </c>
      <c r="AA5" s="19">
        <f t="shared" si="3"/>
        <v>1</v>
      </c>
      <c r="AB5" s="19">
        <f t="shared" si="4"/>
        <v>65.53079948</v>
      </c>
      <c r="AC5" s="22" t="s">
        <v>39</v>
      </c>
    </row>
    <row r="6" ht="14.25" customHeight="1">
      <c r="A6" s="1"/>
      <c r="B6" s="29"/>
      <c r="C6" s="30"/>
      <c r="D6" s="30"/>
      <c r="E6" s="30"/>
      <c r="F6" s="30"/>
      <c r="G6" s="30"/>
      <c r="H6" s="31"/>
      <c r="I6" s="210"/>
      <c r="J6" s="1"/>
      <c r="K6" s="1"/>
      <c r="L6" s="15" t="s">
        <v>40</v>
      </c>
      <c r="M6" s="204">
        <v>56.0</v>
      </c>
      <c r="N6" s="19">
        <f>M6/M4*1000</f>
        <v>30.09134874</v>
      </c>
      <c r="O6" s="204">
        <v>91.0</v>
      </c>
      <c r="P6" s="19">
        <f>O6/O4*1000</f>
        <v>52.63157895</v>
      </c>
      <c r="Q6" s="205">
        <v>38.0</v>
      </c>
      <c r="R6" s="19">
        <f>Q6/Q4*1000</f>
        <v>22.04176334</v>
      </c>
      <c r="S6" s="204">
        <v>31.0</v>
      </c>
      <c r="T6" s="19">
        <f>S6/S4*1000</f>
        <v>18.96024465</v>
      </c>
      <c r="U6" s="204">
        <v>23.0</v>
      </c>
      <c r="V6" s="19">
        <f>U6/U4*1000</f>
        <v>15.14154049</v>
      </c>
      <c r="W6" s="204">
        <v>17.0</v>
      </c>
      <c r="X6" s="19">
        <f>W6/W4*1000</f>
        <v>22.3390276</v>
      </c>
      <c r="Y6" s="19">
        <f t="shared" ref="Y6:Z6" si="6">((M6+O6+Q6+S6)/4)</f>
        <v>54</v>
      </c>
      <c r="Z6" s="19">
        <f t="shared" si="6"/>
        <v>30.93123392</v>
      </c>
      <c r="AA6" s="19">
        <f t="shared" si="3"/>
        <v>27</v>
      </c>
      <c r="AB6" s="19">
        <f t="shared" si="4"/>
        <v>18.74028404</v>
      </c>
      <c r="AC6" s="22" t="s">
        <v>28</v>
      </c>
    </row>
    <row r="7" ht="14.25" customHeight="1">
      <c r="A7" s="1"/>
      <c r="B7" s="32" t="s">
        <v>41</v>
      </c>
      <c r="C7" s="211">
        <v>146352.0</v>
      </c>
      <c r="D7" s="211">
        <v>152195.0</v>
      </c>
      <c r="E7" s="211">
        <v>156983.0</v>
      </c>
      <c r="F7" s="211">
        <v>161445.0</v>
      </c>
      <c r="G7" s="211">
        <v>165912.0</v>
      </c>
      <c r="H7" s="211">
        <v>170262.0</v>
      </c>
      <c r="I7" s="212">
        <v>174415.0</v>
      </c>
      <c r="J7" s="1"/>
      <c r="K7" s="1"/>
      <c r="L7" s="15" t="s">
        <v>42</v>
      </c>
      <c r="M7" s="202">
        <v>27.0</v>
      </c>
      <c r="N7" s="36"/>
      <c r="O7" s="202">
        <v>19.0</v>
      </c>
      <c r="P7" s="36"/>
      <c r="Q7" s="203">
        <v>25.0</v>
      </c>
      <c r="R7" s="36"/>
      <c r="S7" s="202">
        <v>19.0</v>
      </c>
      <c r="T7" s="36"/>
      <c r="U7" s="202">
        <v>21.0</v>
      </c>
      <c r="V7" s="36"/>
      <c r="W7" s="202">
        <v>11.0</v>
      </c>
      <c r="X7" s="36"/>
      <c r="Y7" s="19">
        <f t="shared" ref="Y7:Z7" si="7">((M7+O7+Q7+S7)/4)</f>
        <v>22.5</v>
      </c>
      <c r="Z7" s="19">
        <f t="shared" si="7"/>
        <v>0</v>
      </c>
      <c r="AA7" s="19">
        <f t="shared" si="3"/>
        <v>20</v>
      </c>
      <c r="AB7" s="19">
        <f t="shared" si="4"/>
        <v>0</v>
      </c>
      <c r="AC7" s="22" t="s">
        <v>43</v>
      </c>
    </row>
    <row r="8" ht="14.25" customHeight="1">
      <c r="A8" s="1"/>
      <c r="B8" s="32" t="s">
        <v>44</v>
      </c>
      <c r="C8" s="214">
        <v>121962.0</v>
      </c>
      <c r="D8" s="214">
        <v>127731.0</v>
      </c>
      <c r="E8" s="214">
        <v>132465.0</v>
      </c>
      <c r="F8" s="214">
        <v>136881.0</v>
      </c>
      <c r="G8" s="214">
        <v>141280.0</v>
      </c>
      <c r="H8" s="214">
        <v>145563.0</v>
      </c>
      <c r="I8" s="214">
        <v>149636.0</v>
      </c>
      <c r="J8" s="1"/>
      <c r="K8" s="1"/>
      <c r="L8" s="15" t="s">
        <v>45</v>
      </c>
      <c r="M8" s="204">
        <v>0.0</v>
      </c>
      <c r="N8" s="19">
        <f>M8/C15*1000</f>
        <v>0</v>
      </c>
      <c r="O8" s="204">
        <v>0.0</v>
      </c>
      <c r="P8" s="19">
        <f>O8/D15*1000</f>
        <v>0</v>
      </c>
      <c r="Q8" s="205">
        <v>0.0</v>
      </c>
      <c r="R8" s="19">
        <f>Q8/E15*1000</f>
        <v>0</v>
      </c>
      <c r="S8" s="204">
        <v>0.0</v>
      </c>
      <c r="T8" s="19">
        <f>S8/F15*1000</f>
        <v>0</v>
      </c>
      <c r="U8" s="204">
        <v>0.0</v>
      </c>
      <c r="V8" s="19">
        <f>U8/G15*1000</f>
        <v>0</v>
      </c>
      <c r="W8" s="204">
        <v>0.0</v>
      </c>
      <c r="X8" s="19">
        <f>W8/H15*1000</f>
        <v>0</v>
      </c>
      <c r="Y8" s="19">
        <f t="shared" ref="Y8:Z8" si="8">((M8+O8+Q8+S8)/4)</f>
        <v>0</v>
      </c>
      <c r="Z8" s="19">
        <f t="shared" si="8"/>
        <v>0</v>
      </c>
      <c r="AA8" s="19">
        <f t="shared" si="3"/>
        <v>0</v>
      </c>
      <c r="AB8" s="19">
        <f t="shared" si="4"/>
        <v>0</v>
      </c>
      <c r="AC8" s="22" t="s">
        <v>43</v>
      </c>
    </row>
    <row r="9" ht="14.25" customHeight="1">
      <c r="A9" s="1"/>
      <c r="B9" s="32" t="s">
        <v>47</v>
      </c>
      <c r="C9" s="215">
        <v>24390.0</v>
      </c>
      <c r="D9" s="215">
        <v>24464.0</v>
      </c>
      <c r="E9" s="215">
        <v>24518.0</v>
      </c>
      <c r="F9" s="215">
        <v>24564.0</v>
      </c>
      <c r="G9" s="215">
        <v>24632.0</v>
      </c>
      <c r="H9" s="215">
        <v>24699.0</v>
      </c>
      <c r="I9" s="215">
        <v>24779.0</v>
      </c>
      <c r="J9" s="1"/>
      <c r="K9" s="1"/>
      <c r="L9" s="15" t="s">
        <v>48</v>
      </c>
      <c r="M9" s="202">
        <v>48.0</v>
      </c>
      <c r="N9" s="19">
        <f>M9/C7*100000</f>
        <v>32.79763857</v>
      </c>
      <c r="O9" s="202">
        <v>61.0</v>
      </c>
      <c r="P9" s="19">
        <f>O9/D7*100000</f>
        <v>40.08016032</v>
      </c>
      <c r="Q9" s="203">
        <v>68.0</v>
      </c>
      <c r="R9" s="19">
        <f>Q9/E7*100000</f>
        <v>43.31679226</v>
      </c>
      <c r="S9" s="202">
        <v>50.0</v>
      </c>
      <c r="T9" s="19">
        <f>S9/F7*100000</f>
        <v>30.97029948</v>
      </c>
      <c r="U9" s="202">
        <v>48.0</v>
      </c>
      <c r="V9" s="19">
        <f>U9/G7*100000</f>
        <v>28.93099957</v>
      </c>
      <c r="W9" s="202">
        <v>33.0</v>
      </c>
      <c r="X9" s="19">
        <f>W9/H7*100000</f>
        <v>19.38189379</v>
      </c>
      <c r="Y9" s="19">
        <f t="shared" ref="Y9:Z9" si="9">((M9+O9+Q9+S9)/4)</f>
        <v>56.75</v>
      </c>
      <c r="Z9" s="19">
        <f t="shared" si="9"/>
        <v>36.79122266</v>
      </c>
      <c r="AA9" s="19">
        <f t="shared" si="3"/>
        <v>49</v>
      </c>
      <c r="AB9" s="19">
        <f t="shared" si="4"/>
        <v>24.15644668</v>
      </c>
      <c r="AC9" s="22" t="s">
        <v>28</v>
      </c>
    </row>
    <row r="10" ht="14.25" customHeight="1">
      <c r="A10" s="1"/>
      <c r="B10" s="32" t="s">
        <v>50</v>
      </c>
      <c r="C10" s="217">
        <v>71026.0</v>
      </c>
      <c r="D10" s="217">
        <v>73876.0</v>
      </c>
      <c r="E10" s="217">
        <v>76207.0</v>
      </c>
      <c r="F10" s="217">
        <v>78379.0</v>
      </c>
      <c r="G10" s="217">
        <v>80537.0</v>
      </c>
      <c r="H10" s="217">
        <v>82649.0</v>
      </c>
      <c r="I10" s="214">
        <v>84671.0</v>
      </c>
      <c r="J10" s="1"/>
      <c r="K10" s="1"/>
      <c r="L10" s="15" t="s">
        <v>51</v>
      </c>
      <c r="M10" s="204">
        <v>0.0</v>
      </c>
      <c r="N10" s="19">
        <f>M10/C15*100000</f>
        <v>0</v>
      </c>
      <c r="O10" s="204">
        <v>0.0</v>
      </c>
      <c r="P10" s="19">
        <f t="shared" ref="P10:P11" si="11">O10/D15*100000</f>
        <v>0</v>
      </c>
      <c r="Q10" s="205">
        <v>0.0</v>
      </c>
      <c r="R10" s="19">
        <f>Q10/E15*100000</f>
        <v>0</v>
      </c>
      <c r="S10" s="204">
        <v>0.0</v>
      </c>
      <c r="T10" s="19">
        <f>S10/F15*100000</f>
        <v>0</v>
      </c>
      <c r="U10" s="204">
        <v>0.0</v>
      </c>
      <c r="V10" s="19">
        <f>U10/G15*100000</f>
        <v>0</v>
      </c>
      <c r="W10" s="204">
        <v>0.0</v>
      </c>
      <c r="X10" s="19">
        <f>W10/H15*100000</f>
        <v>0</v>
      </c>
      <c r="Y10" s="19">
        <f t="shared" ref="Y10:Z10" si="10">((M10+O10+Q10+S10)/4)</f>
        <v>0</v>
      </c>
      <c r="Z10" s="19">
        <f t="shared" si="10"/>
        <v>0</v>
      </c>
      <c r="AA10" s="19">
        <f t="shared" si="3"/>
        <v>0</v>
      </c>
      <c r="AB10" s="19">
        <f t="shared" si="4"/>
        <v>0</v>
      </c>
      <c r="AC10" s="22" t="s">
        <v>28</v>
      </c>
    </row>
    <row r="11" ht="14.25" customHeight="1">
      <c r="A11" s="1"/>
      <c r="B11" s="32" t="s">
        <v>52</v>
      </c>
      <c r="C11" s="211">
        <v>75326.0</v>
      </c>
      <c r="D11" s="211">
        <v>78319.0</v>
      </c>
      <c r="E11" s="211">
        <v>80776.0</v>
      </c>
      <c r="F11" s="211">
        <v>83066.0</v>
      </c>
      <c r="G11" s="211">
        <v>85375.0</v>
      </c>
      <c r="H11" s="211">
        <v>87613.0</v>
      </c>
      <c r="I11" s="212">
        <v>89744.0</v>
      </c>
      <c r="J11" s="1"/>
      <c r="K11" s="1"/>
      <c r="L11" s="15" t="s">
        <v>53</v>
      </c>
      <c r="M11" s="202">
        <v>0.0</v>
      </c>
      <c r="N11" s="19">
        <f>M11/C15*100000</f>
        <v>0</v>
      </c>
      <c r="O11" s="202">
        <v>0.0</v>
      </c>
      <c r="P11" s="19">
        <f t="shared" si="11"/>
        <v>0</v>
      </c>
      <c r="Q11" s="203">
        <v>0.0</v>
      </c>
      <c r="R11" s="19">
        <f>Q11/F16*100000</f>
        <v>0</v>
      </c>
      <c r="S11" s="202">
        <v>0.0</v>
      </c>
      <c r="T11" s="19">
        <f>S11/F15*100000</f>
        <v>0</v>
      </c>
      <c r="U11" s="202">
        <v>0.0</v>
      </c>
      <c r="V11" s="19">
        <f>U11/G15*100000</f>
        <v>0</v>
      </c>
      <c r="W11" s="202">
        <v>0.0</v>
      </c>
      <c r="X11" s="19">
        <f>W11/H15*100000</f>
        <v>0</v>
      </c>
      <c r="Y11" s="19">
        <f t="shared" ref="Y11:Z11" si="12">((M11+O11+Q11+S11)/4)</f>
        <v>0</v>
      </c>
      <c r="Z11" s="19">
        <f t="shared" si="12"/>
        <v>0</v>
      </c>
      <c r="AA11" s="19">
        <f t="shared" si="3"/>
        <v>0</v>
      </c>
      <c r="AB11" s="19">
        <f t="shared" si="4"/>
        <v>0</v>
      </c>
      <c r="AC11" s="22" t="s">
        <v>28</v>
      </c>
    </row>
    <row r="12" ht="14.25" customHeight="1">
      <c r="A12" s="1"/>
      <c r="B12" s="32" t="s">
        <v>54</v>
      </c>
      <c r="C12" s="217">
        <v>1864.0</v>
      </c>
      <c r="D12" s="217">
        <v>1725.0</v>
      </c>
      <c r="E12" s="217">
        <v>1724.0</v>
      </c>
      <c r="F12" s="217">
        <v>1636.0</v>
      </c>
      <c r="G12" s="217">
        <v>1526.0</v>
      </c>
      <c r="H12" s="217">
        <v>759.0</v>
      </c>
      <c r="I12" s="218"/>
      <c r="J12" s="1"/>
      <c r="K12" s="1"/>
      <c r="L12" s="15" t="s">
        <v>55</v>
      </c>
      <c r="M12" s="204">
        <v>404.0</v>
      </c>
      <c r="N12" s="19">
        <f>M12/C7*100000</f>
        <v>276.0467913</v>
      </c>
      <c r="O12" s="204">
        <v>471.0</v>
      </c>
      <c r="P12" s="19">
        <f>O12/D7*100000</f>
        <v>309.4714018</v>
      </c>
      <c r="Q12" s="205">
        <v>798.0</v>
      </c>
      <c r="R12" s="19">
        <f>Q12/E7*100000</f>
        <v>508.3352975</v>
      </c>
      <c r="S12" s="204">
        <v>791.0</v>
      </c>
      <c r="T12" s="19">
        <f>S12/F7*100000</f>
        <v>489.9501378</v>
      </c>
      <c r="U12" s="204">
        <v>773.0</v>
      </c>
      <c r="V12" s="19">
        <f>U12/G7*100000</f>
        <v>465.9096388</v>
      </c>
      <c r="W12" s="204">
        <v>640.0</v>
      </c>
      <c r="X12" s="19">
        <f>W12/H7*100000</f>
        <v>375.8912734</v>
      </c>
      <c r="Y12" s="19">
        <f t="shared" ref="Y12:Z12" si="13">((M12+O12+Q12+S12)/4)</f>
        <v>616</v>
      </c>
      <c r="Z12" s="19">
        <f t="shared" si="13"/>
        <v>395.9509071</v>
      </c>
      <c r="AA12" s="19">
        <f t="shared" si="3"/>
        <v>782</v>
      </c>
      <c r="AB12" s="19">
        <f t="shared" si="4"/>
        <v>420.9004561</v>
      </c>
      <c r="AC12" s="22" t="s">
        <v>57</v>
      </c>
    </row>
    <row r="13" ht="14.25" customHeight="1">
      <c r="A13" s="1"/>
      <c r="B13" s="32" t="s">
        <v>58</v>
      </c>
      <c r="C13" s="211">
        <v>844.0</v>
      </c>
      <c r="D13" s="211">
        <v>1140.0</v>
      </c>
      <c r="E13" s="211">
        <v>764.0</v>
      </c>
      <c r="F13" s="211">
        <v>692.0</v>
      </c>
      <c r="G13" s="211">
        <v>762.0</v>
      </c>
      <c r="H13" s="211">
        <v>368.0</v>
      </c>
      <c r="I13" s="219"/>
      <c r="J13" s="1"/>
      <c r="K13" s="1"/>
      <c r="L13" s="15" t="s">
        <v>59</v>
      </c>
      <c r="M13" s="202">
        <v>348.0</v>
      </c>
      <c r="N13" s="19">
        <f>M13/C11*100000</f>
        <v>461.9918753</v>
      </c>
      <c r="O13" s="202">
        <v>402.0</v>
      </c>
      <c r="P13" s="19">
        <f>O13/D11*100000</f>
        <v>513.2854097</v>
      </c>
      <c r="Q13" s="203">
        <v>678.0</v>
      </c>
      <c r="R13" s="19">
        <f>Q13/E11*100000</f>
        <v>839.3582252</v>
      </c>
      <c r="S13" s="202">
        <v>676.0</v>
      </c>
      <c r="T13" s="19">
        <f>S13/F11*100000</f>
        <v>813.8107047</v>
      </c>
      <c r="U13" s="202">
        <v>641.0</v>
      </c>
      <c r="V13" s="19">
        <f>U13/G11*100000</f>
        <v>750.8052709</v>
      </c>
      <c r="W13" s="202">
        <v>514.0</v>
      </c>
      <c r="X13" s="19">
        <f>W13/H11*100000</f>
        <v>586.6709278</v>
      </c>
      <c r="Y13" s="19">
        <f t="shared" ref="Y13:Z13" si="14">((M13+O13+Q13+S13)/4)</f>
        <v>526</v>
      </c>
      <c r="Z13" s="19">
        <f t="shared" si="14"/>
        <v>657.1115537</v>
      </c>
      <c r="AA13" s="19">
        <f t="shared" si="3"/>
        <v>658.5</v>
      </c>
      <c r="AB13" s="19">
        <f t="shared" si="4"/>
        <v>668.7380993</v>
      </c>
      <c r="AC13" s="22" t="s">
        <v>57</v>
      </c>
    </row>
    <row r="14" ht="14.25" customHeight="1">
      <c r="A14" s="1"/>
      <c r="B14" s="32" t="s">
        <v>60</v>
      </c>
      <c r="C14" s="214">
        <v>2246.0</v>
      </c>
      <c r="D14" s="214">
        <v>2291.0</v>
      </c>
      <c r="E14" s="214">
        <v>2331.0</v>
      </c>
      <c r="F14" s="214">
        <v>2358.0</v>
      </c>
      <c r="G14" s="214">
        <v>2297.0</v>
      </c>
      <c r="H14" s="214">
        <v>2308.0</v>
      </c>
      <c r="I14" s="214">
        <v>2316.0</v>
      </c>
      <c r="J14" s="1"/>
      <c r="K14" s="1"/>
      <c r="L14" s="15" t="s">
        <v>61</v>
      </c>
      <c r="M14" s="204">
        <v>7.0</v>
      </c>
      <c r="N14" s="19">
        <f>M14/M4*1000</f>
        <v>3.761418592</v>
      </c>
      <c r="O14" s="204">
        <v>4.0</v>
      </c>
      <c r="P14" s="19">
        <f>O14/O4*1000</f>
        <v>2.313475998</v>
      </c>
      <c r="Q14" s="205">
        <v>17.0</v>
      </c>
      <c r="R14" s="19">
        <f>Q14/Q4*1000</f>
        <v>9.860788863</v>
      </c>
      <c r="S14" s="204">
        <v>7.0</v>
      </c>
      <c r="T14" s="19">
        <f>S14/S4*1000</f>
        <v>4.281345566</v>
      </c>
      <c r="U14" s="204">
        <v>6.0</v>
      </c>
      <c r="V14" s="19">
        <f>U14/U4*1000</f>
        <v>3.949967084</v>
      </c>
      <c r="W14" s="204">
        <v>2.0</v>
      </c>
      <c r="X14" s="19">
        <f>W14/W4*1000</f>
        <v>2.628120894</v>
      </c>
      <c r="Y14" s="19">
        <f t="shared" ref="Y14:Z14" si="15">((M14+O14+Q14+S14)/4)</f>
        <v>8.75</v>
      </c>
      <c r="Z14" s="19">
        <f t="shared" si="15"/>
        <v>5.054257255</v>
      </c>
      <c r="AA14" s="19">
        <f t="shared" si="3"/>
        <v>6.5</v>
      </c>
      <c r="AB14" s="19">
        <f t="shared" si="4"/>
        <v>3.289043989</v>
      </c>
      <c r="AC14" s="22" t="s">
        <v>28</v>
      </c>
    </row>
    <row r="15" ht="14.25" customHeight="1">
      <c r="A15" s="1"/>
      <c r="B15" s="32" t="s">
        <v>62</v>
      </c>
      <c r="C15" s="212">
        <v>11494.0</v>
      </c>
      <c r="D15" s="212">
        <v>11844.0</v>
      </c>
      <c r="E15" s="212">
        <v>12051.0</v>
      </c>
      <c r="F15" s="212">
        <v>12176.0</v>
      </c>
      <c r="G15" s="212">
        <v>12024.0</v>
      </c>
      <c r="H15" s="212">
        <v>12088.0</v>
      </c>
      <c r="I15" s="212">
        <v>12127.0</v>
      </c>
      <c r="J15" s="1"/>
      <c r="K15" s="1"/>
      <c r="L15" s="15" t="s">
        <v>63</v>
      </c>
      <c r="M15" s="202">
        <v>3.0</v>
      </c>
      <c r="N15" s="19">
        <f>M15/C15*100000</f>
        <v>26.10057421</v>
      </c>
      <c r="O15" s="202">
        <v>4.0</v>
      </c>
      <c r="P15" s="19">
        <f>O15/D15*100000</f>
        <v>33.7723742</v>
      </c>
      <c r="Q15" s="203">
        <v>2.0</v>
      </c>
      <c r="R15" s="19">
        <f>Q15/E15*100000</f>
        <v>16.5961331</v>
      </c>
      <c r="S15" s="202">
        <v>3.0</v>
      </c>
      <c r="T15" s="19">
        <f>S15/F15*100000</f>
        <v>24.63863338</v>
      </c>
      <c r="U15" s="202">
        <v>1.0</v>
      </c>
      <c r="V15" s="19">
        <f>U15/G15*100000</f>
        <v>8.316699933</v>
      </c>
      <c r="W15" s="202">
        <v>0.0</v>
      </c>
      <c r="X15" s="19">
        <f>W15/H15*100000</f>
        <v>0</v>
      </c>
      <c r="Y15" s="19">
        <f t="shared" ref="Y15:Z15" si="16">((M15+O15+Q15+S15)/4)</f>
        <v>3</v>
      </c>
      <c r="Z15" s="19">
        <f t="shared" si="16"/>
        <v>25.27692872</v>
      </c>
      <c r="AA15" s="19">
        <f t="shared" si="3"/>
        <v>2</v>
      </c>
      <c r="AB15" s="19">
        <f t="shared" si="4"/>
        <v>4.158349967</v>
      </c>
      <c r="AC15" s="22" t="s">
        <v>28</v>
      </c>
    </row>
    <row r="16" ht="14.25" customHeight="1">
      <c r="A16" s="1"/>
      <c r="B16" s="32" t="s">
        <v>64</v>
      </c>
      <c r="C16" s="214">
        <v>111043.0</v>
      </c>
      <c r="D16" s="214">
        <v>115805.0</v>
      </c>
      <c r="E16" s="214">
        <v>119755.0</v>
      </c>
      <c r="F16" s="214">
        <v>123459.0</v>
      </c>
      <c r="G16" s="214">
        <v>127326.0</v>
      </c>
      <c r="H16" s="214">
        <v>131044.0</v>
      </c>
      <c r="I16" s="214">
        <v>134670.0</v>
      </c>
      <c r="J16" s="1"/>
      <c r="K16" s="1"/>
      <c r="L16" s="15" t="s">
        <v>65</v>
      </c>
      <c r="M16" s="204">
        <v>202.0</v>
      </c>
      <c r="N16" s="19">
        <f>M16/M4*100</f>
        <v>10.85437937</v>
      </c>
      <c r="O16" s="204">
        <v>232.0</v>
      </c>
      <c r="P16" s="19">
        <f>O16/O4*100</f>
        <v>13.41816079</v>
      </c>
      <c r="Q16" s="205">
        <v>254.0</v>
      </c>
      <c r="R16" s="19">
        <f>Q16/Q4*100</f>
        <v>14.73317865</v>
      </c>
      <c r="S16" s="204">
        <v>210.0</v>
      </c>
      <c r="T16" s="19">
        <f>S16/S4*100</f>
        <v>12.8440367</v>
      </c>
      <c r="U16" s="204">
        <v>209.0</v>
      </c>
      <c r="V16" s="19">
        <f>U16/U4*100</f>
        <v>13.75905201</v>
      </c>
      <c r="W16" s="204">
        <v>103.0</v>
      </c>
      <c r="X16" s="19">
        <f>W16/W4*100</f>
        <v>13.5348226</v>
      </c>
      <c r="Y16" s="19">
        <f t="shared" ref="Y16:Z16" si="17">((M16+O16+Q16+S16)/4)</f>
        <v>224.5</v>
      </c>
      <c r="Z16" s="19">
        <f t="shared" si="17"/>
        <v>12.96243888</v>
      </c>
      <c r="AA16" s="19">
        <f t="shared" si="3"/>
        <v>209.5</v>
      </c>
      <c r="AB16" s="19">
        <f t="shared" si="4"/>
        <v>13.6469373</v>
      </c>
      <c r="AC16" s="22" t="s">
        <v>30</v>
      </c>
    </row>
    <row r="17" ht="14.25" customHeight="1">
      <c r="A17" s="1"/>
      <c r="B17" s="32" t="s">
        <v>66</v>
      </c>
      <c r="C17" s="212">
        <v>42271.0</v>
      </c>
      <c r="D17" s="212">
        <v>43410.0</v>
      </c>
      <c r="E17" s="212">
        <v>44269.0</v>
      </c>
      <c r="F17" s="212">
        <v>45057.0</v>
      </c>
      <c r="G17" s="212">
        <v>45775.0</v>
      </c>
      <c r="H17" s="212">
        <v>46493.0</v>
      </c>
      <c r="I17" s="212">
        <v>47121.0</v>
      </c>
      <c r="J17" s="1"/>
      <c r="K17" s="1"/>
      <c r="L17" s="15" t="s">
        <v>67</v>
      </c>
      <c r="M17" s="202">
        <v>86.0</v>
      </c>
      <c r="N17" s="19">
        <f>M17/M4*100</f>
        <v>4.621171413</v>
      </c>
      <c r="O17" s="202">
        <v>109.0</v>
      </c>
      <c r="P17" s="19">
        <f>O17/O4*100</f>
        <v>6.304222094</v>
      </c>
      <c r="Q17" s="203">
        <v>119.0</v>
      </c>
      <c r="R17" s="19">
        <f>Q17/Q4*100</f>
        <v>6.902552204</v>
      </c>
      <c r="S17" s="202">
        <v>95.0</v>
      </c>
      <c r="T17" s="19">
        <f>S17/S4*100</f>
        <v>5.810397554</v>
      </c>
      <c r="U17" s="202">
        <v>107.0</v>
      </c>
      <c r="V17" s="19">
        <f>U17/U4*100</f>
        <v>7.044107966</v>
      </c>
      <c r="W17" s="202">
        <v>47.0</v>
      </c>
      <c r="X17" s="19">
        <f>W17/W4*100</f>
        <v>6.1760841</v>
      </c>
      <c r="Y17" s="19">
        <f t="shared" ref="Y17:Z17" si="18">((M17+O17+Q17+S17)/4)</f>
        <v>102.25</v>
      </c>
      <c r="Z17" s="19">
        <f t="shared" si="18"/>
        <v>5.909585816</v>
      </c>
      <c r="AA17" s="19">
        <f t="shared" si="3"/>
        <v>101</v>
      </c>
      <c r="AB17" s="19">
        <f t="shared" si="4"/>
        <v>6.610096033</v>
      </c>
      <c r="AC17" s="22" t="s">
        <v>30</v>
      </c>
    </row>
    <row r="18" ht="14.25" customHeight="1">
      <c r="A18" s="1"/>
      <c r="B18" s="32" t="s">
        <v>68</v>
      </c>
      <c r="C18" s="214">
        <v>135144.0</v>
      </c>
      <c r="D18" s="214">
        <v>140246.0</v>
      </c>
      <c r="E18" s="214">
        <v>144292.0</v>
      </c>
      <c r="F18" s="214">
        <v>147985.0</v>
      </c>
      <c r="G18" s="214">
        <v>151771.0</v>
      </c>
      <c r="H18" s="214">
        <v>155227.0</v>
      </c>
      <c r="I18" s="214">
        <v>158437.0</v>
      </c>
      <c r="J18" s="1"/>
      <c r="K18" s="1"/>
      <c r="L18" s="15" t="s">
        <v>69</v>
      </c>
      <c r="M18" s="220">
        <v>21.0</v>
      </c>
      <c r="N18" s="57">
        <f>M18/C15*1000</f>
        <v>1.827040195</v>
      </c>
      <c r="O18" s="204">
        <v>31.0</v>
      </c>
      <c r="P18" s="57">
        <f>O18/D15*1000</f>
        <v>2.617359</v>
      </c>
      <c r="Q18" s="205">
        <v>74.0</v>
      </c>
      <c r="R18" s="57">
        <f>Q18/E15*1000</f>
        <v>6.140569247</v>
      </c>
      <c r="S18" s="220">
        <v>39.0</v>
      </c>
      <c r="T18" s="57">
        <f>S18/F15*1000</f>
        <v>3.203022339</v>
      </c>
      <c r="U18" s="220">
        <v>92.0</v>
      </c>
      <c r="V18" s="57">
        <f>U18/G15*1000</f>
        <v>7.651363939</v>
      </c>
      <c r="W18" s="220">
        <v>42.0</v>
      </c>
      <c r="X18" s="57">
        <f>W18/H15*1000</f>
        <v>3.474520185</v>
      </c>
      <c r="Y18" s="19">
        <f t="shared" ref="Y18:Z18" si="19">((M18+O18+Q18+S18)/4)</f>
        <v>41.25</v>
      </c>
      <c r="Z18" s="19">
        <f t="shared" si="19"/>
        <v>3.446997695</v>
      </c>
      <c r="AA18" s="19">
        <f t="shared" si="3"/>
        <v>65.5</v>
      </c>
      <c r="AB18" s="19">
        <f t="shared" si="4"/>
        <v>5.562942062</v>
      </c>
      <c r="AC18" s="22" t="s">
        <v>57</v>
      </c>
    </row>
    <row r="19" ht="14.25" customHeight="1">
      <c r="A19" s="1"/>
      <c r="B19" s="32" t="s">
        <v>70</v>
      </c>
      <c r="C19" s="212">
        <v>91386.0</v>
      </c>
      <c r="D19" s="212">
        <v>95397.0</v>
      </c>
      <c r="E19" s="212">
        <v>98652.0</v>
      </c>
      <c r="F19" s="212">
        <v>101624.0</v>
      </c>
      <c r="G19" s="212">
        <v>104752.0</v>
      </c>
      <c r="H19" s="212">
        <v>107549.0</v>
      </c>
      <c r="I19" s="212">
        <v>110185.0</v>
      </c>
      <c r="J19" s="1"/>
      <c r="K19" s="1"/>
      <c r="L19" s="15" t="s">
        <v>71</v>
      </c>
      <c r="M19" s="202">
        <v>108.0</v>
      </c>
      <c r="N19" s="19">
        <f>M19/M4*100</f>
        <v>5.803331542</v>
      </c>
      <c r="O19" s="202">
        <v>92.0</v>
      </c>
      <c r="P19" s="19">
        <f>O19/O4*100</f>
        <v>5.320994795</v>
      </c>
      <c r="Q19" s="203">
        <v>89.0</v>
      </c>
      <c r="R19" s="19">
        <f>Q19/Q4*100</f>
        <v>5.162412993</v>
      </c>
      <c r="S19" s="202">
        <v>87.0</v>
      </c>
      <c r="T19" s="19">
        <f>S19/S4*100</f>
        <v>5.321100917</v>
      </c>
      <c r="U19" s="202">
        <v>59.0</v>
      </c>
      <c r="V19" s="19">
        <f>U19/U4*100</f>
        <v>3.884134299</v>
      </c>
      <c r="W19" s="202">
        <v>24.0</v>
      </c>
      <c r="X19" s="19">
        <f>W19/W4*100</f>
        <v>3.153745072</v>
      </c>
      <c r="Y19" s="19">
        <f t="shared" ref="Y19:Z19" si="20">((M19+O19+Q19+S19)/4)</f>
        <v>94</v>
      </c>
      <c r="Z19" s="19">
        <f t="shared" si="20"/>
        <v>5.401960062</v>
      </c>
      <c r="AA19" s="19">
        <f t="shared" si="3"/>
        <v>73</v>
      </c>
      <c r="AB19" s="19">
        <f t="shared" si="4"/>
        <v>3.518939686</v>
      </c>
      <c r="AC19" s="22" t="s">
        <v>72</v>
      </c>
    </row>
    <row r="20" ht="14.25" customHeight="1">
      <c r="A20" s="1"/>
      <c r="B20" s="32" t="s">
        <v>73</v>
      </c>
      <c r="C20" s="214">
        <v>5266.0</v>
      </c>
      <c r="D20" s="214">
        <v>5400.0</v>
      </c>
      <c r="E20" s="214">
        <v>5517.0</v>
      </c>
      <c r="F20" s="214">
        <v>5639.0</v>
      </c>
      <c r="G20" s="214">
        <v>5809.0</v>
      </c>
      <c r="H20" s="214">
        <v>5955.0</v>
      </c>
      <c r="I20" s="214">
        <v>6102.0</v>
      </c>
      <c r="J20" s="1"/>
      <c r="K20" s="1"/>
      <c r="L20" s="15" t="s">
        <v>74</v>
      </c>
      <c r="M20" s="204">
        <v>7.0</v>
      </c>
      <c r="N20" s="19">
        <f t="shared" ref="N20:N21" si="22">M20/C20*1000</f>
        <v>1.329282188</v>
      </c>
      <c r="O20" s="204">
        <v>7.0</v>
      </c>
      <c r="P20" s="19">
        <f t="shared" ref="P20:P21" si="23">O20/D20*1000</f>
        <v>1.296296296</v>
      </c>
      <c r="Q20" s="205">
        <v>11.0</v>
      </c>
      <c r="R20" s="19">
        <f t="shared" ref="R20:R21" si="24">Q20/E20*1000</f>
        <v>1.99383723</v>
      </c>
      <c r="S20" s="204">
        <v>7.0</v>
      </c>
      <c r="T20" s="19">
        <f t="shared" ref="T20:T21" si="25">S20/F20*1000</f>
        <v>1.24135485</v>
      </c>
      <c r="U20" s="204">
        <v>5.0</v>
      </c>
      <c r="V20" s="19">
        <f t="shared" ref="V20:V21" si="26">U20/G20*1000</f>
        <v>0.8607333448</v>
      </c>
      <c r="W20" s="204">
        <v>1.0</v>
      </c>
      <c r="X20" s="19">
        <f t="shared" ref="X20:X21" si="27">W20/H20*1000</f>
        <v>0.1679261125</v>
      </c>
      <c r="Y20" s="19">
        <f t="shared" ref="Y20:Z20" si="21">((M20+O20+Q20+S20)/4)</f>
        <v>8</v>
      </c>
      <c r="Z20" s="19">
        <f t="shared" si="21"/>
        <v>1.465192641</v>
      </c>
      <c r="AA20" s="19">
        <f t="shared" si="3"/>
        <v>6</v>
      </c>
      <c r="AB20" s="19">
        <f t="shared" si="4"/>
        <v>0.5143297287</v>
      </c>
      <c r="AC20" s="22" t="s">
        <v>72</v>
      </c>
    </row>
    <row r="21" ht="14.25" customHeight="1">
      <c r="A21" s="1"/>
      <c r="B21" s="32" t="s">
        <v>75</v>
      </c>
      <c r="C21" s="212">
        <v>5817.0</v>
      </c>
      <c r="D21" s="212">
        <v>5870.0</v>
      </c>
      <c r="E21" s="212">
        <v>5887.0</v>
      </c>
      <c r="F21" s="212">
        <v>5912.0</v>
      </c>
      <c r="G21" s="212">
        <v>5997.0</v>
      </c>
      <c r="H21" s="212">
        <v>6069.0</v>
      </c>
      <c r="I21" s="212">
        <v>6147.0</v>
      </c>
      <c r="J21" s="1"/>
      <c r="K21" s="1"/>
      <c r="L21" s="15" t="s">
        <v>76</v>
      </c>
      <c r="M21" s="202">
        <v>255.0</v>
      </c>
      <c r="N21" s="19">
        <f t="shared" si="22"/>
        <v>43.8370294</v>
      </c>
      <c r="O21" s="202">
        <v>215.0</v>
      </c>
      <c r="P21" s="19">
        <f t="shared" si="23"/>
        <v>36.62691652</v>
      </c>
      <c r="Q21" s="203">
        <v>196.0</v>
      </c>
      <c r="R21" s="19">
        <f t="shared" si="24"/>
        <v>33.29369798</v>
      </c>
      <c r="S21" s="202">
        <v>186.0</v>
      </c>
      <c r="T21" s="19">
        <f t="shared" si="25"/>
        <v>31.46143437</v>
      </c>
      <c r="U21" s="202">
        <v>163.0</v>
      </c>
      <c r="V21" s="19">
        <f t="shared" si="26"/>
        <v>27.1802568</v>
      </c>
      <c r="W21" s="202">
        <v>69.0</v>
      </c>
      <c r="X21" s="19">
        <f t="shared" si="27"/>
        <v>11.36925358</v>
      </c>
      <c r="Y21" s="19">
        <f t="shared" ref="Y21:Z21" si="28">((M21+O21+Q21+S21)/4)</f>
        <v>213</v>
      </c>
      <c r="Z21" s="19">
        <f t="shared" si="28"/>
        <v>36.30476957</v>
      </c>
      <c r="AA21" s="19">
        <f t="shared" si="3"/>
        <v>174.5</v>
      </c>
      <c r="AB21" s="19">
        <f t="shared" si="4"/>
        <v>19.27475519</v>
      </c>
      <c r="AC21" s="22" t="s">
        <v>72</v>
      </c>
    </row>
    <row r="22" ht="14.25" customHeight="1">
      <c r="A22" s="1"/>
      <c r="B22" s="32" t="s">
        <v>77</v>
      </c>
      <c r="C22" s="214">
        <v>46188.0</v>
      </c>
      <c r="D22" s="214">
        <v>47846.0</v>
      </c>
      <c r="E22" s="214">
        <v>49138.0</v>
      </c>
      <c r="F22" s="214">
        <v>50333.0</v>
      </c>
      <c r="G22" s="214">
        <v>51566.0</v>
      </c>
      <c r="H22" s="214">
        <v>52672.0</v>
      </c>
      <c r="I22" s="214">
        <v>53702.0</v>
      </c>
      <c r="J22" s="1"/>
      <c r="K22" s="1"/>
      <c r="L22" s="15" t="s">
        <v>78</v>
      </c>
      <c r="M22" s="220">
        <v>15.0</v>
      </c>
      <c r="N22" s="57">
        <f>M22/C7*100000</f>
        <v>10.24926205</v>
      </c>
      <c r="O22" s="204">
        <v>21.0</v>
      </c>
      <c r="P22" s="57">
        <f>O22/D7*100000</f>
        <v>13.79808798</v>
      </c>
      <c r="Q22" s="205">
        <v>20.0</v>
      </c>
      <c r="R22" s="57">
        <f>Q22/E7*100000</f>
        <v>12.74023302</v>
      </c>
      <c r="S22" s="220">
        <v>19.0</v>
      </c>
      <c r="T22" s="57">
        <f>S22/F7*100000</f>
        <v>11.7687138</v>
      </c>
      <c r="U22" s="220">
        <v>19.0</v>
      </c>
      <c r="V22" s="57">
        <f>U22/G7*100000</f>
        <v>11.45185399</v>
      </c>
      <c r="W22" s="220">
        <v>13.0</v>
      </c>
      <c r="X22" s="57">
        <f>W22/H7*100000</f>
        <v>7.635291492</v>
      </c>
      <c r="Y22" s="19">
        <f t="shared" ref="Y22:Z22" si="29">((M22+O22+Q22+S22)/4)</f>
        <v>18.75</v>
      </c>
      <c r="Z22" s="19">
        <f t="shared" si="29"/>
        <v>12.13907421</v>
      </c>
      <c r="AA22" s="19">
        <f t="shared" si="3"/>
        <v>19</v>
      </c>
      <c r="AB22" s="19">
        <f t="shared" si="4"/>
        <v>9.543572743</v>
      </c>
      <c r="AC22" s="22" t="s">
        <v>28</v>
      </c>
    </row>
    <row r="23" ht="14.25" customHeight="1">
      <c r="A23" s="1"/>
      <c r="B23" s="32" t="s">
        <v>79</v>
      </c>
      <c r="C23" s="212">
        <v>13742.0</v>
      </c>
      <c r="D23" s="212">
        <v>14191.0</v>
      </c>
      <c r="E23" s="212">
        <v>14483.0</v>
      </c>
      <c r="F23" s="212">
        <v>14684.0</v>
      </c>
      <c r="G23" s="212">
        <v>14555.0</v>
      </c>
      <c r="H23" s="212">
        <v>14614.0</v>
      </c>
      <c r="I23" s="212">
        <v>14665.0</v>
      </c>
      <c r="J23" s="1"/>
      <c r="K23" s="1"/>
      <c r="L23" s="15" t="s">
        <v>80</v>
      </c>
      <c r="M23" s="221">
        <v>5.0</v>
      </c>
      <c r="N23" s="57">
        <f>M23/C7*100000</f>
        <v>3.416420684</v>
      </c>
      <c r="O23" s="202">
        <v>14.0</v>
      </c>
      <c r="P23" s="57">
        <f>O23/D7*100000</f>
        <v>9.198725319</v>
      </c>
      <c r="Q23" s="203">
        <v>11.0</v>
      </c>
      <c r="R23" s="57">
        <f>Q23/E7*100000</f>
        <v>7.00712816</v>
      </c>
      <c r="S23" s="221">
        <v>11.0</v>
      </c>
      <c r="T23" s="57">
        <f>S23/F7*100000</f>
        <v>6.813465886</v>
      </c>
      <c r="U23" s="221">
        <v>8.0</v>
      </c>
      <c r="V23" s="57">
        <f>U23/G7*100000</f>
        <v>4.821833261</v>
      </c>
      <c r="W23" s="221">
        <v>5.0</v>
      </c>
      <c r="X23" s="57">
        <f>W23/H7*100000</f>
        <v>2.936650574</v>
      </c>
      <c r="Y23" s="19">
        <f t="shared" ref="Y23:Z23" si="30">((M23+O23+Q23+S23)/4)</f>
        <v>10.25</v>
      </c>
      <c r="Z23" s="19">
        <f t="shared" si="30"/>
        <v>6.608935013</v>
      </c>
      <c r="AA23" s="19">
        <f t="shared" si="3"/>
        <v>9.5</v>
      </c>
      <c r="AB23" s="19">
        <f t="shared" si="4"/>
        <v>3.879241917</v>
      </c>
      <c r="AC23" s="22" t="s">
        <v>28</v>
      </c>
    </row>
    <row r="24" ht="14.25" customHeight="1">
      <c r="A24" s="1"/>
      <c r="B24" s="32" t="s">
        <v>81</v>
      </c>
      <c r="C24" s="214">
        <v>12938.0</v>
      </c>
      <c r="D24" s="214">
        <v>13406.0</v>
      </c>
      <c r="E24" s="214">
        <v>13810.0</v>
      </c>
      <c r="F24" s="214">
        <v>14209.0</v>
      </c>
      <c r="G24" s="214">
        <v>14672.0</v>
      </c>
      <c r="H24" s="214">
        <v>15039.0</v>
      </c>
      <c r="I24" s="214">
        <v>15306.0</v>
      </c>
      <c r="J24" s="1"/>
      <c r="K24" s="1"/>
      <c r="L24" s="15" t="s">
        <v>82</v>
      </c>
      <c r="M24" s="220">
        <v>13.0</v>
      </c>
      <c r="N24" s="57">
        <f>M24/C7*100000</f>
        <v>8.882693779</v>
      </c>
      <c r="O24" s="204">
        <v>16.0</v>
      </c>
      <c r="P24" s="57">
        <f>O24/D7*100000</f>
        <v>10.51282894</v>
      </c>
      <c r="Q24" s="205">
        <v>15.0</v>
      </c>
      <c r="R24" s="57">
        <f>Q24/E7*100000</f>
        <v>9.555174764</v>
      </c>
      <c r="S24" s="220">
        <v>7.0</v>
      </c>
      <c r="T24" s="57">
        <f>S24/F7*100000</f>
        <v>4.335841928</v>
      </c>
      <c r="U24" s="220">
        <v>10.0</v>
      </c>
      <c r="V24" s="57">
        <f>U24/G7*100000</f>
        <v>6.027291576</v>
      </c>
      <c r="W24" s="220">
        <v>5.0</v>
      </c>
      <c r="X24" s="57">
        <f>W24/H7*100000</f>
        <v>2.936650574</v>
      </c>
      <c r="Y24" s="19">
        <f t="shared" ref="Y24:Z24" si="31">((M24+O24+Q24+S24)/4)</f>
        <v>12.75</v>
      </c>
      <c r="Z24" s="19">
        <f t="shared" si="31"/>
        <v>8.321634852</v>
      </c>
      <c r="AA24" s="19">
        <f t="shared" si="3"/>
        <v>8.5</v>
      </c>
      <c r="AB24" s="19">
        <f t="shared" si="4"/>
        <v>4.481971075</v>
      </c>
      <c r="AC24" s="22" t="s">
        <v>28</v>
      </c>
    </row>
    <row r="25" ht="14.25" customHeight="1">
      <c r="A25" s="1"/>
      <c r="B25" s="32" t="s">
        <v>83</v>
      </c>
      <c r="C25" s="212">
        <v>13212.0</v>
      </c>
      <c r="D25" s="212">
        <v>13418.0</v>
      </c>
      <c r="E25" s="212">
        <v>13580.0</v>
      </c>
      <c r="F25" s="212">
        <v>13766.0</v>
      </c>
      <c r="G25" s="212">
        <v>14117.0</v>
      </c>
      <c r="H25" s="212">
        <v>14391.0</v>
      </c>
      <c r="I25" s="212">
        <v>14675.0</v>
      </c>
      <c r="J25" s="1"/>
      <c r="K25" s="1"/>
      <c r="L25" s="15" t="s">
        <v>84</v>
      </c>
      <c r="M25" s="221">
        <v>99.0</v>
      </c>
      <c r="N25" s="57">
        <f>M25/C7*100000</f>
        <v>67.64512955</v>
      </c>
      <c r="O25" s="202">
        <v>110.0</v>
      </c>
      <c r="P25" s="57">
        <f>O25/D7*100000</f>
        <v>72.27569894</v>
      </c>
      <c r="Q25" s="203">
        <v>127.0</v>
      </c>
      <c r="R25" s="57">
        <f>Q25/E7*100000</f>
        <v>80.90047967</v>
      </c>
      <c r="S25" s="221">
        <v>166.0</v>
      </c>
      <c r="T25" s="57">
        <f>S25/F7*100000</f>
        <v>102.8213943</v>
      </c>
      <c r="U25" s="221">
        <v>150.0</v>
      </c>
      <c r="V25" s="57">
        <f>U25/G7*100000</f>
        <v>90.40937364</v>
      </c>
      <c r="W25" s="221">
        <v>59.0</v>
      </c>
      <c r="X25" s="57">
        <f>W25/H7*100000</f>
        <v>34.65247677</v>
      </c>
      <c r="Y25" s="19">
        <f t="shared" ref="Y25:Z25" si="32">((M25+O25+Q25+S25)/4)</f>
        <v>125.5</v>
      </c>
      <c r="Z25" s="19">
        <f t="shared" si="32"/>
        <v>80.91067561</v>
      </c>
      <c r="AA25" s="19">
        <f t="shared" si="3"/>
        <v>158</v>
      </c>
      <c r="AB25" s="19">
        <f t="shared" si="4"/>
        <v>62.53092521</v>
      </c>
      <c r="AC25" s="22" t="s">
        <v>57</v>
      </c>
    </row>
    <row r="26" ht="14.25" customHeight="1">
      <c r="A26" s="1"/>
      <c r="B26" s="32" t="s">
        <v>85</v>
      </c>
      <c r="C26" s="214">
        <v>28684.0</v>
      </c>
      <c r="D26" s="214">
        <v>29394.0</v>
      </c>
      <c r="E26" s="214">
        <v>29701.0</v>
      </c>
      <c r="F26" s="214">
        <v>29849.0</v>
      </c>
      <c r="G26" s="214">
        <v>29802.0</v>
      </c>
      <c r="H26" s="214">
        <v>29850.0</v>
      </c>
      <c r="I26" s="214">
        <v>29867.0</v>
      </c>
      <c r="J26" s="1"/>
      <c r="K26" s="1"/>
      <c r="L26" s="15" t="s">
        <v>86</v>
      </c>
      <c r="M26" s="204">
        <v>298.0</v>
      </c>
      <c r="N26" s="19">
        <f>M26/C7*100000</f>
        <v>203.6186728</v>
      </c>
      <c r="O26" s="204">
        <v>425.0</v>
      </c>
      <c r="P26" s="19">
        <f>O26/D7*100000</f>
        <v>279.2470186</v>
      </c>
      <c r="Q26" s="205">
        <v>244.0</v>
      </c>
      <c r="R26" s="19">
        <f>Q26/E7*100000</f>
        <v>155.4308428</v>
      </c>
      <c r="S26" s="204">
        <v>230.0</v>
      </c>
      <c r="T26" s="19">
        <f>S26/F7*100000</f>
        <v>142.4633776</v>
      </c>
      <c r="U26" s="204">
        <v>235.0</v>
      </c>
      <c r="V26" s="19">
        <f>U26/G7*100000</f>
        <v>141.641352</v>
      </c>
      <c r="W26" s="204">
        <v>130.0</v>
      </c>
      <c r="X26" s="19">
        <f>W26/H7*100000</f>
        <v>76.35291492</v>
      </c>
      <c r="Y26" s="19">
        <f t="shared" ref="Y26:Z26" si="33">((M26+O26+Q26+S26)/4)</f>
        <v>299.25</v>
      </c>
      <c r="Z26" s="19">
        <f t="shared" si="33"/>
        <v>195.189978</v>
      </c>
      <c r="AA26" s="19">
        <f t="shared" si="3"/>
        <v>232.5</v>
      </c>
      <c r="AB26" s="19">
        <f t="shared" si="4"/>
        <v>108.9971335</v>
      </c>
      <c r="AC26" s="22" t="s">
        <v>28</v>
      </c>
    </row>
    <row r="27" ht="14.25" customHeight="1">
      <c r="A27" s="1"/>
      <c r="B27" s="62" t="s">
        <v>87</v>
      </c>
      <c r="C27" s="212">
        <v>17095.0</v>
      </c>
      <c r="D27" s="212">
        <v>18195.0</v>
      </c>
      <c r="E27" s="212">
        <v>19273.0</v>
      </c>
      <c r="F27" s="212">
        <v>20368.0</v>
      </c>
      <c r="G27" s="212">
        <v>21448.0</v>
      </c>
      <c r="H27" s="212">
        <v>22692.0</v>
      </c>
      <c r="I27" s="212">
        <v>23967.0</v>
      </c>
      <c r="J27" s="1"/>
      <c r="K27" s="1"/>
      <c r="L27" s="15" t="s">
        <v>88</v>
      </c>
      <c r="M27" s="202">
        <v>5.0</v>
      </c>
      <c r="N27" s="19">
        <f>M27/C11*100000</f>
        <v>6.637814301</v>
      </c>
      <c r="O27" s="202">
        <v>4.0</v>
      </c>
      <c r="P27" s="19">
        <f>O27/D11*100000</f>
        <v>5.107317509</v>
      </c>
      <c r="Q27" s="203">
        <v>3.0</v>
      </c>
      <c r="R27" s="19">
        <f>Q27/E11*100000</f>
        <v>3.713974448</v>
      </c>
      <c r="S27" s="202">
        <v>1.0</v>
      </c>
      <c r="T27" s="19">
        <f>S27/F11*100000</f>
        <v>1.203861989</v>
      </c>
      <c r="U27" s="202">
        <v>5.0</v>
      </c>
      <c r="V27" s="19">
        <f>U27/G11*100000</f>
        <v>5.856515373</v>
      </c>
      <c r="W27" s="202">
        <v>0.0</v>
      </c>
      <c r="X27" s="19">
        <f>W27/H11*100000</f>
        <v>0</v>
      </c>
      <c r="Y27" s="19">
        <f t="shared" ref="Y27:Z27" si="34">((M27+O27+Q27+S27)/4)</f>
        <v>3.25</v>
      </c>
      <c r="Z27" s="19">
        <f t="shared" si="34"/>
        <v>4.165742062</v>
      </c>
      <c r="AA27" s="19">
        <f t="shared" si="3"/>
        <v>3</v>
      </c>
      <c r="AB27" s="19">
        <f t="shared" si="4"/>
        <v>2.928257687</v>
      </c>
      <c r="AC27" s="22" t="s">
        <v>28</v>
      </c>
    </row>
    <row r="28" ht="14.25" customHeight="1">
      <c r="A28" s="1"/>
      <c r="B28" s="1"/>
      <c r="C28" s="66"/>
      <c r="D28" s="66"/>
      <c r="E28" s="1"/>
      <c r="F28" s="1"/>
      <c r="G28" s="1"/>
      <c r="H28" s="1"/>
      <c r="I28" s="1"/>
      <c r="J28" s="1"/>
      <c r="K28" s="1"/>
      <c r="L28" s="15" t="s">
        <v>89</v>
      </c>
      <c r="M28" s="204">
        <v>14.0</v>
      </c>
      <c r="N28" s="19">
        <f>M28/C11*100000</f>
        <v>18.58588004</v>
      </c>
      <c r="O28" s="204">
        <v>17.0</v>
      </c>
      <c r="P28" s="19">
        <f>O28/D11*100000</f>
        <v>21.70609941</v>
      </c>
      <c r="Q28" s="205">
        <v>9.0</v>
      </c>
      <c r="R28" s="19">
        <f>Q28/E11*100000</f>
        <v>11.14192334</v>
      </c>
      <c r="S28" s="204">
        <v>9.0</v>
      </c>
      <c r="T28" s="19">
        <f>S28/F11*100000</f>
        <v>10.8347579</v>
      </c>
      <c r="U28" s="204">
        <v>7.0</v>
      </c>
      <c r="V28" s="19">
        <f>U28/G11*100000</f>
        <v>8.199121523</v>
      </c>
      <c r="W28" s="204">
        <v>5.0</v>
      </c>
      <c r="X28" s="19">
        <f>W28/H11*100000</f>
        <v>5.70691564</v>
      </c>
      <c r="Y28" s="19">
        <f t="shared" ref="Y28:Z28" si="35">((M28+O28+Q28+S28)/4)</f>
        <v>12.25</v>
      </c>
      <c r="Z28" s="19">
        <f t="shared" si="35"/>
        <v>15.56716518</v>
      </c>
      <c r="AA28" s="19">
        <f t="shared" si="3"/>
        <v>8</v>
      </c>
      <c r="AB28" s="19">
        <f t="shared" si="4"/>
        <v>6.953018582</v>
      </c>
      <c r="AC28" s="22" t="s">
        <v>28</v>
      </c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5" t="s">
        <v>90</v>
      </c>
      <c r="M29" s="202">
        <v>14.0</v>
      </c>
      <c r="N29" s="19">
        <f>M29/C10*100000</f>
        <v>19.71109171</v>
      </c>
      <c r="O29" s="202">
        <v>6.0</v>
      </c>
      <c r="P29" s="19">
        <f>O29/D10*100000</f>
        <v>8.121717473</v>
      </c>
      <c r="Q29" s="203">
        <v>7.0</v>
      </c>
      <c r="R29" s="19">
        <f>Q29/E10*100000</f>
        <v>9.185507893</v>
      </c>
      <c r="S29" s="202">
        <v>4.0</v>
      </c>
      <c r="T29" s="19">
        <f>S29/F10*100000</f>
        <v>5.103407801</v>
      </c>
      <c r="U29" s="202">
        <v>6.0</v>
      </c>
      <c r="V29" s="19">
        <f>U29/G10*100000</f>
        <v>7.449991929</v>
      </c>
      <c r="W29" s="202">
        <v>3.0</v>
      </c>
      <c r="X29" s="19">
        <f>W29/H10*100000</f>
        <v>3.629807983</v>
      </c>
      <c r="Y29" s="19">
        <f t="shared" ref="Y29:Z29" si="36">((M29+O29+Q29+S29)/4)</f>
        <v>7.75</v>
      </c>
      <c r="Z29" s="19">
        <f t="shared" si="36"/>
        <v>10.53043122</v>
      </c>
      <c r="AA29" s="19">
        <f t="shared" si="3"/>
        <v>5</v>
      </c>
      <c r="AB29" s="19">
        <f t="shared" si="4"/>
        <v>5.539899956</v>
      </c>
      <c r="AC29" s="22" t="s">
        <v>28</v>
      </c>
    </row>
    <row r="30" ht="14.25" customHeight="1">
      <c r="A30" s="1"/>
      <c r="B30" s="69" t="s">
        <v>91</v>
      </c>
      <c r="C30" s="70" t="s">
        <v>32</v>
      </c>
      <c r="D30" s="70" t="s">
        <v>33</v>
      </c>
      <c r="E30" s="70" t="s">
        <v>34</v>
      </c>
      <c r="F30" s="70" t="s">
        <v>35</v>
      </c>
      <c r="G30" s="70" t="s">
        <v>36</v>
      </c>
      <c r="H30" s="70" t="s">
        <v>37</v>
      </c>
      <c r="I30" s="1"/>
      <c r="J30" s="1"/>
      <c r="K30" s="1"/>
      <c r="L30" s="15" t="s">
        <v>92</v>
      </c>
      <c r="M30" s="204">
        <v>206.0</v>
      </c>
      <c r="N30" s="19">
        <f>M30/C7*100000</f>
        <v>140.7565322</v>
      </c>
      <c r="O30" s="204">
        <v>398.0</v>
      </c>
      <c r="P30" s="19">
        <f>O30/D7*100000</f>
        <v>261.5066198</v>
      </c>
      <c r="Q30" s="205">
        <v>71.0</v>
      </c>
      <c r="R30" s="19">
        <f>Q30/E7*100000</f>
        <v>45.22782722</v>
      </c>
      <c r="S30" s="204">
        <v>39.0</v>
      </c>
      <c r="T30" s="19">
        <f>S30/F7*100000</f>
        <v>24.1568336</v>
      </c>
      <c r="U30" s="204">
        <v>62.0</v>
      </c>
      <c r="V30" s="19">
        <f>U30/G7*100000</f>
        <v>37.36920777</v>
      </c>
      <c r="W30" s="204">
        <v>5.0</v>
      </c>
      <c r="X30" s="19">
        <f>W30/H7*100000</f>
        <v>2.936650574</v>
      </c>
      <c r="Y30" s="19">
        <f t="shared" ref="Y30:Z30" si="37">((M30+O30+Q30+S30)/4)</f>
        <v>178.5</v>
      </c>
      <c r="Z30" s="19">
        <f t="shared" si="37"/>
        <v>117.9119532</v>
      </c>
      <c r="AA30" s="19">
        <f t="shared" si="3"/>
        <v>50.5</v>
      </c>
      <c r="AB30" s="19">
        <f t="shared" si="4"/>
        <v>20.15292917</v>
      </c>
      <c r="AC30" s="22" t="s">
        <v>28</v>
      </c>
    </row>
    <row r="31" ht="14.25" customHeight="1">
      <c r="A31" s="1"/>
      <c r="B31" s="71" t="s">
        <v>93</v>
      </c>
      <c r="C31" s="70"/>
      <c r="D31" s="70"/>
      <c r="E31" s="70"/>
      <c r="F31" s="70"/>
      <c r="G31" s="70"/>
      <c r="H31" s="70"/>
      <c r="I31" s="1"/>
      <c r="J31" s="1"/>
      <c r="K31" s="1"/>
      <c r="L31" s="15" t="s">
        <v>94</v>
      </c>
      <c r="M31" s="202">
        <v>5.0</v>
      </c>
      <c r="N31" s="19">
        <f>M31/C7*100000</f>
        <v>3.416420684</v>
      </c>
      <c r="O31" s="202">
        <v>2.0</v>
      </c>
      <c r="P31" s="19">
        <f>O31/D7*100000</f>
        <v>1.314103617</v>
      </c>
      <c r="Q31" s="203">
        <v>3.0</v>
      </c>
      <c r="R31" s="19">
        <f>Q31/E7*100000</f>
        <v>1.911034953</v>
      </c>
      <c r="S31" s="202">
        <v>2.0</v>
      </c>
      <c r="T31" s="19">
        <f>S31/F7*100000</f>
        <v>1.238811979</v>
      </c>
      <c r="U31" s="202">
        <v>6.0</v>
      </c>
      <c r="V31" s="19">
        <f>U31/G7*100000</f>
        <v>3.616374946</v>
      </c>
      <c r="W31" s="202">
        <v>1.0</v>
      </c>
      <c r="X31" s="19">
        <f>W31/H7*100000</f>
        <v>0.5873301148</v>
      </c>
      <c r="Y31" s="19">
        <f t="shared" ref="Y31:Z31" si="38">((M31+O31+Q31+S31)/4)</f>
        <v>3</v>
      </c>
      <c r="Z31" s="19">
        <f t="shared" si="38"/>
        <v>1.970092808</v>
      </c>
      <c r="AA31" s="19">
        <f t="shared" si="3"/>
        <v>4</v>
      </c>
      <c r="AB31" s="19">
        <f t="shared" si="4"/>
        <v>2.10185253</v>
      </c>
      <c r="AC31" s="22" t="s">
        <v>28</v>
      </c>
    </row>
    <row r="32" ht="14.25" customHeight="1">
      <c r="A32" s="1"/>
      <c r="B32" s="71" t="s">
        <v>95</v>
      </c>
      <c r="C32" s="70"/>
      <c r="D32" s="70"/>
      <c r="E32" s="70"/>
      <c r="F32" s="70"/>
      <c r="G32" s="70"/>
      <c r="H32" s="70"/>
      <c r="I32" s="1"/>
      <c r="J32" s="1"/>
      <c r="K32" s="1"/>
      <c r="L32" s="15" t="s">
        <v>96</v>
      </c>
      <c r="M32" s="220">
        <v>25.0</v>
      </c>
      <c r="N32" s="72">
        <f>M32/C7*100</f>
        <v>0.01708210342</v>
      </c>
      <c r="O32" s="204">
        <v>38.0</v>
      </c>
      <c r="P32" s="72">
        <f>O32/D7*100</f>
        <v>0.02496796872</v>
      </c>
      <c r="Q32" s="205">
        <v>55.0</v>
      </c>
      <c r="R32" s="72">
        <f>Q32/E7*100</f>
        <v>0.0350356408</v>
      </c>
      <c r="S32" s="220">
        <v>55.0</v>
      </c>
      <c r="T32" s="72">
        <f>S32/F7*100</f>
        <v>0.03406732943</v>
      </c>
      <c r="U32" s="220">
        <v>54.0</v>
      </c>
      <c r="V32" s="72">
        <f>U32/G7*100</f>
        <v>0.03254737451</v>
      </c>
      <c r="W32" s="220">
        <v>39.0</v>
      </c>
      <c r="X32" s="72">
        <f>W32/H7*100</f>
        <v>0.02290587448</v>
      </c>
      <c r="Y32" s="19">
        <f t="shared" ref="Y32:Z32" si="39">((M32+O32+Q32+S32)/4)</f>
        <v>43.25</v>
      </c>
      <c r="Z32" s="74">
        <f t="shared" si="39"/>
        <v>0.02778826059</v>
      </c>
      <c r="AA32" s="19">
        <f t="shared" si="3"/>
        <v>54.5</v>
      </c>
      <c r="AB32" s="19">
        <f t="shared" si="4"/>
        <v>0.02772662449</v>
      </c>
      <c r="AC32" s="22" t="s">
        <v>57</v>
      </c>
    </row>
    <row r="33" ht="14.25" customHeight="1">
      <c r="A33" s="1"/>
      <c r="B33" s="71" t="s">
        <v>99</v>
      </c>
      <c r="C33" s="70"/>
      <c r="D33" s="70"/>
      <c r="E33" s="70"/>
      <c r="F33" s="70"/>
      <c r="G33" s="70"/>
      <c r="H33" s="70"/>
      <c r="I33" s="1"/>
      <c r="J33" s="1"/>
      <c r="K33" s="1"/>
      <c r="L33" s="15" t="s">
        <v>100</v>
      </c>
      <c r="M33" s="202">
        <v>13611.0</v>
      </c>
      <c r="N33" s="19">
        <f>M33/C7*10000</f>
        <v>930.0180387</v>
      </c>
      <c r="O33" s="202">
        <v>15381.0</v>
      </c>
      <c r="P33" s="19">
        <f>O33/D7*10000</f>
        <v>1010.611387</v>
      </c>
      <c r="Q33" s="203">
        <v>28621.0</v>
      </c>
      <c r="R33" s="19">
        <f>Q33/E7*10000</f>
        <v>1823.191046</v>
      </c>
      <c r="S33" s="202">
        <v>26085.0</v>
      </c>
      <c r="T33" s="19">
        <f>S33/F7*10000</f>
        <v>1615.720524</v>
      </c>
      <c r="U33" s="202">
        <v>24068.0</v>
      </c>
      <c r="V33" s="19">
        <f>U33/G7*10000</f>
        <v>1450.648537</v>
      </c>
      <c r="W33" s="202">
        <v>13934.0</v>
      </c>
      <c r="X33" s="19">
        <f>W33/H7*10000</f>
        <v>818.3857819</v>
      </c>
      <c r="Y33" s="19">
        <f t="shared" ref="Y33:Z33" si="40">((M33+O33+Q33+S33)/4)</f>
        <v>20924.5</v>
      </c>
      <c r="Z33" s="19">
        <f t="shared" si="40"/>
        <v>1344.885249</v>
      </c>
      <c r="AA33" s="19">
        <f t="shared" si="3"/>
        <v>25076.5</v>
      </c>
      <c r="AB33" s="19">
        <f t="shared" si="4"/>
        <v>1134.517159</v>
      </c>
      <c r="AC33" s="22" t="s">
        <v>57</v>
      </c>
    </row>
    <row r="34" ht="14.25" customHeight="1">
      <c r="A34" s="1"/>
      <c r="B34" s="71" t="s">
        <v>101</v>
      </c>
      <c r="C34" s="70"/>
      <c r="D34" s="70"/>
      <c r="E34" s="70"/>
      <c r="F34" s="70"/>
      <c r="G34" s="70"/>
      <c r="H34" s="70"/>
      <c r="I34" s="1"/>
      <c r="J34" s="1"/>
      <c r="K34" s="1"/>
      <c r="L34" s="15" t="s">
        <v>102</v>
      </c>
      <c r="M34" s="204">
        <v>7469.0</v>
      </c>
      <c r="N34" s="19">
        <f>M34/C7*10000</f>
        <v>510.3449218</v>
      </c>
      <c r="O34" s="204">
        <v>7972.0</v>
      </c>
      <c r="P34" s="19">
        <f>O34/D7*10000</f>
        <v>523.8017018</v>
      </c>
      <c r="Q34" s="205">
        <v>11918.0</v>
      </c>
      <c r="R34" s="19">
        <f>Q34/E7*10000</f>
        <v>759.1904856</v>
      </c>
      <c r="S34" s="204">
        <v>11684.0</v>
      </c>
      <c r="T34" s="19">
        <f>S34/F7*10000</f>
        <v>723.7139583</v>
      </c>
      <c r="U34" s="204">
        <v>11338.0</v>
      </c>
      <c r="V34" s="19">
        <f>U34/G7*10000</f>
        <v>683.3743189</v>
      </c>
      <c r="W34" s="204">
        <v>7243.0</v>
      </c>
      <c r="X34" s="19">
        <f>W34/H7*10000</f>
        <v>425.4032021</v>
      </c>
      <c r="Y34" s="19">
        <f t="shared" ref="Y34:Z34" si="41">((M34+O34+Q34+S34)/4)</f>
        <v>9760.75</v>
      </c>
      <c r="Z34" s="19">
        <f t="shared" si="41"/>
        <v>629.2627669</v>
      </c>
      <c r="AA34" s="19">
        <f t="shared" si="3"/>
        <v>11511</v>
      </c>
      <c r="AB34" s="19">
        <f t="shared" si="4"/>
        <v>554.3887605</v>
      </c>
      <c r="AC34" s="22" t="s">
        <v>57</v>
      </c>
    </row>
    <row r="35" ht="14.25" customHeight="1">
      <c r="A35" s="1"/>
      <c r="B35" s="71" t="s">
        <v>103</v>
      </c>
      <c r="C35" s="70"/>
      <c r="D35" s="70"/>
      <c r="E35" s="70"/>
      <c r="F35" s="70"/>
      <c r="G35" s="70"/>
      <c r="H35" s="70"/>
      <c r="I35" s="1"/>
      <c r="J35" s="1"/>
      <c r="K35" s="1"/>
      <c r="L35" s="15" t="s">
        <v>104</v>
      </c>
      <c r="M35" s="202">
        <v>99.0</v>
      </c>
      <c r="N35" s="19">
        <f>M35/M4*1000</f>
        <v>53.1972058</v>
      </c>
      <c r="O35" s="202">
        <v>117.0</v>
      </c>
      <c r="P35" s="19">
        <f>O35/O4*1000</f>
        <v>67.66917293</v>
      </c>
      <c r="Q35" s="203">
        <v>91.0</v>
      </c>
      <c r="R35" s="19">
        <f>Q35/Q4*1000</f>
        <v>52.78422274</v>
      </c>
      <c r="S35" s="202">
        <v>48.0</v>
      </c>
      <c r="T35" s="19">
        <f>S35/S4*1000</f>
        <v>29.35779817</v>
      </c>
      <c r="U35" s="202">
        <v>116.0</v>
      </c>
      <c r="V35" s="19">
        <f>U35/U4*1000</f>
        <v>76.36603028</v>
      </c>
      <c r="W35" s="202">
        <v>63.0</v>
      </c>
      <c r="X35" s="19">
        <f>W35/W4*1000</f>
        <v>82.78580815</v>
      </c>
      <c r="Y35" s="19">
        <f t="shared" ref="Y35:Z35" si="42">((M35+O35+Q35+S35)/4)</f>
        <v>88.75</v>
      </c>
      <c r="Z35" s="19">
        <f t="shared" si="42"/>
        <v>50.75209991</v>
      </c>
      <c r="AA35" s="19">
        <f t="shared" si="3"/>
        <v>82</v>
      </c>
      <c r="AB35" s="19">
        <f t="shared" si="4"/>
        <v>79.57591922</v>
      </c>
      <c r="AC35" s="22" t="s">
        <v>57</v>
      </c>
    </row>
    <row r="36" ht="14.25" customHeight="1">
      <c r="A36" s="1"/>
      <c r="B36" s="71" t="s">
        <v>105</v>
      </c>
      <c r="C36" s="70"/>
      <c r="D36" s="70"/>
      <c r="E36" s="70"/>
      <c r="F36" s="70"/>
      <c r="G36" s="70"/>
      <c r="H36" s="70"/>
      <c r="I36" s="1"/>
      <c r="J36" s="1"/>
      <c r="K36" s="1"/>
      <c r="L36" s="15" t="s">
        <v>106</v>
      </c>
      <c r="M36" s="204">
        <v>13.0</v>
      </c>
      <c r="N36" s="19">
        <f>M36/M4*1000</f>
        <v>6.985491671</v>
      </c>
      <c r="O36" s="204">
        <v>9.0</v>
      </c>
      <c r="P36" s="19">
        <f>O36/O4*1000</f>
        <v>5.205320995</v>
      </c>
      <c r="Q36" s="205">
        <v>8.0</v>
      </c>
      <c r="R36" s="19">
        <f>Q36/Q4*1000</f>
        <v>4.64037123</v>
      </c>
      <c r="S36" s="204">
        <v>6.0</v>
      </c>
      <c r="T36" s="19">
        <f>S36/S4*1000</f>
        <v>3.669724771</v>
      </c>
      <c r="U36" s="204">
        <v>22.0</v>
      </c>
      <c r="V36" s="19">
        <f>U36/U4*1000</f>
        <v>14.48321264</v>
      </c>
      <c r="W36" s="204">
        <v>9.0</v>
      </c>
      <c r="X36" s="19">
        <f>W36/W4*1000</f>
        <v>11.82654402</v>
      </c>
      <c r="Y36" s="19">
        <f t="shared" ref="Y36:Z36" si="43">((M36+O36+Q36+S36)/4)</f>
        <v>9</v>
      </c>
      <c r="Z36" s="19">
        <f t="shared" si="43"/>
        <v>5.125227167</v>
      </c>
      <c r="AA36" s="19">
        <f t="shared" si="3"/>
        <v>14</v>
      </c>
      <c r="AB36" s="19">
        <f t="shared" si="4"/>
        <v>13.15487833</v>
      </c>
      <c r="AC36" s="22" t="s">
        <v>57</v>
      </c>
    </row>
    <row r="37" ht="14.25" customHeight="1">
      <c r="A37" s="1"/>
      <c r="B37" s="80"/>
      <c r="C37" s="81"/>
      <c r="D37" s="1"/>
      <c r="E37" s="1"/>
      <c r="F37" s="82"/>
      <c r="G37" s="60"/>
      <c r="H37" s="1"/>
      <c r="I37" s="1"/>
      <c r="J37" s="1"/>
      <c r="K37" s="1"/>
      <c r="L37" s="15" t="s">
        <v>107</v>
      </c>
      <c r="M37" s="202">
        <v>1.0</v>
      </c>
      <c r="N37" s="36"/>
      <c r="O37" s="202">
        <v>2.0</v>
      </c>
      <c r="P37" s="36"/>
      <c r="Q37" s="203">
        <v>0.0</v>
      </c>
      <c r="R37" s="36"/>
      <c r="S37" s="202">
        <v>0.0</v>
      </c>
      <c r="T37" s="36"/>
      <c r="U37" s="202">
        <v>5.0</v>
      </c>
      <c r="V37" s="36"/>
      <c r="W37" s="202">
        <v>1.0</v>
      </c>
      <c r="X37" s="36"/>
      <c r="Y37" s="19">
        <f t="shared" ref="Y37:Z37" si="44">((M37+O37+Q37+S37)/4)</f>
        <v>0.75</v>
      </c>
      <c r="Z37" s="19">
        <f t="shared" si="44"/>
        <v>0</v>
      </c>
      <c r="AA37" s="19">
        <f t="shared" si="3"/>
        <v>2.5</v>
      </c>
      <c r="AB37" s="19">
        <f t="shared" si="4"/>
        <v>0</v>
      </c>
      <c r="AC37" s="22" t="s">
        <v>57</v>
      </c>
    </row>
    <row r="38" ht="14.25" customHeight="1">
      <c r="A38" s="1"/>
      <c r="B38" s="80"/>
      <c r="C38" s="81"/>
      <c r="D38" s="1"/>
      <c r="E38" s="1"/>
      <c r="F38" s="82"/>
      <c r="G38" s="60"/>
      <c r="H38" s="1"/>
      <c r="I38" s="1"/>
      <c r="J38" s="1"/>
      <c r="K38" s="1"/>
      <c r="L38" s="15" t="s">
        <v>108</v>
      </c>
      <c r="M38" s="204">
        <v>1.0</v>
      </c>
      <c r="N38" s="19">
        <f>M38/C7*10000</f>
        <v>0.06832841369</v>
      </c>
      <c r="O38" s="204">
        <v>0.0</v>
      </c>
      <c r="P38" s="19">
        <f>O38/E7*10000</f>
        <v>0</v>
      </c>
      <c r="Q38" s="205">
        <v>2.0</v>
      </c>
      <c r="R38" s="19">
        <f>Q38/E7*10000</f>
        <v>0.1274023302</v>
      </c>
      <c r="S38" s="204">
        <v>9.0</v>
      </c>
      <c r="T38" s="19">
        <f>S38/F7*10000</f>
        <v>0.5574653907</v>
      </c>
      <c r="U38" s="204">
        <v>5.0</v>
      </c>
      <c r="V38" s="19">
        <f>U38/G7*10000</f>
        <v>0.3013645788</v>
      </c>
      <c r="W38" s="204">
        <v>55.0</v>
      </c>
      <c r="X38" s="19">
        <f>W38/H7*10000</f>
        <v>3.230315631</v>
      </c>
      <c r="Y38" s="19">
        <f t="shared" ref="Y38:Z38" si="45">((M38+O38+Q38+S38)/4)</f>
        <v>3</v>
      </c>
      <c r="Z38" s="19">
        <f t="shared" si="45"/>
        <v>0.1882990336</v>
      </c>
      <c r="AA38" s="19">
        <f t="shared" si="3"/>
        <v>7</v>
      </c>
      <c r="AB38" s="19">
        <f t="shared" si="4"/>
        <v>1.765840105</v>
      </c>
      <c r="AC38" s="22" t="s">
        <v>57</v>
      </c>
    </row>
    <row r="39" ht="14.25" customHeight="1">
      <c r="A39" s="1"/>
      <c r="B39" s="80"/>
      <c r="C39" s="81"/>
      <c r="D39" s="1"/>
      <c r="E39" s="1"/>
      <c r="F39" s="82"/>
      <c r="G39" s="60"/>
      <c r="H39" s="1"/>
      <c r="I39" s="1"/>
      <c r="J39" s="1"/>
      <c r="K39" s="1"/>
      <c r="L39" s="15" t="s">
        <v>109</v>
      </c>
      <c r="M39" s="202">
        <v>85.0</v>
      </c>
      <c r="N39" s="19">
        <f>M39/C17*10000</f>
        <v>20.10834851</v>
      </c>
      <c r="O39" s="202">
        <v>87.0</v>
      </c>
      <c r="P39" s="19">
        <f>O39/D17*10000</f>
        <v>20.0414651</v>
      </c>
      <c r="Q39" s="203">
        <v>133.0</v>
      </c>
      <c r="R39" s="19">
        <f>Q39/E17*100000</f>
        <v>300.435971</v>
      </c>
      <c r="S39" s="202">
        <v>177.0</v>
      </c>
      <c r="T39" s="19">
        <f>S39/F17*100000</f>
        <v>392.8357414</v>
      </c>
      <c r="U39" s="202">
        <v>173.0</v>
      </c>
      <c r="V39" s="19">
        <f>U39/G17*100000</f>
        <v>377.9355543</v>
      </c>
      <c r="W39" s="202">
        <v>124.0</v>
      </c>
      <c r="X39" s="19">
        <f>W39/H17*100000</f>
        <v>266.7068161</v>
      </c>
      <c r="Y39" s="19">
        <f t="shared" ref="Y39:Z39" si="46">((M39+O39+Q39+S39)/4)</f>
        <v>120.5</v>
      </c>
      <c r="Z39" s="19">
        <f t="shared" si="46"/>
        <v>183.3553815</v>
      </c>
      <c r="AA39" s="19">
        <f t="shared" si="3"/>
        <v>175</v>
      </c>
      <c r="AB39" s="19">
        <f t="shared" si="4"/>
        <v>322.3211852</v>
      </c>
      <c r="AC39" s="22" t="s">
        <v>57</v>
      </c>
    </row>
    <row r="40" ht="14.25" customHeight="1">
      <c r="A40" s="1"/>
      <c r="B40" s="80"/>
      <c r="C40" s="81"/>
      <c r="D40" s="1"/>
      <c r="E40" s="1"/>
      <c r="F40" s="1"/>
      <c r="G40" s="1"/>
      <c r="H40" s="1"/>
      <c r="I40" s="1"/>
      <c r="J40" s="1"/>
      <c r="K40" s="1"/>
      <c r="L40" s="15" t="s">
        <v>110</v>
      </c>
      <c r="M40" s="204">
        <v>97.0</v>
      </c>
      <c r="N40" s="19">
        <f>M40/C7*100000</f>
        <v>66.27856128</v>
      </c>
      <c r="O40" s="204">
        <v>101.0</v>
      </c>
      <c r="P40" s="19">
        <f>O40/D7*100000</f>
        <v>66.36223266</v>
      </c>
      <c r="Q40" s="205">
        <v>155.0</v>
      </c>
      <c r="R40" s="19">
        <f>Q40/E7*100000</f>
        <v>98.7368059</v>
      </c>
      <c r="S40" s="204">
        <v>228.0</v>
      </c>
      <c r="T40" s="19">
        <f>S40/F7*100000</f>
        <v>141.2245656</v>
      </c>
      <c r="U40" s="204">
        <v>203.0</v>
      </c>
      <c r="V40" s="19">
        <f>U40/G7*100000</f>
        <v>122.354019</v>
      </c>
      <c r="W40" s="204">
        <v>160.0</v>
      </c>
      <c r="X40" s="19">
        <f>W40/H7*100000</f>
        <v>93.97281836</v>
      </c>
      <c r="Y40" s="19">
        <f t="shared" ref="Y40:Z40" si="47">((M40+O40+Q40+S40)/4)</f>
        <v>145.25</v>
      </c>
      <c r="Z40" s="19">
        <f t="shared" si="47"/>
        <v>93.15054137</v>
      </c>
      <c r="AA40" s="19">
        <f t="shared" si="3"/>
        <v>215.5</v>
      </c>
      <c r="AB40" s="19">
        <f t="shared" si="4"/>
        <v>108.1634187</v>
      </c>
      <c r="AC40" s="22" t="s">
        <v>57</v>
      </c>
    </row>
    <row r="41" ht="14.25" customHeight="1">
      <c r="A41" s="1"/>
      <c r="B41" s="80"/>
      <c r="C41" s="81"/>
      <c r="D41" s="1"/>
      <c r="E41" s="1"/>
      <c r="F41" s="1"/>
      <c r="G41" s="1"/>
      <c r="H41" s="1"/>
      <c r="I41" s="1"/>
      <c r="J41" s="1"/>
      <c r="K41" s="1"/>
      <c r="L41" s="15" t="s">
        <v>111</v>
      </c>
      <c r="M41" s="221">
        <v>397.0</v>
      </c>
      <c r="N41" s="57">
        <f>M41/C7*10000</f>
        <v>27.12638023</v>
      </c>
      <c r="O41" s="202">
        <v>384.0</v>
      </c>
      <c r="P41" s="57">
        <f>O41/D7*10000</f>
        <v>25.23078945</v>
      </c>
      <c r="Q41" s="203">
        <v>466.0</v>
      </c>
      <c r="R41" s="57">
        <f>Q41/E7*10000</f>
        <v>29.68474293</v>
      </c>
      <c r="S41" s="221">
        <v>550.0</v>
      </c>
      <c r="T41" s="57">
        <f>S41/F7*10000</f>
        <v>34.06732943</v>
      </c>
      <c r="U41" s="221">
        <v>610.0</v>
      </c>
      <c r="V41" s="57">
        <f>U41/G7*10000</f>
        <v>36.76647862</v>
      </c>
      <c r="W41" s="221">
        <v>359.0</v>
      </c>
      <c r="X41" s="57">
        <f>W41/H7*10000</f>
        <v>21.08515112</v>
      </c>
      <c r="Y41" s="19">
        <f t="shared" ref="Y41:Z41" si="48">((M41+O41+Q41+S41)/4)</f>
        <v>449.25</v>
      </c>
      <c r="Z41" s="19">
        <f t="shared" si="48"/>
        <v>29.02731051</v>
      </c>
      <c r="AA41" s="19">
        <f t="shared" si="3"/>
        <v>580</v>
      </c>
      <c r="AB41" s="19">
        <f t="shared" si="4"/>
        <v>28.92581487</v>
      </c>
      <c r="AC41" s="22" t="s">
        <v>57</v>
      </c>
    </row>
    <row r="42" ht="14.25" customHeight="1">
      <c r="A42" s="1"/>
      <c r="B42" s="80"/>
      <c r="C42" s="81"/>
      <c r="D42" s="1"/>
      <c r="E42" s="1"/>
      <c r="F42" s="1"/>
      <c r="G42" s="1"/>
      <c r="H42" s="1"/>
      <c r="I42" s="1"/>
      <c r="J42" s="1"/>
      <c r="K42" s="1"/>
      <c r="L42" s="15" t="s">
        <v>112</v>
      </c>
      <c r="M42" s="220">
        <v>56.0</v>
      </c>
      <c r="N42" s="57">
        <f>M42/C7*10000</f>
        <v>3.826391167</v>
      </c>
      <c r="O42" s="204">
        <v>57.0</v>
      </c>
      <c r="P42" s="57">
        <f>O42/D7*10000</f>
        <v>3.745195309</v>
      </c>
      <c r="Q42" s="205">
        <v>83.0</v>
      </c>
      <c r="R42" s="57">
        <f>Q42/E7*10000</f>
        <v>5.287196703</v>
      </c>
      <c r="S42" s="220">
        <v>150.0</v>
      </c>
      <c r="T42" s="57">
        <f>S42/F7*10000</f>
        <v>9.291089845</v>
      </c>
      <c r="U42" s="220">
        <v>110.0</v>
      </c>
      <c r="V42" s="57">
        <f>U42/G7*10000</f>
        <v>6.630020734</v>
      </c>
      <c r="W42" s="220">
        <v>78.0</v>
      </c>
      <c r="X42" s="57">
        <f>W42/H7*10000</f>
        <v>4.581174895</v>
      </c>
      <c r="Y42" s="19">
        <f t="shared" ref="Y42:Z42" si="49">((M42+O42+Q42+S42)/4)</f>
        <v>86.5</v>
      </c>
      <c r="Z42" s="19">
        <f t="shared" si="49"/>
        <v>5.537468256</v>
      </c>
      <c r="AA42" s="19">
        <f t="shared" si="3"/>
        <v>130</v>
      </c>
      <c r="AB42" s="19">
        <f t="shared" si="4"/>
        <v>5.605597815</v>
      </c>
      <c r="AC42" s="22" t="s">
        <v>57</v>
      </c>
    </row>
    <row r="43" ht="14.25" customHeight="1">
      <c r="A43" s="1"/>
      <c r="B43" s="80"/>
      <c r="C43" s="81"/>
      <c r="D43" s="1"/>
      <c r="E43" s="1"/>
      <c r="F43" s="1"/>
      <c r="G43" s="1"/>
      <c r="H43" s="1"/>
      <c r="I43" s="1"/>
      <c r="J43" s="1"/>
      <c r="K43" s="1"/>
      <c r="L43" s="15" t="s">
        <v>113</v>
      </c>
      <c r="M43" s="221">
        <v>122.0</v>
      </c>
      <c r="N43" s="57">
        <f>M43/C16*10000</f>
        <v>10.98673487</v>
      </c>
      <c r="O43" s="202">
        <v>160.0</v>
      </c>
      <c r="P43" s="57">
        <f>O43/D16*10000</f>
        <v>13.81632917</v>
      </c>
      <c r="Q43" s="203">
        <v>303.0</v>
      </c>
      <c r="R43" s="57">
        <f>Q43/E16*100000</f>
        <v>253.0165755</v>
      </c>
      <c r="S43" s="221">
        <v>223.0</v>
      </c>
      <c r="T43" s="57">
        <f>S43/F16*100000</f>
        <v>180.6267668</v>
      </c>
      <c r="U43" s="221">
        <v>218.0</v>
      </c>
      <c r="V43" s="57">
        <f>U43/G16*100000</f>
        <v>171.214049</v>
      </c>
      <c r="W43" s="221">
        <v>169.0</v>
      </c>
      <c r="X43" s="57">
        <f>W43/H16*100000</f>
        <v>128.9643173</v>
      </c>
      <c r="Y43" s="19">
        <f t="shared" ref="Y43:Z43" si="50">((M43+O43+Q43+S43)/4)</f>
        <v>202</v>
      </c>
      <c r="Z43" s="19">
        <f t="shared" si="50"/>
        <v>114.6116016</v>
      </c>
      <c r="AA43" s="19">
        <f t="shared" si="3"/>
        <v>220.5</v>
      </c>
      <c r="AB43" s="19">
        <f t="shared" si="4"/>
        <v>150.0891832</v>
      </c>
      <c r="AC43" s="22" t="s">
        <v>57</v>
      </c>
    </row>
    <row r="44" ht="14.25" customHeight="1">
      <c r="A44" s="1"/>
      <c r="B44" s="80"/>
      <c r="C44" s="81"/>
      <c r="D44" s="1"/>
      <c r="E44" s="1"/>
      <c r="F44" s="1"/>
      <c r="G44" s="1"/>
      <c r="H44" s="1"/>
      <c r="I44" s="1"/>
      <c r="J44" s="1"/>
      <c r="K44" s="1"/>
      <c r="L44" s="15" t="s">
        <v>114</v>
      </c>
      <c r="M44" s="223">
        <v>195.0</v>
      </c>
      <c r="N44" s="57">
        <f>M44/C7*100000</f>
        <v>133.2404067</v>
      </c>
      <c r="O44" s="204">
        <v>223.0</v>
      </c>
      <c r="P44" s="57">
        <f>O44/D7*100000</f>
        <v>146.5225533</v>
      </c>
      <c r="Q44" s="204">
        <v>212.0</v>
      </c>
      <c r="R44" s="19">
        <f>Q44/E7*100000</f>
        <v>135.04647</v>
      </c>
      <c r="S44" s="204">
        <v>194.0</v>
      </c>
      <c r="T44" s="19">
        <f>S44/F7*100000</f>
        <v>120.164762</v>
      </c>
      <c r="U44" s="204">
        <v>204.0</v>
      </c>
      <c r="V44" s="19">
        <f>U44/G7*100000</f>
        <v>122.9567482</v>
      </c>
      <c r="W44" s="204">
        <v>180.0</v>
      </c>
      <c r="X44" s="19">
        <f>W44/H7*100000</f>
        <v>105.7194207</v>
      </c>
      <c r="Y44" s="19">
        <f t="shared" ref="Y44:Z44" si="51">((M44+O44+Q44+S44)/4)</f>
        <v>206</v>
      </c>
      <c r="Z44" s="19">
        <f t="shared" si="51"/>
        <v>133.743548</v>
      </c>
      <c r="AA44" s="19">
        <f t="shared" si="3"/>
        <v>199</v>
      </c>
      <c r="AB44" s="19">
        <f t="shared" si="4"/>
        <v>114.3380844</v>
      </c>
      <c r="AC44" s="22" t="s">
        <v>57</v>
      </c>
    </row>
    <row r="45" ht="14.25" customHeight="1">
      <c r="A45" s="1"/>
      <c r="B45" s="80"/>
      <c r="C45" s="81"/>
      <c r="D45" s="1"/>
      <c r="E45" s="1"/>
      <c r="F45" s="1"/>
      <c r="G45" s="1"/>
      <c r="H45" s="1"/>
      <c r="I45" s="1"/>
      <c r="J45" s="1"/>
      <c r="K45" s="1"/>
      <c r="L45" s="15" t="s">
        <v>115</v>
      </c>
      <c r="M45" s="224">
        <v>1861.0</v>
      </c>
      <c r="N45" s="57">
        <f>M45/M4*100</f>
        <v>100</v>
      </c>
      <c r="O45" s="202">
        <v>1719.0</v>
      </c>
      <c r="P45" s="57">
        <f>O45/O4*100</f>
        <v>99.421631</v>
      </c>
      <c r="Q45" s="202">
        <v>1717.0</v>
      </c>
      <c r="R45" s="19">
        <f>Q45/Q4*100</f>
        <v>99.59396752</v>
      </c>
      <c r="S45" s="202">
        <v>1631.0</v>
      </c>
      <c r="T45" s="19">
        <f>S45/S4*100</f>
        <v>99.75535168</v>
      </c>
      <c r="U45" s="202">
        <v>1523.0</v>
      </c>
      <c r="V45" s="19">
        <f>U45/U4*100</f>
        <v>100.2633311</v>
      </c>
      <c r="W45" s="202">
        <v>739.0</v>
      </c>
      <c r="X45" s="19">
        <f>W45/W4*100</f>
        <v>97.10906702</v>
      </c>
      <c r="Y45" s="19">
        <f t="shared" ref="Y45:Z45" si="52">((M45+O45+Q45+S45)/4)</f>
        <v>1732</v>
      </c>
      <c r="Z45" s="19">
        <f t="shared" si="52"/>
        <v>99.69273755</v>
      </c>
      <c r="AA45" s="19">
        <f t="shared" si="3"/>
        <v>1577</v>
      </c>
      <c r="AB45" s="19">
        <f t="shared" si="4"/>
        <v>98.68619908</v>
      </c>
      <c r="AC45" s="22" t="s">
        <v>116</v>
      </c>
    </row>
    <row r="46" ht="14.25" customHeight="1">
      <c r="A46" s="1"/>
      <c r="B46" s="88"/>
      <c r="C46" s="89"/>
      <c r="D46" s="1"/>
      <c r="E46" s="1"/>
      <c r="F46" s="1"/>
      <c r="G46" s="1"/>
      <c r="H46" s="1"/>
      <c r="I46" s="1"/>
      <c r="J46" s="1"/>
      <c r="K46" s="1"/>
      <c r="L46" s="15" t="s">
        <v>117</v>
      </c>
      <c r="M46" s="223">
        <v>1685.0</v>
      </c>
      <c r="N46" s="57">
        <f>M46/M4*100</f>
        <v>90.54271897</v>
      </c>
      <c r="O46" s="204">
        <v>1532.0</v>
      </c>
      <c r="P46" s="57">
        <f>O46/O4*100</f>
        <v>88.60613071</v>
      </c>
      <c r="Q46" s="204">
        <v>1519.0</v>
      </c>
      <c r="R46" s="19">
        <f>Q46/Q4*100</f>
        <v>88.10904872</v>
      </c>
      <c r="S46" s="204">
        <v>1513.0</v>
      </c>
      <c r="T46" s="19">
        <f>S46/S4*100</f>
        <v>92.5382263</v>
      </c>
      <c r="U46" s="204">
        <v>1414.0</v>
      </c>
      <c r="V46" s="19">
        <f>U46/U4*100</f>
        <v>93.0875576</v>
      </c>
      <c r="W46" s="204">
        <v>698.0</v>
      </c>
      <c r="X46" s="19">
        <f>W46/W4*100</f>
        <v>91.72141919</v>
      </c>
      <c r="Y46" s="19">
        <f t="shared" ref="Y46:Z46" si="53">((M46+O46+Q46+S46)/4)</f>
        <v>1562.25</v>
      </c>
      <c r="Z46" s="19">
        <f t="shared" si="53"/>
        <v>89.94903118</v>
      </c>
      <c r="AA46" s="19">
        <f t="shared" si="3"/>
        <v>1463.5</v>
      </c>
      <c r="AB46" s="19">
        <f t="shared" si="4"/>
        <v>92.40448839</v>
      </c>
      <c r="AC46" s="22" t="s">
        <v>116</v>
      </c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5" t="s">
        <v>118</v>
      </c>
      <c r="M47" s="203">
        <v>40.0</v>
      </c>
      <c r="N47" s="19">
        <f>M47/C7*100000</f>
        <v>27.33136548</v>
      </c>
      <c r="O47" s="203">
        <v>44.0</v>
      </c>
      <c r="P47" s="19">
        <f>O47/D7*100000</f>
        <v>28.91027958</v>
      </c>
      <c r="Q47" s="203">
        <v>35.0</v>
      </c>
      <c r="R47" s="19">
        <f>Q47/E7*100000</f>
        <v>22.29540778</v>
      </c>
      <c r="S47" s="202">
        <v>16.0</v>
      </c>
      <c r="T47" s="19">
        <f>S47/F7*100000</f>
        <v>9.910495834</v>
      </c>
      <c r="U47" s="202">
        <v>65.0</v>
      </c>
      <c r="V47" s="19">
        <f>U47/G7*100000</f>
        <v>39.17739525</v>
      </c>
      <c r="W47" s="202">
        <v>29.0</v>
      </c>
      <c r="X47" s="19">
        <f>W47/H7*100000</f>
        <v>17.03257333</v>
      </c>
      <c r="Y47" s="19">
        <f t="shared" ref="Y47:Z47" si="54">((M47+O47+Q47+S47)/4)</f>
        <v>33.75</v>
      </c>
      <c r="Z47" s="19">
        <f t="shared" si="54"/>
        <v>22.11188717</v>
      </c>
      <c r="AA47" s="19">
        <f t="shared" si="3"/>
        <v>40.5</v>
      </c>
      <c r="AB47" s="19">
        <f t="shared" si="4"/>
        <v>28.10498429</v>
      </c>
      <c r="AC47" s="22" t="s">
        <v>57</v>
      </c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5" t="s">
        <v>119</v>
      </c>
      <c r="M48" s="205">
        <v>26.0</v>
      </c>
      <c r="N48" s="19">
        <f>M48/C7*100000</f>
        <v>17.76538756</v>
      </c>
      <c r="O48" s="204">
        <v>30.0</v>
      </c>
      <c r="P48" s="19">
        <f>O48/D7*100000</f>
        <v>19.71155426</v>
      </c>
      <c r="Q48" s="205">
        <v>17.0</v>
      </c>
      <c r="R48" s="19">
        <f>Q48/E7*100000</f>
        <v>10.82919807</v>
      </c>
      <c r="S48" s="204">
        <v>20.0</v>
      </c>
      <c r="T48" s="19">
        <f>S48/F7*100000</f>
        <v>12.38811979</v>
      </c>
      <c r="U48" s="204">
        <v>21.0</v>
      </c>
      <c r="V48" s="19">
        <f>U48/G7*100000</f>
        <v>12.65731231</v>
      </c>
      <c r="W48" s="204">
        <v>12.0</v>
      </c>
      <c r="X48" s="19">
        <f>W48/H7*100000</f>
        <v>7.047961377</v>
      </c>
      <c r="Y48" s="19">
        <f t="shared" ref="Y48:Z48" si="55">((M48+O48+Q48+S48)/4)</f>
        <v>23.25</v>
      </c>
      <c r="Z48" s="19">
        <f t="shared" si="55"/>
        <v>15.17356492</v>
      </c>
      <c r="AA48" s="19">
        <f t="shared" si="3"/>
        <v>20.5</v>
      </c>
      <c r="AB48" s="19">
        <f t="shared" si="4"/>
        <v>9.852636844</v>
      </c>
      <c r="AC48" s="92" t="s">
        <v>28</v>
      </c>
    </row>
    <row r="49" ht="14.25" customHeight="1">
      <c r="A49" s="1"/>
      <c r="B49" s="93"/>
      <c r="C49" s="1"/>
      <c r="D49" s="1"/>
      <c r="E49" s="1"/>
      <c r="F49" s="1"/>
      <c r="G49" s="1"/>
      <c r="H49" s="1"/>
      <c r="I49" s="1"/>
      <c r="J49" s="1"/>
      <c r="K49" s="1"/>
      <c r="L49" s="15" t="s">
        <v>120</v>
      </c>
      <c r="M49" s="203">
        <v>94.0</v>
      </c>
      <c r="N49" s="19">
        <f>M49/C7*100000</f>
        <v>64.22870887</v>
      </c>
      <c r="O49" s="202">
        <v>112.0</v>
      </c>
      <c r="P49" s="19">
        <f>O49/D7*100000</f>
        <v>73.58980256</v>
      </c>
      <c r="Q49" s="203">
        <v>105.0</v>
      </c>
      <c r="R49" s="19">
        <f>Q49/E7*100000</f>
        <v>66.88622335</v>
      </c>
      <c r="S49" s="202">
        <v>81.0</v>
      </c>
      <c r="T49" s="19">
        <f>S49/F7*100000</f>
        <v>50.17188516</v>
      </c>
      <c r="U49" s="202">
        <v>82.0</v>
      </c>
      <c r="V49" s="19">
        <f>U49/G7*100000</f>
        <v>49.42379093</v>
      </c>
      <c r="W49" s="202">
        <v>41.0</v>
      </c>
      <c r="X49" s="19">
        <f>W49/H7*100000</f>
        <v>24.08053471</v>
      </c>
      <c r="Y49" s="19">
        <f t="shared" ref="Y49:Z49" si="56">((M49+O49+Q49+S49)/4)</f>
        <v>98</v>
      </c>
      <c r="Z49" s="19">
        <f t="shared" si="56"/>
        <v>63.71915498</v>
      </c>
      <c r="AA49" s="19">
        <f t="shared" si="3"/>
        <v>81.5</v>
      </c>
      <c r="AB49" s="19">
        <f t="shared" si="4"/>
        <v>36.75216282</v>
      </c>
      <c r="AC49" s="92" t="s">
        <v>28</v>
      </c>
    </row>
    <row r="50" ht="14.2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5" t="s">
        <v>121</v>
      </c>
      <c r="M50" s="205">
        <v>7.0</v>
      </c>
      <c r="N50" s="19">
        <f>M50/C7*100000</f>
        <v>4.782988958</v>
      </c>
      <c r="O50" s="205">
        <v>8.0</v>
      </c>
      <c r="P50" s="19">
        <f>O50/D7*100000</f>
        <v>5.256414468</v>
      </c>
      <c r="Q50" s="205">
        <v>6.0</v>
      </c>
      <c r="R50" s="19">
        <f>Q50/E7*100000</f>
        <v>3.822069906</v>
      </c>
      <c r="S50" s="204">
        <v>5.0</v>
      </c>
      <c r="T50" s="19">
        <f>S50/F7*100000</f>
        <v>3.097029948</v>
      </c>
      <c r="U50" s="204">
        <v>9.0</v>
      </c>
      <c r="V50" s="19">
        <f>U50/G7*100000</f>
        <v>5.424562419</v>
      </c>
      <c r="W50" s="204">
        <v>2.0</v>
      </c>
      <c r="X50" s="19">
        <f>W50/H7*100000</f>
        <v>1.17466023</v>
      </c>
      <c r="Y50" s="19">
        <f t="shared" ref="Y50:Z50" si="57">((M50+O50+Q50+S50)/4)</f>
        <v>6.5</v>
      </c>
      <c r="Z50" s="19">
        <f t="shared" si="57"/>
        <v>4.23962582</v>
      </c>
      <c r="AA50" s="19">
        <f t="shared" si="3"/>
        <v>7</v>
      </c>
      <c r="AB50" s="19">
        <f t="shared" si="4"/>
        <v>3.299611324</v>
      </c>
      <c r="AC50" s="22" t="s">
        <v>57</v>
      </c>
    </row>
    <row r="51" ht="14.2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5" t="s">
        <v>122</v>
      </c>
      <c r="M51" s="203">
        <v>1.0</v>
      </c>
      <c r="N51" s="19">
        <f>M51/C7*100000</f>
        <v>0.6832841369</v>
      </c>
      <c r="O51" s="203">
        <v>2.0</v>
      </c>
      <c r="P51" s="19">
        <f>O51/D7*100000</f>
        <v>1.314103617</v>
      </c>
      <c r="Q51" s="203">
        <v>3.0</v>
      </c>
      <c r="R51" s="19">
        <f>Q51/E7*100000</f>
        <v>1.911034953</v>
      </c>
      <c r="S51" s="202">
        <v>1.0</v>
      </c>
      <c r="T51" s="19">
        <f>S51/F7*100000</f>
        <v>0.6194059897</v>
      </c>
      <c r="U51" s="202">
        <v>5.0</v>
      </c>
      <c r="V51" s="19">
        <f>U51/G7*100000</f>
        <v>3.013645788</v>
      </c>
      <c r="W51" s="202">
        <v>1.0</v>
      </c>
      <c r="X51" s="19">
        <f>W51/H7*100000</f>
        <v>0.5873301148</v>
      </c>
      <c r="Y51" s="19">
        <f t="shared" ref="Y51:Z51" si="58">((M51+O51+Q51+S51)/4)</f>
        <v>1.75</v>
      </c>
      <c r="Z51" s="19">
        <f t="shared" si="58"/>
        <v>1.131957174</v>
      </c>
      <c r="AA51" s="19">
        <f t="shared" si="3"/>
        <v>3</v>
      </c>
      <c r="AB51" s="19">
        <f t="shared" si="4"/>
        <v>1.800487951</v>
      </c>
      <c r="AC51" s="22" t="s">
        <v>57</v>
      </c>
    </row>
    <row r="52" ht="14.25" customHeight="1">
      <c r="A52" s="1"/>
      <c r="B52" s="93"/>
      <c r="C52" s="1"/>
      <c r="D52" s="1"/>
      <c r="E52" s="1"/>
      <c r="F52" s="1"/>
      <c r="G52" s="1"/>
      <c r="H52" s="1"/>
      <c r="I52" s="1"/>
      <c r="J52" s="1"/>
      <c r="K52" s="1"/>
      <c r="L52" s="15" t="s">
        <v>123</v>
      </c>
      <c r="M52" s="205">
        <v>17.0</v>
      </c>
      <c r="N52" s="19">
        <f>M52/C7*100000</f>
        <v>11.61583033</v>
      </c>
      <c r="O52" s="205">
        <v>13.0</v>
      </c>
      <c r="P52" s="19">
        <f>O52/D7*100000</f>
        <v>8.541673511</v>
      </c>
      <c r="Q52" s="205">
        <v>28.0</v>
      </c>
      <c r="R52" s="19">
        <f>Q52/E7*100000</f>
        <v>17.83632623</v>
      </c>
      <c r="S52" s="204">
        <v>21.0</v>
      </c>
      <c r="T52" s="19">
        <f>S52/F7*100000</f>
        <v>13.00752578</v>
      </c>
      <c r="U52" s="204">
        <v>12.0</v>
      </c>
      <c r="V52" s="19">
        <f>U52/G7*100000</f>
        <v>7.232749892</v>
      </c>
      <c r="W52" s="204">
        <v>7.0</v>
      </c>
      <c r="X52" s="19">
        <f>W52/H7*100000</f>
        <v>4.111310803</v>
      </c>
      <c r="Y52" s="19">
        <f t="shared" ref="Y52:Z52" si="59">((M52+O52+Q52+S52)/4)</f>
        <v>19.75</v>
      </c>
      <c r="Z52" s="19">
        <f t="shared" si="59"/>
        <v>12.75033896</v>
      </c>
      <c r="AA52" s="19">
        <f t="shared" si="3"/>
        <v>16.5</v>
      </c>
      <c r="AB52" s="19">
        <f t="shared" si="4"/>
        <v>5.672030347</v>
      </c>
      <c r="AC52" s="22" t="s">
        <v>57</v>
      </c>
    </row>
    <row r="53" ht="14.2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5" t="s">
        <v>124</v>
      </c>
      <c r="M53" s="203">
        <v>2.0</v>
      </c>
      <c r="N53" s="19">
        <f>M53/C17*100000</f>
        <v>4.731376121</v>
      </c>
      <c r="O53" s="203">
        <v>1.0</v>
      </c>
      <c r="P53" s="19">
        <f>O53/D17*100000</f>
        <v>2.303616678</v>
      </c>
      <c r="Q53" s="203">
        <v>6.0</v>
      </c>
      <c r="R53" s="19">
        <f>Q53/E17*100000</f>
        <v>13.55350245</v>
      </c>
      <c r="S53" s="202">
        <v>2.0</v>
      </c>
      <c r="T53" s="19">
        <f>S53/F17*100000</f>
        <v>4.438821937</v>
      </c>
      <c r="U53" s="202">
        <v>2.0</v>
      </c>
      <c r="V53" s="19">
        <f>U53/G17*100000</f>
        <v>4.36919716</v>
      </c>
      <c r="W53" s="202">
        <v>1.0</v>
      </c>
      <c r="X53" s="19">
        <f>W53/H17*100000</f>
        <v>2.15086142</v>
      </c>
      <c r="Y53" s="19">
        <f t="shared" ref="Y53:Z53" si="60">((M53+O53+Q53+S53)/4)</f>
        <v>2.75</v>
      </c>
      <c r="Z53" s="19">
        <f t="shared" si="60"/>
        <v>6.256829297</v>
      </c>
      <c r="AA53" s="19">
        <f t="shared" si="3"/>
        <v>2</v>
      </c>
      <c r="AB53" s="19">
        <f t="shared" si="4"/>
        <v>3.26002929</v>
      </c>
      <c r="AC53" s="92" t="s">
        <v>28</v>
      </c>
    </row>
    <row r="54" ht="14.2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5" t="s">
        <v>125</v>
      </c>
      <c r="M54" s="205">
        <v>16.0</v>
      </c>
      <c r="N54" s="19">
        <f>M54/C19*100000</f>
        <v>17.50815223</v>
      </c>
      <c r="O54" s="205">
        <v>29.0</v>
      </c>
      <c r="P54" s="19">
        <f>O54/D19*100000</f>
        <v>30.3992788</v>
      </c>
      <c r="Q54" s="205">
        <v>28.0</v>
      </c>
      <c r="R54" s="19">
        <f>Q54/E19*100000</f>
        <v>28.38259741</v>
      </c>
      <c r="S54" s="204">
        <v>16.0</v>
      </c>
      <c r="T54" s="19">
        <f>S54/F19*100000</f>
        <v>15.74431237</v>
      </c>
      <c r="U54" s="204">
        <v>11.0</v>
      </c>
      <c r="V54" s="19">
        <f>U54/G19*100000</f>
        <v>10.50099282</v>
      </c>
      <c r="W54" s="204">
        <v>4.0</v>
      </c>
      <c r="X54" s="19">
        <f>W54/H19*100000</f>
        <v>3.719234953</v>
      </c>
      <c r="Y54" s="19">
        <f t="shared" ref="Y54:Z54" si="61">((M54+O54+Q54+S54)/4)</f>
        <v>22.25</v>
      </c>
      <c r="Z54" s="19">
        <f t="shared" si="61"/>
        <v>23.0085852</v>
      </c>
      <c r="AA54" s="19">
        <f t="shared" si="3"/>
        <v>13.5</v>
      </c>
      <c r="AB54" s="19">
        <f t="shared" si="4"/>
        <v>7.110113887</v>
      </c>
      <c r="AC54" s="92" t="s">
        <v>28</v>
      </c>
    </row>
    <row r="55" ht="14.25" customHeight="1">
      <c r="A55" s="1"/>
      <c r="B55" s="93"/>
      <c r="C55" s="1"/>
      <c r="D55" s="1"/>
      <c r="E55" s="1"/>
      <c r="F55" s="1"/>
      <c r="G55" s="1"/>
      <c r="H55" s="1"/>
      <c r="I55" s="1"/>
      <c r="J55" s="1"/>
      <c r="K55" s="1"/>
      <c r="L55" s="15" t="s">
        <v>126</v>
      </c>
      <c r="M55" s="203">
        <v>60.0</v>
      </c>
      <c r="N55" s="19">
        <f>M55/C19*100000</f>
        <v>65.65557088</v>
      </c>
      <c r="O55" s="203">
        <v>57.0</v>
      </c>
      <c r="P55" s="19">
        <f>O55/D19*100000</f>
        <v>59.75030661</v>
      </c>
      <c r="Q55" s="203">
        <v>64.0</v>
      </c>
      <c r="R55" s="19">
        <f>Q55/E19*100000</f>
        <v>64.87450837</v>
      </c>
      <c r="S55" s="202">
        <v>50.0</v>
      </c>
      <c r="T55" s="19">
        <f>S55/F19*100000</f>
        <v>49.20097615</v>
      </c>
      <c r="U55" s="202">
        <v>52.0</v>
      </c>
      <c r="V55" s="19">
        <f>U55/G19*100000</f>
        <v>49.64105697</v>
      </c>
      <c r="W55" s="202">
        <v>28.0</v>
      </c>
      <c r="X55" s="19">
        <f>W55/H19*100000</f>
        <v>26.03464467</v>
      </c>
      <c r="Y55" s="19">
        <f t="shared" ref="Y55:Z55" si="62">((M55+O55+Q55+S55)/4)</f>
        <v>57.75</v>
      </c>
      <c r="Z55" s="19">
        <f t="shared" si="62"/>
        <v>59.8703405</v>
      </c>
      <c r="AA55" s="19">
        <f t="shared" si="3"/>
        <v>51</v>
      </c>
      <c r="AB55" s="19">
        <f t="shared" si="4"/>
        <v>37.83785082</v>
      </c>
      <c r="AC55" s="92" t="s">
        <v>28</v>
      </c>
    </row>
    <row r="56" ht="14.2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5" t="s">
        <v>127</v>
      </c>
      <c r="M56" s="205">
        <v>0.0</v>
      </c>
      <c r="N56" s="19">
        <f>M56/C7*100000</f>
        <v>0</v>
      </c>
      <c r="O56" s="205">
        <v>0.0</v>
      </c>
      <c r="P56" s="19">
        <f>O56/D7*100000</f>
        <v>0</v>
      </c>
      <c r="Q56" s="205">
        <v>0.0</v>
      </c>
      <c r="R56" s="19">
        <f>Q56/E7*100000</f>
        <v>0</v>
      </c>
      <c r="S56" s="204">
        <v>0.0</v>
      </c>
      <c r="T56" s="19">
        <f>S56/F7*100000</f>
        <v>0</v>
      </c>
      <c r="U56" s="204">
        <v>0.0</v>
      </c>
      <c r="V56" s="19">
        <f>U56/G7*100000</f>
        <v>0</v>
      </c>
      <c r="W56" s="204">
        <v>0.0</v>
      </c>
      <c r="X56" s="19">
        <f>W56/H7*100000</f>
        <v>0</v>
      </c>
      <c r="Y56" s="19">
        <f t="shared" ref="Y56:Z56" si="63">((M56+O56+Q56+S56)/4)</f>
        <v>0</v>
      </c>
      <c r="Z56" s="19">
        <f t="shared" si="63"/>
        <v>0</v>
      </c>
      <c r="AA56" s="19">
        <f t="shared" si="3"/>
        <v>0</v>
      </c>
      <c r="AB56" s="19">
        <f t="shared" si="4"/>
        <v>0</v>
      </c>
      <c r="AC56" s="92" t="s">
        <v>28</v>
      </c>
    </row>
    <row r="57" ht="14.2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5" t="s">
        <v>128</v>
      </c>
      <c r="M57" s="203">
        <v>0.0</v>
      </c>
      <c r="N57" s="19">
        <f>M57/M4*100000</f>
        <v>0</v>
      </c>
      <c r="O57" s="203">
        <v>0.0</v>
      </c>
      <c r="P57" s="19">
        <f>O57/O4*100000</f>
        <v>0</v>
      </c>
      <c r="Q57" s="203">
        <v>0.0</v>
      </c>
      <c r="R57" s="19">
        <f>Q57/Q4*100000</f>
        <v>0</v>
      </c>
      <c r="S57" s="202">
        <v>0.0</v>
      </c>
      <c r="T57" s="19">
        <f>S57/S4*100000</f>
        <v>0</v>
      </c>
      <c r="U57" s="202">
        <v>0.0</v>
      </c>
      <c r="V57" s="19">
        <f>U57/U4*100000</f>
        <v>0</v>
      </c>
      <c r="W57" s="202">
        <v>0.0</v>
      </c>
      <c r="X57" s="19">
        <f>W57/W4*100000</f>
        <v>0</v>
      </c>
      <c r="Y57" s="19">
        <f t="shared" ref="Y57:Z57" si="64">((M57+O57+Q57+S57)/4)</f>
        <v>0</v>
      </c>
      <c r="Z57" s="19">
        <f t="shared" si="64"/>
        <v>0</v>
      </c>
      <c r="AA57" s="19">
        <f t="shared" si="3"/>
        <v>0</v>
      </c>
      <c r="AB57" s="19">
        <f t="shared" si="4"/>
        <v>0</v>
      </c>
      <c r="AC57" s="22" t="s">
        <v>57</v>
      </c>
    </row>
    <row r="58" ht="14.25" customHeight="1">
      <c r="A58" s="1"/>
      <c r="B58" s="93"/>
      <c r="C58" s="1"/>
      <c r="D58" s="1"/>
      <c r="E58" s="1"/>
      <c r="F58" s="1"/>
      <c r="G58" s="1"/>
      <c r="H58" s="1"/>
      <c r="I58" s="1"/>
      <c r="J58" s="1"/>
      <c r="K58" s="1"/>
      <c r="L58" s="15" t="s">
        <v>129</v>
      </c>
      <c r="M58" s="223">
        <v>155.0</v>
      </c>
      <c r="N58" s="57">
        <f>M58/C7*100000</f>
        <v>105.9090412</v>
      </c>
      <c r="O58" s="223">
        <v>137.0</v>
      </c>
      <c r="P58" s="57">
        <f>O58/D7*100000</f>
        <v>90.01609777</v>
      </c>
      <c r="Q58" s="223">
        <v>158.0</v>
      </c>
      <c r="R58" s="57">
        <f>Q58/E7*100000</f>
        <v>100.6478408</v>
      </c>
      <c r="S58" s="220">
        <v>134.0</v>
      </c>
      <c r="T58" s="57">
        <f>S58/F7*100000</f>
        <v>83.00040261</v>
      </c>
      <c r="U58" s="220">
        <v>164.0</v>
      </c>
      <c r="V58" s="57">
        <f>U58/G7*100000</f>
        <v>98.84758185</v>
      </c>
      <c r="W58" s="220">
        <v>77.0</v>
      </c>
      <c r="X58" s="57">
        <f>W58/H7*100000</f>
        <v>45.22441884</v>
      </c>
      <c r="Y58" s="19">
        <f t="shared" ref="Y58:Z58" si="65">((M58+O58+Q58+S58)/4)</f>
        <v>146</v>
      </c>
      <c r="Z58" s="19">
        <f t="shared" si="65"/>
        <v>94.89334561</v>
      </c>
      <c r="AA58" s="19">
        <f t="shared" si="3"/>
        <v>149</v>
      </c>
      <c r="AB58" s="19">
        <f t="shared" si="4"/>
        <v>72.03600034</v>
      </c>
      <c r="AC58" s="92" t="s">
        <v>28</v>
      </c>
    </row>
    <row r="59" ht="14.25" customHeight="1">
      <c r="A59" s="1"/>
      <c r="B59" s="93"/>
      <c r="C59" s="1"/>
      <c r="D59" s="1"/>
      <c r="E59" s="1"/>
      <c r="F59" s="1"/>
      <c r="G59" s="1"/>
      <c r="H59" s="1"/>
      <c r="I59" s="1"/>
      <c r="J59" s="1"/>
      <c r="K59" s="1"/>
      <c r="L59" s="95" t="s">
        <v>130</v>
      </c>
      <c r="M59" s="225">
        <v>1.0</v>
      </c>
      <c r="N59" s="57">
        <f>M59/C7*100000</f>
        <v>0.6832841369</v>
      </c>
      <c r="O59" s="225">
        <v>2.0</v>
      </c>
      <c r="P59" s="57">
        <f>O59/D7*100000</f>
        <v>1.314103617</v>
      </c>
      <c r="Q59" s="225">
        <v>2.0</v>
      </c>
      <c r="R59" s="57">
        <f>Q59/E7*100000</f>
        <v>1.274023302</v>
      </c>
      <c r="S59" s="226">
        <v>0.0</v>
      </c>
      <c r="T59" s="98">
        <f>S59/F7*100000</f>
        <v>0</v>
      </c>
      <c r="U59" s="226">
        <v>2.0</v>
      </c>
      <c r="V59" s="98">
        <f>U59/G7*100000</f>
        <v>1.205458315</v>
      </c>
      <c r="W59" s="226">
        <v>0.0</v>
      </c>
      <c r="X59" s="98">
        <f>W59/H7*100000</f>
        <v>0</v>
      </c>
      <c r="Y59" s="99">
        <f t="shared" ref="Y59:Z59" si="66">((M59+O59+Q59+S59)/4)</f>
        <v>1.25</v>
      </c>
      <c r="Z59" s="99">
        <f t="shared" si="66"/>
        <v>0.817852764</v>
      </c>
      <c r="AA59" s="19">
        <f t="shared" si="3"/>
        <v>1</v>
      </c>
      <c r="AB59" s="19">
        <f t="shared" si="4"/>
        <v>0.6027291576</v>
      </c>
      <c r="AC59" s="100" t="s">
        <v>28</v>
      </c>
    </row>
    <row r="60" ht="16.5" customHeight="1">
      <c r="A60" s="1"/>
      <c r="B60" s="93"/>
      <c r="C60" s="1"/>
      <c r="D60" s="1"/>
      <c r="E60" s="1"/>
      <c r="F60" s="1"/>
      <c r="G60" s="1"/>
      <c r="H60" s="1"/>
      <c r="I60" s="1"/>
      <c r="J60" s="1"/>
      <c r="K60" s="1"/>
      <c r="L60" s="15" t="s">
        <v>131</v>
      </c>
      <c r="M60" s="227">
        <v>12.0</v>
      </c>
      <c r="N60" s="57">
        <f>M60/C17*100000</f>
        <v>28.38825672</v>
      </c>
      <c r="O60" s="227">
        <v>6.0</v>
      </c>
      <c r="P60" s="57">
        <f>O60/D17*100000</f>
        <v>13.82170007</v>
      </c>
      <c r="Q60" s="227">
        <v>10.0</v>
      </c>
      <c r="R60" s="57">
        <f>Q60/E17*100000</f>
        <v>22.58917075</v>
      </c>
      <c r="S60" s="228">
        <v>10.0</v>
      </c>
      <c r="T60" s="57">
        <f>S60/F17*100000</f>
        <v>22.19410968</v>
      </c>
      <c r="U60" s="228">
        <v>9.0</v>
      </c>
      <c r="V60" s="57">
        <f>U60/G17*100000</f>
        <v>19.66138722</v>
      </c>
      <c r="W60" s="228">
        <v>3.0</v>
      </c>
      <c r="X60" s="57">
        <f>W60/H17*100000</f>
        <v>6.45258426</v>
      </c>
      <c r="Y60" s="99">
        <f>((M60+O60+Q60+S60)/4)</f>
        <v>9.5</v>
      </c>
      <c r="Z60" s="99">
        <f>((N60+P60+R60+T60)/1)</f>
        <v>86.99323723</v>
      </c>
      <c r="AA60" s="19">
        <f t="shared" si="3"/>
        <v>9.5</v>
      </c>
      <c r="AB60" s="19">
        <f t="shared" si="4"/>
        <v>13.05698574</v>
      </c>
      <c r="AC60" s="92" t="s">
        <v>57</v>
      </c>
    </row>
    <row r="61" ht="14.25" customHeight="1">
      <c r="A61" s="1"/>
      <c r="B61" s="93"/>
      <c r="C61" s="1"/>
      <c r="D61" s="1"/>
      <c r="E61" s="1"/>
      <c r="F61" s="1"/>
      <c r="G61" s="1"/>
      <c r="H61" s="1"/>
      <c r="I61" s="1"/>
      <c r="J61" s="1"/>
      <c r="K61" s="1"/>
      <c r="L61" s="15" t="s">
        <v>132</v>
      </c>
      <c r="M61" s="225">
        <v>985.0</v>
      </c>
      <c r="N61" s="57">
        <f>M61/C15*1000</f>
        <v>85.69688533</v>
      </c>
      <c r="O61" s="225">
        <v>1249.0</v>
      </c>
      <c r="P61" s="57">
        <f>O61/D15*1000</f>
        <v>105.4542384</v>
      </c>
      <c r="Q61" s="225">
        <v>2017.0</v>
      </c>
      <c r="R61" s="57">
        <f>Q61/E15*1000</f>
        <v>167.3720023</v>
      </c>
      <c r="S61" s="226">
        <v>917.0</v>
      </c>
      <c r="T61" s="57">
        <f>S61/F15*1000</f>
        <v>75.31208936</v>
      </c>
      <c r="U61" s="226">
        <v>1436.0</v>
      </c>
      <c r="V61" s="57">
        <f>U61/G15*1000</f>
        <v>119.427811</v>
      </c>
      <c r="W61" s="226">
        <v>761.0</v>
      </c>
      <c r="X61" s="57">
        <f>W61/H23*1000</f>
        <v>52.07335432</v>
      </c>
      <c r="Y61" s="99">
        <f t="shared" ref="Y61:Z61" si="67">((M61+O61+Q61+S61)/1)</f>
        <v>5168</v>
      </c>
      <c r="Z61" s="99">
        <f t="shared" si="67"/>
        <v>433.8352154</v>
      </c>
      <c r="AA61" s="19">
        <f t="shared" si="3"/>
        <v>1176.5</v>
      </c>
      <c r="AB61" s="19">
        <f t="shared" si="4"/>
        <v>85.75058268</v>
      </c>
      <c r="AC61" s="92" t="s">
        <v>57</v>
      </c>
    </row>
    <row r="62" ht="15.75" customHeight="1">
      <c r="A62" s="1"/>
      <c r="B62" s="93"/>
      <c r="C62" s="1"/>
      <c r="D62" s="1"/>
      <c r="E62" s="1"/>
      <c r="F62" s="1"/>
      <c r="G62" s="1"/>
      <c r="H62" s="1"/>
      <c r="I62" s="1"/>
      <c r="J62" s="1"/>
      <c r="K62" s="1"/>
      <c r="L62" s="15" t="s">
        <v>133</v>
      </c>
      <c r="M62" s="227">
        <v>1771.0</v>
      </c>
      <c r="N62" s="57">
        <f>M62/C15*1000</f>
        <v>154.0803898</v>
      </c>
      <c r="O62" s="227">
        <v>2310.0</v>
      </c>
      <c r="P62" s="57">
        <f>O62/D15*1000</f>
        <v>195.035461</v>
      </c>
      <c r="Q62" s="227">
        <v>8181.0</v>
      </c>
      <c r="R62" s="57">
        <f>Q62/E15*1000</f>
        <v>678.8648245</v>
      </c>
      <c r="S62" s="228">
        <v>6555.0</v>
      </c>
      <c r="T62" s="57">
        <f>S62/F15*1000</f>
        <v>538.3541393</v>
      </c>
      <c r="U62" s="228">
        <v>5980.0</v>
      </c>
      <c r="V62" s="57">
        <f>U62/G15*1000</f>
        <v>497.338656</v>
      </c>
      <c r="W62" s="228">
        <v>3427.0</v>
      </c>
      <c r="X62" s="57">
        <f>W62/H15*1000</f>
        <v>283.5043018</v>
      </c>
      <c r="Y62" s="99">
        <f t="shared" ref="Y62:Z62" si="68">((M62+O62+Q62+S62)/1)</f>
        <v>18817</v>
      </c>
      <c r="Z62" s="99">
        <f t="shared" si="68"/>
        <v>1566.334815</v>
      </c>
      <c r="AA62" s="19">
        <f t="shared" si="3"/>
        <v>6267.5</v>
      </c>
      <c r="AB62" s="19">
        <f t="shared" si="4"/>
        <v>390.4214789</v>
      </c>
      <c r="AC62" s="92" t="s">
        <v>57</v>
      </c>
    </row>
    <row r="63" ht="18.75" customHeight="1">
      <c r="A63" s="1"/>
      <c r="B63" s="93"/>
      <c r="C63" s="1"/>
      <c r="D63" s="1"/>
      <c r="E63" s="1"/>
      <c r="F63" s="1"/>
      <c r="G63" s="1"/>
      <c r="H63" s="1"/>
      <c r="I63" s="1"/>
      <c r="J63" s="1"/>
      <c r="K63" s="1"/>
      <c r="L63" s="15" t="s">
        <v>134</v>
      </c>
      <c r="M63" s="225">
        <v>22.0</v>
      </c>
      <c r="N63" s="57">
        <f>M63/C17*100000</f>
        <v>52.04513733</v>
      </c>
      <c r="O63" s="225">
        <v>151.0</v>
      </c>
      <c r="P63" s="57">
        <f>O63/D17*100000</f>
        <v>347.8461184</v>
      </c>
      <c r="Q63" s="225">
        <v>239.0</v>
      </c>
      <c r="R63" s="57">
        <f>Q63/E17*100000</f>
        <v>539.881181</v>
      </c>
      <c r="S63" s="226">
        <v>224.0</v>
      </c>
      <c r="T63" s="57">
        <f>S63/F17*100000</f>
        <v>497.1480569</v>
      </c>
      <c r="U63" s="226">
        <v>218.0</v>
      </c>
      <c r="V63" s="57">
        <f>U63/G17*100000</f>
        <v>476.2424904</v>
      </c>
      <c r="W63" s="226">
        <v>122.0</v>
      </c>
      <c r="X63" s="57">
        <f>W63/H17*100000</f>
        <v>262.4050932</v>
      </c>
      <c r="Y63" s="99">
        <f t="shared" ref="Y63:Z63" si="69">((M63+O63+Q63+S63)/1)</f>
        <v>636</v>
      </c>
      <c r="Z63" s="99">
        <f t="shared" si="69"/>
        <v>1436.920494</v>
      </c>
      <c r="AA63" s="19">
        <f t="shared" si="3"/>
        <v>221</v>
      </c>
      <c r="AB63" s="19">
        <f t="shared" si="4"/>
        <v>369.3237918</v>
      </c>
      <c r="AC63" s="92" t="s">
        <v>57</v>
      </c>
    </row>
    <row r="64" ht="14.25" customHeight="1">
      <c r="A64" s="1"/>
      <c r="C64" s="1"/>
      <c r="D64" s="1"/>
      <c r="E64" s="1"/>
      <c r="F64" s="1"/>
      <c r="G64" s="1"/>
      <c r="H64" s="1"/>
      <c r="I64" s="1"/>
      <c r="J64" s="1"/>
      <c r="K64" s="1"/>
      <c r="L64" s="15" t="s">
        <v>135</v>
      </c>
      <c r="M64" s="227">
        <v>16.0</v>
      </c>
      <c r="N64" s="57">
        <f>M64/C17*100000</f>
        <v>37.85100897</v>
      </c>
      <c r="O64" s="227">
        <v>22.0</v>
      </c>
      <c r="P64" s="57">
        <f>O64/D17*100000</f>
        <v>50.67956692</v>
      </c>
      <c r="Q64" s="227">
        <v>37.0</v>
      </c>
      <c r="R64" s="57">
        <f>Q64/E17*100000</f>
        <v>83.57993178</v>
      </c>
      <c r="S64" s="228">
        <v>17.0</v>
      </c>
      <c r="T64" s="57">
        <f>S64/F17*100000</f>
        <v>37.72998646</v>
      </c>
      <c r="U64" s="228">
        <v>25.0</v>
      </c>
      <c r="V64" s="57">
        <f>U64/G17*100000</f>
        <v>54.6149645</v>
      </c>
      <c r="W64" s="228">
        <v>11.0</v>
      </c>
      <c r="X64" s="57">
        <f>W64/H17*100000</f>
        <v>23.65947562</v>
      </c>
      <c r="Y64" s="99">
        <f t="shared" ref="Y64:Z64" si="70">((M64+O64+Q64+S64)/1)</f>
        <v>92</v>
      </c>
      <c r="Z64" s="99">
        <f t="shared" si="70"/>
        <v>209.8404941</v>
      </c>
      <c r="AA64" s="19">
        <f t="shared" si="3"/>
        <v>21</v>
      </c>
      <c r="AB64" s="19">
        <f t="shared" si="4"/>
        <v>39.13722006</v>
      </c>
      <c r="AC64" s="92" t="s">
        <v>136</v>
      </c>
    </row>
    <row r="65" ht="14.25" customHeight="1">
      <c r="A65" s="1"/>
      <c r="C65" s="1"/>
      <c r="D65" s="1"/>
      <c r="E65" s="1"/>
      <c r="F65" s="1"/>
      <c r="G65" s="1"/>
      <c r="H65" s="1"/>
      <c r="I65" s="1"/>
      <c r="J65" s="1"/>
      <c r="K65" s="1"/>
      <c r="L65" s="103" t="s">
        <v>137</v>
      </c>
      <c r="M65" s="225">
        <v>78.0</v>
      </c>
      <c r="N65" s="57">
        <f>M65/C17*100000</f>
        <v>184.5236687</v>
      </c>
      <c r="O65" s="225">
        <v>88.0</v>
      </c>
      <c r="P65" s="57">
        <f>O65/D17*100000</f>
        <v>202.7182677</v>
      </c>
      <c r="Q65" s="225">
        <v>116.0</v>
      </c>
      <c r="R65" s="57">
        <f>Q65/E17*100000</f>
        <v>262.0343807</v>
      </c>
      <c r="S65" s="225">
        <v>122.0</v>
      </c>
      <c r="T65" s="57">
        <f>S65/F17*100000</f>
        <v>270.7681381</v>
      </c>
      <c r="U65" s="225">
        <v>104.0</v>
      </c>
      <c r="V65" s="57">
        <f>U65/G17*100000</f>
        <v>227.1982523</v>
      </c>
      <c r="W65" s="226">
        <v>43.0</v>
      </c>
      <c r="X65" s="57">
        <f>W65/H17*100000</f>
        <v>92.48704106</v>
      </c>
      <c r="Y65" s="99">
        <f t="shared" ref="Y65:Z65" si="71">((M65+O65+Q65+S65)/1)</f>
        <v>404</v>
      </c>
      <c r="Z65" s="99">
        <f t="shared" si="71"/>
        <v>920.0444552</v>
      </c>
      <c r="AA65" s="19">
        <f t="shared" si="3"/>
        <v>113</v>
      </c>
      <c r="AB65" s="19">
        <f t="shared" si="4"/>
        <v>159.8426467</v>
      </c>
      <c r="AC65" s="92" t="s">
        <v>57</v>
      </c>
    </row>
    <row r="66" ht="14.25" customHeight="1">
      <c r="A66" s="1"/>
      <c r="C66" s="1"/>
      <c r="D66" s="1"/>
      <c r="E66" s="1"/>
      <c r="F66" s="1"/>
      <c r="G66" s="1"/>
      <c r="H66" s="1"/>
      <c r="I66" s="1"/>
      <c r="J66" s="1"/>
      <c r="K66" s="1"/>
      <c r="L66" s="103" t="s">
        <v>138</v>
      </c>
      <c r="M66" s="227">
        <v>114.0</v>
      </c>
      <c r="N66" s="57">
        <f>M66/C17*100000</f>
        <v>269.6884389</v>
      </c>
      <c r="O66" s="227">
        <v>58.0</v>
      </c>
      <c r="P66" s="57">
        <f>O66/D17*100000</f>
        <v>133.6097673</v>
      </c>
      <c r="Q66" s="227">
        <v>131.0</v>
      </c>
      <c r="R66" s="57">
        <f>Q66/E17*100000</f>
        <v>295.9181368</v>
      </c>
      <c r="S66" s="227">
        <v>202.0</v>
      </c>
      <c r="T66" s="57">
        <f>S66/F17*100000</f>
        <v>448.3210156</v>
      </c>
      <c r="U66" s="227">
        <v>228.0</v>
      </c>
      <c r="V66" s="57">
        <f>U66/G17*100000</f>
        <v>498.0884762</v>
      </c>
      <c r="W66" s="228">
        <v>109.0</v>
      </c>
      <c r="X66" s="57">
        <f>W66/H17*100000</f>
        <v>234.4438948</v>
      </c>
      <c r="Y66" s="99">
        <f t="shared" ref="Y66:Z66" si="72">((M66+O66+Q66+S66)/1)</f>
        <v>505</v>
      </c>
      <c r="Z66" s="99">
        <f t="shared" si="72"/>
        <v>1147.537359</v>
      </c>
      <c r="AA66" s="19">
        <f t="shared" si="3"/>
        <v>215</v>
      </c>
      <c r="AB66" s="19">
        <f t="shared" si="4"/>
        <v>366.2661855</v>
      </c>
      <c r="AC66" s="92" t="s">
        <v>57</v>
      </c>
    </row>
    <row r="67" ht="14.2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5" t="s">
        <v>139</v>
      </c>
      <c r="M67" s="225">
        <v>6.0</v>
      </c>
      <c r="N67" s="57">
        <f>M67/C17*100000</f>
        <v>14.19412836</v>
      </c>
      <c r="O67" s="225">
        <v>7.0</v>
      </c>
      <c r="P67" s="57">
        <f>O67/D17*100000</f>
        <v>16.12531675</v>
      </c>
      <c r="Q67" s="225">
        <v>8.0</v>
      </c>
      <c r="R67" s="57">
        <f>Q67/E17*100000</f>
        <v>18.0713366</v>
      </c>
      <c r="S67" s="225">
        <v>5.0</v>
      </c>
      <c r="T67" s="57">
        <f>S67/F17*100000</f>
        <v>11.09705484</v>
      </c>
      <c r="U67" s="225">
        <v>10.0</v>
      </c>
      <c r="V67" s="57">
        <f>U67/G17*100000</f>
        <v>21.8459858</v>
      </c>
      <c r="W67" s="226">
        <v>14.0</v>
      </c>
      <c r="X67" s="57">
        <f>W67/H17*100000</f>
        <v>30.11205988</v>
      </c>
      <c r="Y67" s="99">
        <f t="shared" ref="Y67:Z67" si="73">((M67+O67+Q67+S67)/1)</f>
        <v>26</v>
      </c>
      <c r="Z67" s="99">
        <f t="shared" si="73"/>
        <v>59.48783655</v>
      </c>
      <c r="AA67" s="19">
        <f t="shared" si="3"/>
        <v>7.5</v>
      </c>
      <c r="AB67" s="19">
        <f t="shared" si="4"/>
        <v>25.97902284</v>
      </c>
      <c r="AC67" s="92" t="s">
        <v>57</v>
      </c>
    </row>
    <row r="68" ht="14.2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5" t="s">
        <v>140</v>
      </c>
      <c r="M68" s="227">
        <v>17.0</v>
      </c>
      <c r="N68" s="57">
        <f>M68/C11*100000</f>
        <v>22.56856862</v>
      </c>
      <c r="O68" s="227">
        <v>16.0</v>
      </c>
      <c r="P68" s="57">
        <f>O68/D11*100000</f>
        <v>20.42927004</v>
      </c>
      <c r="Q68" s="227">
        <v>38.0</v>
      </c>
      <c r="R68" s="57">
        <f>Q68/E11*100000</f>
        <v>47.04367634</v>
      </c>
      <c r="S68" s="227">
        <v>34.0</v>
      </c>
      <c r="T68" s="57">
        <f>S68/F11*100000</f>
        <v>40.93130763</v>
      </c>
      <c r="U68" s="227">
        <v>33.0</v>
      </c>
      <c r="V68" s="57">
        <f>U68/G11*100000</f>
        <v>38.65300146</v>
      </c>
      <c r="W68" s="228">
        <v>15.0</v>
      </c>
      <c r="X68" s="57">
        <f>W68/H11*100000</f>
        <v>17.12074692</v>
      </c>
      <c r="Y68" s="99">
        <f t="shared" ref="Y68:Z68" si="74">((M68+O68+Q68+S68)/2)</f>
        <v>52.5</v>
      </c>
      <c r="Z68" s="99">
        <f t="shared" si="74"/>
        <v>65.48641132</v>
      </c>
      <c r="AA68" s="19">
        <f t="shared" si="3"/>
        <v>33.5</v>
      </c>
      <c r="AB68" s="19">
        <f t="shared" si="4"/>
        <v>27.88687419</v>
      </c>
      <c r="AC68" s="92" t="s">
        <v>57</v>
      </c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5" t="s">
        <v>141</v>
      </c>
      <c r="M69" s="225">
        <v>19.0</v>
      </c>
      <c r="N69" s="57">
        <f>M69/C11*100000</f>
        <v>25.22369434</v>
      </c>
      <c r="O69" s="225">
        <v>32.0</v>
      </c>
      <c r="P69" s="57">
        <f>O69/D11*100000</f>
        <v>40.85854007</v>
      </c>
      <c r="Q69" s="225">
        <v>61.0</v>
      </c>
      <c r="R69" s="57">
        <f>Q69/E11*100000</f>
        <v>75.51748044</v>
      </c>
      <c r="S69" s="225">
        <v>43.0</v>
      </c>
      <c r="T69" s="57">
        <f>S69/F11*100000</f>
        <v>51.76606554</v>
      </c>
      <c r="U69" s="225">
        <v>27.0</v>
      </c>
      <c r="V69" s="57">
        <f>U69/G11*100000</f>
        <v>31.62518302</v>
      </c>
      <c r="W69" s="226">
        <v>10.0</v>
      </c>
      <c r="X69" s="57">
        <f>W69/H11*100000</f>
        <v>11.41383128</v>
      </c>
      <c r="Y69" s="19">
        <f t="shared" ref="Y69:Z69" si="75">((M69+O69+Q69+S69)/2)</f>
        <v>77.5</v>
      </c>
      <c r="Z69" s="19">
        <f t="shared" si="75"/>
        <v>96.6828902</v>
      </c>
      <c r="AA69" s="19">
        <f t="shared" si="3"/>
        <v>35</v>
      </c>
      <c r="AB69" s="19">
        <f t="shared" si="4"/>
        <v>21.51950715</v>
      </c>
      <c r="AC69" s="92" t="s">
        <v>57</v>
      </c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95" t="s">
        <v>142</v>
      </c>
      <c r="M70" s="229">
        <v>22.0</v>
      </c>
      <c r="N70" s="98">
        <f>M70/C7*100000</f>
        <v>15.03225101</v>
      </c>
      <c r="O70" s="229">
        <v>11.0</v>
      </c>
      <c r="P70" s="98">
        <f>O70/D7*100000</f>
        <v>7.227569894</v>
      </c>
      <c r="Q70" s="229">
        <v>20.0</v>
      </c>
      <c r="R70" s="98">
        <f>Q70/E7*100000</f>
        <v>12.74023302</v>
      </c>
      <c r="S70" s="229">
        <v>18.0</v>
      </c>
      <c r="T70" s="98">
        <f>S70/F7*100000</f>
        <v>11.14930781</v>
      </c>
      <c r="U70" s="229">
        <v>25.0</v>
      </c>
      <c r="V70" s="98">
        <f>U70/G7*100000</f>
        <v>15.06822894</v>
      </c>
      <c r="W70" s="230">
        <v>10.0</v>
      </c>
      <c r="X70" s="98">
        <f>W70/H7*100000</f>
        <v>5.873301148</v>
      </c>
      <c r="Y70" s="99">
        <f t="shared" ref="Y70:Z70" si="76">((M70+O70+Q70+S70)/1)</f>
        <v>71</v>
      </c>
      <c r="Z70" s="99">
        <f t="shared" si="76"/>
        <v>46.14936174</v>
      </c>
      <c r="AA70" s="99">
        <f t="shared" si="3"/>
        <v>21.5</v>
      </c>
      <c r="AB70" s="99">
        <f t="shared" si="4"/>
        <v>10.47076504</v>
      </c>
      <c r="AC70" s="105" t="s">
        <v>28</v>
      </c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81"/>
      <c r="S71" s="81"/>
      <c r="T71" s="81"/>
      <c r="U71" s="81"/>
      <c r="V71" s="81"/>
      <c r="W71" s="81"/>
      <c r="X71" s="81"/>
      <c r="Y71" s="1"/>
      <c r="Z71" s="1"/>
      <c r="AA71" s="1"/>
      <c r="AB71" s="1"/>
      <c r="AC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81"/>
      <c r="S72" s="81"/>
      <c r="T72" s="81"/>
      <c r="U72" s="81"/>
      <c r="V72" s="81"/>
      <c r="W72" s="81"/>
      <c r="X72" s="81"/>
      <c r="Y72" s="1"/>
      <c r="Z72" s="1"/>
      <c r="AA72" s="1"/>
      <c r="AB72" s="1"/>
      <c r="AC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1"/>
      <c r="S73" s="81"/>
      <c r="T73" s="81"/>
      <c r="U73" s="81"/>
      <c r="V73" s="81"/>
      <c r="W73" s="81"/>
      <c r="X73" s="81"/>
      <c r="Y73" s="1"/>
      <c r="Z73" s="1"/>
      <c r="AA73" s="1"/>
      <c r="AB73" s="1"/>
      <c r="AC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81"/>
      <c r="S74" s="81"/>
      <c r="T74" s="81"/>
      <c r="U74" s="81"/>
      <c r="V74" s="81"/>
      <c r="W74" s="81"/>
      <c r="X74" s="81"/>
      <c r="Y74" s="1"/>
      <c r="Z74" s="1"/>
      <c r="AA74" s="1"/>
      <c r="AB74" s="1"/>
      <c r="AC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81"/>
      <c r="S75" s="81"/>
      <c r="T75" s="81"/>
      <c r="U75" s="81"/>
      <c r="V75" s="81"/>
      <c r="W75" s="81"/>
      <c r="X75" s="81"/>
      <c r="Y75" s="1"/>
      <c r="Z75" s="1"/>
      <c r="AA75" s="1"/>
      <c r="AB75" s="1"/>
      <c r="AC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81"/>
      <c r="S76" s="81"/>
      <c r="T76" s="81"/>
      <c r="U76" s="81"/>
      <c r="V76" s="81"/>
      <c r="W76" s="81"/>
      <c r="X76" s="81"/>
      <c r="Y76" s="1"/>
      <c r="Z76" s="1"/>
      <c r="AA76" s="1"/>
      <c r="AB76" s="1"/>
      <c r="AC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81"/>
      <c r="S77" s="81"/>
      <c r="T77" s="81"/>
      <c r="U77" s="81"/>
      <c r="V77" s="81"/>
      <c r="W77" s="81"/>
      <c r="X77" s="81"/>
      <c r="Y77" s="1"/>
      <c r="Z77" s="1"/>
      <c r="AA77" s="1"/>
      <c r="AB77" s="1"/>
      <c r="AC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81"/>
      <c r="S78" s="81"/>
      <c r="T78" s="81"/>
      <c r="U78" s="81"/>
      <c r="V78" s="81"/>
      <c r="W78" s="81"/>
      <c r="X78" s="81"/>
      <c r="Y78" s="1"/>
      <c r="Z78" s="1"/>
      <c r="AA78" s="1"/>
      <c r="AB78" s="1"/>
      <c r="AC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81"/>
      <c r="S79" s="81"/>
      <c r="T79" s="81"/>
      <c r="U79" s="81"/>
      <c r="V79" s="81"/>
      <c r="W79" s="81"/>
      <c r="X79" s="81"/>
      <c r="Y79" s="1"/>
      <c r="Z79" s="1"/>
      <c r="AA79" s="1"/>
      <c r="AB79" s="1"/>
      <c r="AC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81"/>
      <c r="S80" s="81"/>
      <c r="T80" s="81"/>
      <c r="U80" s="81"/>
      <c r="V80" s="81"/>
      <c r="W80" s="81"/>
      <c r="X80" s="81"/>
      <c r="Y80" s="1"/>
      <c r="Z80" s="1"/>
      <c r="AA80" s="1"/>
      <c r="AB80" s="1"/>
      <c r="AC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81"/>
      <c r="S81" s="81"/>
      <c r="T81" s="81"/>
      <c r="U81" s="81"/>
      <c r="V81" s="81"/>
      <c r="W81" s="81"/>
      <c r="X81" s="81"/>
      <c r="Y81" s="1"/>
      <c r="Z81" s="1"/>
      <c r="AA81" s="1"/>
      <c r="AB81" s="1"/>
      <c r="AC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81"/>
      <c r="S82" s="81"/>
      <c r="T82" s="81"/>
      <c r="U82" s="81"/>
      <c r="V82" s="81"/>
      <c r="W82" s="81"/>
      <c r="X82" s="81"/>
      <c r="Y82" s="1"/>
      <c r="Z82" s="1"/>
      <c r="AA82" s="1"/>
      <c r="AB82" s="1"/>
      <c r="AC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81"/>
      <c r="S83" s="81"/>
      <c r="T83" s="81"/>
      <c r="U83" s="81"/>
      <c r="V83" s="81"/>
      <c r="W83" s="81"/>
      <c r="X83" s="81"/>
      <c r="Y83" s="1"/>
      <c r="Z83" s="1"/>
      <c r="AA83" s="1"/>
      <c r="AB83" s="1"/>
      <c r="AC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81"/>
      <c r="S84" s="81"/>
      <c r="T84" s="81"/>
      <c r="U84" s="81"/>
      <c r="V84" s="81"/>
      <c r="W84" s="81"/>
      <c r="X84" s="81"/>
      <c r="Y84" s="1"/>
      <c r="Z84" s="1"/>
      <c r="AA84" s="1"/>
      <c r="AB84" s="1"/>
      <c r="AC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81"/>
      <c r="S85" s="81"/>
      <c r="T85" s="81"/>
      <c r="U85" s="81"/>
      <c r="V85" s="81"/>
      <c r="W85" s="81"/>
      <c r="X85" s="81"/>
      <c r="Y85" s="1"/>
      <c r="Z85" s="1"/>
      <c r="AA85" s="1"/>
      <c r="AB85" s="1"/>
      <c r="AC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81"/>
      <c r="S86" s="81"/>
      <c r="T86" s="81"/>
      <c r="U86" s="81"/>
      <c r="V86" s="81"/>
      <c r="W86" s="81"/>
      <c r="X86" s="81"/>
      <c r="Y86" s="1"/>
      <c r="Z86" s="1"/>
      <c r="AA86" s="1"/>
      <c r="AB86" s="1"/>
      <c r="AC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81"/>
      <c r="S87" s="81"/>
      <c r="T87" s="81"/>
      <c r="U87" s="81"/>
      <c r="V87" s="81"/>
      <c r="W87" s="81"/>
      <c r="X87" s="81"/>
      <c r="Y87" s="1"/>
      <c r="Z87" s="1"/>
      <c r="AA87" s="1"/>
      <c r="AB87" s="1"/>
      <c r="AC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81"/>
      <c r="S88" s="81"/>
      <c r="T88" s="81"/>
      <c r="U88" s="81"/>
      <c r="V88" s="81"/>
      <c r="W88" s="81"/>
      <c r="X88" s="81"/>
      <c r="Y88" s="1"/>
      <c r="Z88" s="1"/>
      <c r="AA88" s="1"/>
      <c r="AB88" s="1"/>
      <c r="AC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81"/>
      <c r="S89" s="81"/>
      <c r="T89" s="81"/>
      <c r="U89" s="81"/>
      <c r="V89" s="81"/>
      <c r="W89" s="81"/>
      <c r="X89" s="81"/>
      <c r="Y89" s="1"/>
      <c r="Z89" s="1"/>
      <c r="AA89" s="1"/>
      <c r="AB89" s="1"/>
      <c r="AC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81"/>
      <c r="S90" s="81"/>
      <c r="T90" s="81"/>
      <c r="U90" s="81"/>
      <c r="V90" s="81"/>
      <c r="W90" s="81"/>
      <c r="X90" s="81"/>
      <c r="Y90" s="1"/>
      <c r="Z90" s="1"/>
      <c r="AA90" s="1"/>
      <c r="AB90" s="1"/>
      <c r="AC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81"/>
      <c r="S91" s="81"/>
      <c r="T91" s="81"/>
      <c r="U91" s="81"/>
      <c r="V91" s="81"/>
      <c r="W91" s="81"/>
      <c r="X91" s="81"/>
      <c r="Y91" s="1"/>
      <c r="Z91" s="1"/>
      <c r="AA91" s="1"/>
      <c r="AB91" s="1"/>
      <c r="AC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81"/>
      <c r="S92" s="81"/>
      <c r="T92" s="81"/>
      <c r="U92" s="81"/>
      <c r="V92" s="81"/>
      <c r="W92" s="81"/>
      <c r="X92" s="81"/>
      <c r="Y92" s="1"/>
      <c r="Z92" s="1"/>
      <c r="AA92" s="1"/>
      <c r="AB92" s="1"/>
      <c r="AC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1"/>
      <c r="S93" s="81"/>
      <c r="T93" s="81"/>
      <c r="U93" s="81"/>
      <c r="V93" s="81"/>
      <c r="W93" s="81"/>
      <c r="X93" s="81"/>
      <c r="Y93" s="1"/>
      <c r="Z93" s="1"/>
      <c r="AA93" s="1"/>
      <c r="AB93" s="1"/>
      <c r="AC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81"/>
      <c r="S94" s="81"/>
      <c r="T94" s="81"/>
      <c r="U94" s="81"/>
      <c r="V94" s="81"/>
      <c r="W94" s="81"/>
      <c r="X94" s="81"/>
      <c r="Y94" s="1"/>
      <c r="Z94" s="1"/>
      <c r="AA94" s="1"/>
      <c r="AB94" s="1"/>
      <c r="AC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81"/>
      <c r="S95" s="81"/>
      <c r="T95" s="81"/>
      <c r="U95" s="81"/>
      <c r="V95" s="81"/>
      <c r="W95" s="81"/>
      <c r="X95" s="81"/>
      <c r="Y95" s="1"/>
      <c r="Z95" s="1"/>
      <c r="AA95" s="1"/>
      <c r="AB95" s="1"/>
      <c r="AC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81"/>
      <c r="S96" s="81"/>
      <c r="T96" s="81"/>
      <c r="U96" s="81"/>
      <c r="V96" s="81"/>
      <c r="W96" s="81"/>
      <c r="X96" s="81"/>
      <c r="Y96" s="1"/>
      <c r="Z96" s="1"/>
      <c r="AA96" s="1"/>
      <c r="AB96" s="1"/>
      <c r="AC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81"/>
      <c r="S97" s="81"/>
      <c r="T97" s="81"/>
      <c r="U97" s="81"/>
      <c r="V97" s="81"/>
      <c r="W97" s="81"/>
      <c r="X97" s="81"/>
      <c r="Y97" s="1"/>
      <c r="Z97" s="1"/>
      <c r="AA97" s="1"/>
      <c r="AB97" s="1"/>
      <c r="AC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81"/>
      <c r="S98" s="81"/>
      <c r="T98" s="81"/>
      <c r="U98" s="81"/>
      <c r="V98" s="81"/>
      <c r="W98" s="81"/>
      <c r="X98" s="81"/>
      <c r="Y98" s="1"/>
      <c r="Z98" s="1"/>
      <c r="AA98" s="1"/>
      <c r="AB98" s="1"/>
      <c r="AC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81"/>
      <c r="S99" s="81"/>
      <c r="T99" s="81"/>
      <c r="U99" s="81"/>
      <c r="V99" s="81"/>
      <c r="W99" s="81"/>
      <c r="X99" s="81"/>
      <c r="Y99" s="1"/>
      <c r="Z99" s="1"/>
      <c r="AA99" s="1"/>
      <c r="AB99" s="1"/>
      <c r="AC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81"/>
      <c r="S100" s="81"/>
      <c r="T100" s="81"/>
      <c r="U100" s="81"/>
      <c r="V100" s="81"/>
      <c r="W100" s="81"/>
      <c r="X100" s="81"/>
      <c r="Y100" s="1"/>
      <c r="Z100" s="1"/>
      <c r="AA100" s="1"/>
      <c r="AB100" s="1"/>
      <c r="AC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81"/>
      <c r="S101" s="81"/>
      <c r="T101" s="81"/>
      <c r="U101" s="81"/>
      <c r="V101" s="81"/>
      <c r="W101" s="81"/>
      <c r="X101" s="81"/>
      <c r="Y101" s="1"/>
      <c r="Z101" s="1"/>
      <c r="AA101" s="1"/>
      <c r="AB101" s="1"/>
      <c r="AC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81"/>
      <c r="S102" s="81"/>
      <c r="T102" s="81"/>
      <c r="U102" s="81"/>
      <c r="V102" s="81"/>
      <c r="W102" s="81"/>
      <c r="X102" s="81"/>
      <c r="Y102" s="1"/>
      <c r="Z102" s="1"/>
      <c r="AA102" s="1"/>
      <c r="AB102" s="1"/>
      <c r="AC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81"/>
      <c r="S103" s="81"/>
      <c r="T103" s="81"/>
      <c r="U103" s="81"/>
      <c r="V103" s="81"/>
      <c r="W103" s="81"/>
      <c r="X103" s="81"/>
      <c r="Y103" s="1"/>
      <c r="Z103" s="1"/>
      <c r="AA103" s="1"/>
      <c r="AB103" s="1"/>
      <c r="AC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81"/>
      <c r="S104" s="81"/>
      <c r="T104" s="81"/>
      <c r="U104" s="81"/>
      <c r="V104" s="81"/>
      <c r="W104" s="81"/>
      <c r="X104" s="81"/>
      <c r="Y104" s="1"/>
      <c r="Z104" s="1"/>
      <c r="AA104" s="1"/>
      <c r="AB104" s="1"/>
      <c r="AC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81"/>
      <c r="S105" s="81"/>
      <c r="T105" s="81"/>
      <c r="U105" s="81"/>
      <c r="V105" s="81"/>
      <c r="W105" s="81"/>
      <c r="X105" s="81"/>
      <c r="Y105" s="1"/>
      <c r="Z105" s="1"/>
      <c r="AA105" s="1"/>
      <c r="AB105" s="1"/>
      <c r="AC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81"/>
      <c r="S106" s="81"/>
      <c r="T106" s="81"/>
      <c r="U106" s="81"/>
      <c r="V106" s="81"/>
      <c r="W106" s="81"/>
      <c r="X106" s="81"/>
      <c r="Y106" s="1"/>
      <c r="Z106" s="1"/>
      <c r="AA106" s="1"/>
      <c r="AB106" s="1"/>
      <c r="AC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81"/>
      <c r="S107" s="81"/>
      <c r="T107" s="81"/>
      <c r="U107" s="81"/>
      <c r="V107" s="81"/>
      <c r="W107" s="81"/>
      <c r="X107" s="81"/>
      <c r="Y107" s="1"/>
      <c r="Z107" s="1"/>
      <c r="AA107" s="1"/>
      <c r="AB107" s="1"/>
      <c r="AC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81"/>
      <c r="S108" s="81"/>
      <c r="T108" s="81"/>
      <c r="U108" s="81"/>
      <c r="V108" s="81"/>
      <c r="W108" s="81"/>
      <c r="X108" s="81"/>
      <c r="Y108" s="1"/>
      <c r="Z108" s="1"/>
      <c r="AA108" s="1"/>
      <c r="AB108" s="1"/>
      <c r="AC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81"/>
      <c r="S109" s="81"/>
      <c r="T109" s="81"/>
      <c r="U109" s="81"/>
      <c r="V109" s="81"/>
      <c r="W109" s="81"/>
      <c r="X109" s="81"/>
      <c r="Y109" s="1"/>
      <c r="Z109" s="1"/>
      <c r="AA109" s="1"/>
      <c r="AB109" s="1"/>
      <c r="AC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1"/>
      <c r="S110" s="81"/>
      <c r="T110" s="81"/>
      <c r="U110" s="81"/>
      <c r="V110" s="81"/>
      <c r="W110" s="81"/>
      <c r="X110" s="81"/>
      <c r="Y110" s="1"/>
      <c r="Z110" s="1"/>
      <c r="AA110" s="1"/>
      <c r="AB110" s="1"/>
      <c r="AC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81"/>
      <c r="S111" s="81"/>
      <c r="T111" s="81"/>
      <c r="U111" s="81"/>
      <c r="V111" s="81"/>
      <c r="W111" s="81"/>
      <c r="X111" s="81"/>
      <c r="Y111" s="1"/>
      <c r="Z111" s="1"/>
      <c r="AA111" s="1"/>
      <c r="AB111" s="1"/>
      <c r="AC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81"/>
      <c r="S112" s="81"/>
      <c r="T112" s="81"/>
      <c r="U112" s="81"/>
      <c r="V112" s="81"/>
      <c r="W112" s="81"/>
      <c r="X112" s="81"/>
      <c r="Y112" s="1"/>
      <c r="Z112" s="1"/>
      <c r="AA112" s="1"/>
      <c r="AB112" s="1"/>
      <c r="AC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81"/>
      <c r="S113" s="81"/>
      <c r="T113" s="81"/>
      <c r="U113" s="81"/>
      <c r="V113" s="81"/>
      <c r="W113" s="81"/>
      <c r="X113" s="81"/>
      <c r="Y113" s="1"/>
      <c r="Z113" s="1"/>
      <c r="AA113" s="1"/>
      <c r="AB113" s="1"/>
      <c r="AC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81"/>
      <c r="S114" s="81"/>
      <c r="T114" s="81"/>
      <c r="U114" s="81"/>
      <c r="V114" s="81"/>
      <c r="W114" s="81"/>
      <c r="X114" s="81"/>
      <c r="Y114" s="1"/>
      <c r="Z114" s="1"/>
      <c r="AA114" s="1"/>
      <c r="AB114" s="1"/>
      <c r="AC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81"/>
      <c r="S115" s="81"/>
      <c r="T115" s="81"/>
      <c r="U115" s="81"/>
      <c r="V115" s="81"/>
      <c r="W115" s="81"/>
      <c r="X115" s="81"/>
      <c r="Y115" s="1"/>
      <c r="Z115" s="1"/>
      <c r="AA115" s="1"/>
      <c r="AB115" s="1"/>
      <c r="AC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81"/>
      <c r="S116" s="81"/>
      <c r="T116" s="81"/>
      <c r="U116" s="81"/>
      <c r="V116" s="81"/>
      <c r="W116" s="81"/>
      <c r="X116" s="81"/>
      <c r="Y116" s="1"/>
      <c r="Z116" s="1"/>
      <c r="AA116" s="1"/>
      <c r="AB116" s="1"/>
      <c r="AC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81"/>
      <c r="S117" s="81"/>
      <c r="T117" s="81"/>
      <c r="U117" s="81"/>
      <c r="V117" s="81"/>
      <c r="W117" s="81"/>
      <c r="X117" s="81"/>
      <c r="Y117" s="1"/>
      <c r="Z117" s="1"/>
      <c r="AA117" s="1"/>
      <c r="AB117" s="1"/>
      <c r="AC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81"/>
      <c r="S118" s="81"/>
      <c r="T118" s="81"/>
      <c r="U118" s="81"/>
      <c r="V118" s="81"/>
      <c r="W118" s="81"/>
      <c r="X118" s="81"/>
      <c r="Y118" s="1"/>
      <c r="Z118" s="1"/>
      <c r="AA118" s="1"/>
      <c r="AB118" s="1"/>
      <c r="AC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81"/>
      <c r="S119" s="81"/>
      <c r="T119" s="81"/>
      <c r="U119" s="81"/>
      <c r="V119" s="81"/>
      <c r="W119" s="81"/>
      <c r="X119" s="81"/>
      <c r="Y119" s="1"/>
      <c r="Z119" s="1"/>
      <c r="AA119" s="1"/>
      <c r="AB119" s="1"/>
      <c r="AC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81"/>
      <c r="S120" s="81"/>
      <c r="T120" s="81"/>
      <c r="U120" s="81"/>
      <c r="V120" s="81"/>
      <c r="W120" s="81"/>
      <c r="X120" s="81"/>
      <c r="Y120" s="1"/>
      <c r="Z120" s="1"/>
      <c r="AA120" s="1"/>
      <c r="AB120" s="1"/>
      <c r="AC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81"/>
      <c r="S121" s="81"/>
      <c r="T121" s="81"/>
      <c r="U121" s="81"/>
      <c r="V121" s="81"/>
      <c r="W121" s="81"/>
      <c r="X121" s="81"/>
      <c r="Y121" s="1"/>
      <c r="Z121" s="1"/>
      <c r="AA121" s="1"/>
      <c r="AB121" s="1"/>
      <c r="AC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81"/>
      <c r="S122" s="81"/>
      <c r="T122" s="81"/>
      <c r="U122" s="81"/>
      <c r="V122" s="81"/>
      <c r="W122" s="81"/>
      <c r="X122" s="81"/>
      <c r="Y122" s="1"/>
      <c r="Z122" s="1"/>
      <c r="AA122" s="1"/>
      <c r="AB122" s="1"/>
      <c r="AC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81"/>
      <c r="S123" s="81"/>
      <c r="T123" s="81"/>
      <c r="U123" s="81"/>
      <c r="V123" s="81"/>
      <c r="W123" s="81"/>
      <c r="X123" s="81"/>
      <c r="Y123" s="1"/>
      <c r="Z123" s="1"/>
      <c r="AA123" s="1"/>
      <c r="AB123" s="1"/>
      <c r="AC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81"/>
      <c r="S124" s="81"/>
      <c r="T124" s="81"/>
      <c r="U124" s="81"/>
      <c r="V124" s="81"/>
      <c r="W124" s="81"/>
      <c r="X124" s="81"/>
      <c r="Y124" s="1"/>
      <c r="Z124" s="1"/>
      <c r="AA124" s="1"/>
      <c r="AB124" s="1"/>
      <c r="AC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81"/>
      <c r="S125" s="81"/>
      <c r="T125" s="81"/>
      <c r="U125" s="81"/>
      <c r="V125" s="81"/>
      <c r="W125" s="81"/>
      <c r="X125" s="81"/>
      <c r="Y125" s="1"/>
      <c r="Z125" s="1"/>
      <c r="AA125" s="1"/>
      <c r="AB125" s="1"/>
      <c r="AC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81"/>
      <c r="S126" s="81"/>
      <c r="T126" s="81"/>
      <c r="U126" s="81"/>
      <c r="V126" s="81"/>
      <c r="W126" s="81"/>
      <c r="X126" s="81"/>
      <c r="Y126" s="1"/>
      <c r="Z126" s="1"/>
      <c r="AA126" s="1"/>
      <c r="AB126" s="1"/>
      <c r="AC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81"/>
      <c r="S127" s="81"/>
      <c r="T127" s="81"/>
      <c r="U127" s="81"/>
      <c r="V127" s="81"/>
      <c r="W127" s="81"/>
      <c r="X127" s="81"/>
      <c r="Y127" s="1"/>
      <c r="Z127" s="1"/>
      <c r="AA127" s="1"/>
      <c r="AB127" s="1"/>
      <c r="AC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81"/>
      <c r="S128" s="81"/>
      <c r="T128" s="81"/>
      <c r="U128" s="81"/>
      <c r="V128" s="81"/>
      <c r="W128" s="81"/>
      <c r="X128" s="81"/>
      <c r="Y128" s="1"/>
      <c r="Z128" s="1"/>
      <c r="AA128" s="1"/>
      <c r="AB128" s="1"/>
      <c r="AC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81"/>
      <c r="S129" s="81"/>
      <c r="T129" s="81"/>
      <c r="U129" s="81"/>
      <c r="V129" s="81"/>
      <c r="W129" s="81"/>
      <c r="X129" s="81"/>
      <c r="Y129" s="1"/>
      <c r="Z129" s="1"/>
      <c r="AA129" s="1"/>
      <c r="AB129" s="1"/>
      <c r="AC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81"/>
      <c r="S130" s="81"/>
      <c r="T130" s="81"/>
      <c r="U130" s="81"/>
      <c r="V130" s="81"/>
      <c r="W130" s="81"/>
      <c r="X130" s="81"/>
      <c r="Y130" s="1"/>
      <c r="Z130" s="1"/>
      <c r="AA130" s="1"/>
      <c r="AB130" s="1"/>
      <c r="AC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81"/>
      <c r="S131" s="81"/>
      <c r="T131" s="81"/>
      <c r="U131" s="81"/>
      <c r="V131" s="81"/>
      <c r="W131" s="81"/>
      <c r="X131" s="81"/>
      <c r="Y131" s="1"/>
      <c r="Z131" s="1"/>
      <c r="AA131" s="1"/>
      <c r="AB131" s="1"/>
      <c r="AC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81"/>
      <c r="S132" s="81"/>
      <c r="T132" s="81"/>
      <c r="U132" s="81"/>
      <c r="V132" s="81"/>
      <c r="W132" s="81"/>
      <c r="X132" s="81"/>
      <c r="Y132" s="1"/>
      <c r="Z132" s="1"/>
      <c r="AA132" s="1"/>
      <c r="AB132" s="1"/>
      <c r="AC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81"/>
      <c r="S133" s="81"/>
      <c r="T133" s="81"/>
      <c r="U133" s="81"/>
      <c r="V133" s="81"/>
      <c r="W133" s="81"/>
      <c r="X133" s="81"/>
      <c r="Y133" s="1"/>
      <c r="Z133" s="1"/>
      <c r="AA133" s="1"/>
      <c r="AB133" s="1"/>
      <c r="AC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81"/>
      <c r="S134" s="81"/>
      <c r="T134" s="81"/>
      <c r="U134" s="81"/>
      <c r="V134" s="81"/>
      <c r="W134" s="81"/>
      <c r="X134" s="81"/>
      <c r="Y134" s="1"/>
      <c r="Z134" s="1"/>
      <c r="AA134" s="1"/>
      <c r="AB134" s="1"/>
      <c r="AC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81"/>
      <c r="S135" s="81"/>
      <c r="T135" s="81"/>
      <c r="U135" s="81"/>
      <c r="V135" s="81"/>
      <c r="W135" s="81"/>
      <c r="X135" s="81"/>
      <c r="Y135" s="1"/>
      <c r="Z135" s="1"/>
      <c r="AA135" s="1"/>
      <c r="AB135" s="1"/>
      <c r="AC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81"/>
      <c r="S136" s="81"/>
      <c r="T136" s="81"/>
      <c r="U136" s="81"/>
      <c r="V136" s="81"/>
      <c r="W136" s="81"/>
      <c r="X136" s="81"/>
      <c r="Y136" s="1"/>
      <c r="Z136" s="1"/>
      <c r="AA136" s="1"/>
      <c r="AB136" s="1"/>
      <c r="AC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81"/>
      <c r="S137" s="81"/>
      <c r="T137" s="81"/>
      <c r="U137" s="81"/>
      <c r="V137" s="81"/>
      <c r="W137" s="81"/>
      <c r="X137" s="81"/>
      <c r="Y137" s="1"/>
      <c r="Z137" s="1"/>
      <c r="AA137" s="1"/>
      <c r="AB137" s="1"/>
      <c r="AC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81"/>
      <c r="S138" s="81"/>
      <c r="T138" s="81"/>
      <c r="U138" s="81"/>
      <c r="V138" s="81"/>
      <c r="W138" s="81"/>
      <c r="X138" s="81"/>
      <c r="Y138" s="1"/>
      <c r="Z138" s="1"/>
      <c r="AA138" s="1"/>
      <c r="AB138" s="1"/>
      <c r="AC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81"/>
      <c r="S139" s="81"/>
      <c r="T139" s="81"/>
      <c r="U139" s="81"/>
      <c r="V139" s="81"/>
      <c r="W139" s="81"/>
      <c r="X139" s="81"/>
      <c r="Y139" s="1"/>
      <c r="Z139" s="1"/>
      <c r="AA139" s="1"/>
      <c r="AB139" s="1"/>
      <c r="AC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81"/>
      <c r="S140" s="81"/>
      <c r="T140" s="81"/>
      <c r="U140" s="81"/>
      <c r="V140" s="81"/>
      <c r="W140" s="81"/>
      <c r="X140" s="81"/>
      <c r="Y140" s="1"/>
      <c r="Z140" s="1"/>
      <c r="AA140" s="1"/>
      <c r="AB140" s="1"/>
      <c r="AC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81"/>
      <c r="S141" s="81"/>
      <c r="T141" s="81"/>
      <c r="U141" s="81"/>
      <c r="V141" s="81"/>
      <c r="W141" s="81"/>
      <c r="X141" s="81"/>
      <c r="Y141" s="1"/>
      <c r="Z141" s="1"/>
      <c r="AA141" s="1"/>
      <c r="AB141" s="1"/>
      <c r="AC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81"/>
      <c r="S142" s="81"/>
      <c r="T142" s="81"/>
      <c r="U142" s="81"/>
      <c r="V142" s="81"/>
      <c r="W142" s="81"/>
      <c r="X142" s="81"/>
      <c r="Y142" s="1"/>
      <c r="Z142" s="1"/>
      <c r="AA142" s="1"/>
      <c r="AB142" s="1"/>
      <c r="AC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81"/>
      <c r="S143" s="81"/>
      <c r="T143" s="81"/>
      <c r="U143" s="81"/>
      <c r="V143" s="81"/>
      <c r="W143" s="81"/>
      <c r="X143" s="81"/>
      <c r="Y143" s="1"/>
      <c r="Z143" s="1"/>
      <c r="AA143" s="1"/>
      <c r="AB143" s="1"/>
      <c r="AC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81"/>
      <c r="S144" s="81"/>
      <c r="T144" s="81"/>
      <c r="U144" s="81"/>
      <c r="V144" s="81"/>
      <c r="W144" s="81"/>
      <c r="X144" s="81"/>
      <c r="Y144" s="1"/>
      <c r="Z144" s="1"/>
      <c r="AA144" s="1"/>
      <c r="AB144" s="1"/>
      <c r="AC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81"/>
      <c r="S145" s="81"/>
      <c r="T145" s="81"/>
      <c r="U145" s="81"/>
      <c r="V145" s="81"/>
      <c r="W145" s="81"/>
      <c r="X145" s="81"/>
      <c r="Y145" s="1"/>
      <c r="Z145" s="1"/>
      <c r="AA145" s="1"/>
      <c r="AB145" s="1"/>
      <c r="AC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81"/>
      <c r="S146" s="81"/>
      <c r="T146" s="81"/>
      <c r="U146" s="81"/>
      <c r="V146" s="81"/>
      <c r="W146" s="81"/>
      <c r="X146" s="81"/>
      <c r="Y146" s="1"/>
      <c r="Z146" s="1"/>
      <c r="AA146" s="1"/>
      <c r="AB146" s="1"/>
      <c r="AC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81"/>
      <c r="S147" s="81"/>
      <c r="T147" s="81"/>
      <c r="U147" s="81"/>
      <c r="V147" s="81"/>
      <c r="W147" s="81"/>
      <c r="X147" s="81"/>
      <c r="Y147" s="1"/>
      <c r="Z147" s="1"/>
      <c r="AA147" s="1"/>
      <c r="AB147" s="1"/>
      <c r="AC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81"/>
      <c r="S148" s="81"/>
      <c r="T148" s="81"/>
      <c r="U148" s="81"/>
      <c r="V148" s="81"/>
      <c r="W148" s="81"/>
      <c r="X148" s="81"/>
      <c r="Y148" s="1"/>
      <c r="Z148" s="1"/>
      <c r="AA148" s="1"/>
      <c r="AB148" s="1"/>
      <c r="AC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81"/>
      <c r="S149" s="81"/>
      <c r="T149" s="81"/>
      <c r="U149" s="81"/>
      <c r="V149" s="81"/>
      <c r="W149" s="81"/>
      <c r="X149" s="81"/>
      <c r="Y149" s="1"/>
      <c r="Z149" s="1"/>
      <c r="AA149" s="1"/>
      <c r="AB149" s="1"/>
      <c r="AC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81"/>
      <c r="S150" s="81"/>
      <c r="T150" s="81"/>
      <c r="U150" s="81"/>
      <c r="V150" s="81"/>
      <c r="W150" s="81"/>
      <c r="X150" s="81"/>
      <c r="Y150" s="1"/>
      <c r="Z150" s="1"/>
      <c r="AA150" s="1"/>
      <c r="AB150" s="1"/>
      <c r="AC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81"/>
      <c r="S151" s="81"/>
      <c r="T151" s="81"/>
      <c r="U151" s="81"/>
      <c r="V151" s="81"/>
      <c r="W151" s="81"/>
      <c r="X151" s="81"/>
      <c r="Y151" s="1"/>
      <c r="Z151" s="1"/>
      <c r="AA151" s="1"/>
      <c r="AB151" s="1"/>
      <c r="AC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81"/>
      <c r="S152" s="81"/>
      <c r="T152" s="81"/>
      <c r="U152" s="81"/>
      <c r="V152" s="81"/>
      <c r="W152" s="81"/>
      <c r="X152" s="81"/>
      <c r="Y152" s="1"/>
      <c r="Z152" s="1"/>
      <c r="AA152" s="1"/>
      <c r="AB152" s="1"/>
      <c r="AC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81"/>
      <c r="S153" s="81"/>
      <c r="T153" s="81"/>
      <c r="U153" s="81"/>
      <c r="V153" s="81"/>
      <c r="W153" s="81"/>
      <c r="X153" s="81"/>
      <c r="Y153" s="1"/>
      <c r="Z153" s="1"/>
      <c r="AA153" s="1"/>
      <c r="AB153" s="1"/>
      <c r="AC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81"/>
      <c r="S154" s="81"/>
      <c r="T154" s="81"/>
      <c r="U154" s="81"/>
      <c r="V154" s="81"/>
      <c r="W154" s="81"/>
      <c r="X154" s="81"/>
      <c r="Y154" s="1"/>
      <c r="Z154" s="1"/>
      <c r="AA154" s="1"/>
      <c r="AB154" s="1"/>
      <c r="AC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81"/>
      <c r="S155" s="81"/>
      <c r="T155" s="81"/>
      <c r="U155" s="81"/>
      <c r="V155" s="81"/>
      <c r="W155" s="81"/>
      <c r="X155" s="81"/>
      <c r="Y155" s="1"/>
      <c r="Z155" s="1"/>
      <c r="AA155" s="1"/>
      <c r="AB155" s="1"/>
      <c r="AC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81"/>
      <c r="S156" s="81"/>
      <c r="T156" s="81"/>
      <c r="U156" s="81"/>
      <c r="V156" s="81"/>
      <c r="W156" s="81"/>
      <c r="X156" s="81"/>
      <c r="Y156" s="1"/>
      <c r="Z156" s="1"/>
      <c r="AA156" s="1"/>
      <c r="AB156" s="1"/>
      <c r="AC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81"/>
      <c r="S157" s="81"/>
      <c r="T157" s="81"/>
      <c r="U157" s="81"/>
      <c r="V157" s="81"/>
      <c r="W157" s="81"/>
      <c r="X157" s="81"/>
      <c r="Y157" s="1"/>
      <c r="Z157" s="1"/>
      <c r="AA157" s="1"/>
      <c r="AB157" s="1"/>
      <c r="AC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81"/>
      <c r="S158" s="81"/>
      <c r="T158" s="81"/>
      <c r="U158" s="81"/>
      <c r="V158" s="81"/>
      <c r="W158" s="81"/>
      <c r="X158" s="81"/>
      <c r="Y158" s="1"/>
      <c r="Z158" s="1"/>
      <c r="AA158" s="1"/>
      <c r="AB158" s="1"/>
      <c r="AC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81"/>
      <c r="S159" s="81"/>
      <c r="T159" s="81"/>
      <c r="U159" s="81"/>
      <c r="V159" s="81"/>
      <c r="W159" s="81"/>
      <c r="X159" s="81"/>
      <c r="Y159" s="1"/>
      <c r="Z159" s="1"/>
      <c r="AA159" s="1"/>
      <c r="AB159" s="1"/>
      <c r="AC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81"/>
      <c r="S160" s="81"/>
      <c r="T160" s="81"/>
      <c r="U160" s="81"/>
      <c r="V160" s="81"/>
      <c r="W160" s="81"/>
      <c r="X160" s="81"/>
      <c r="Y160" s="1"/>
      <c r="Z160" s="1"/>
      <c r="AA160" s="1"/>
      <c r="AB160" s="1"/>
      <c r="AC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81"/>
      <c r="S161" s="81"/>
      <c r="T161" s="81"/>
      <c r="U161" s="81"/>
      <c r="V161" s="81"/>
      <c r="W161" s="81"/>
      <c r="X161" s="81"/>
      <c r="Y161" s="1"/>
      <c r="Z161" s="1"/>
      <c r="AA161" s="1"/>
      <c r="AB161" s="1"/>
      <c r="AC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81"/>
      <c r="S162" s="81"/>
      <c r="T162" s="81"/>
      <c r="U162" s="81"/>
      <c r="V162" s="81"/>
      <c r="W162" s="81"/>
      <c r="X162" s="81"/>
      <c r="Y162" s="1"/>
      <c r="Z162" s="1"/>
      <c r="AA162" s="1"/>
      <c r="AB162" s="1"/>
      <c r="AC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81"/>
      <c r="S163" s="81"/>
      <c r="T163" s="81"/>
      <c r="U163" s="81"/>
      <c r="V163" s="81"/>
      <c r="W163" s="81"/>
      <c r="X163" s="81"/>
      <c r="Y163" s="1"/>
      <c r="Z163" s="1"/>
      <c r="AA163" s="1"/>
      <c r="AB163" s="1"/>
      <c r="AC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81"/>
      <c r="S164" s="81"/>
      <c r="T164" s="81"/>
      <c r="U164" s="81"/>
      <c r="V164" s="81"/>
      <c r="W164" s="81"/>
      <c r="X164" s="81"/>
      <c r="Y164" s="1"/>
      <c r="Z164" s="1"/>
      <c r="AA164" s="1"/>
      <c r="AB164" s="1"/>
      <c r="AC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81"/>
      <c r="S165" s="81"/>
      <c r="T165" s="81"/>
      <c r="U165" s="81"/>
      <c r="V165" s="81"/>
      <c r="W165" s="81"/>
      <c r="X165" s="81"/>
      <c r="Y165" s="1"/>
      <c r="Z165" s="1"/>
      <c r="AA165" s="1"/>
      <c r="AB165" s="1"/>
      <c r="AC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81"/>
      <c r="S166" s="81"/>
      <c r="T166" s="81"/>
      <c r="U166" s="81"/>
      <c r="V166" s="81"/>
      <c r="W166" s="81"/>
      <c r="X166" s="81"/>
      <c r="Y166" s="1"/>
      <c r="Z166" s="1"/>
      <c r="AA166" s="1"/>
      <c r="AB166" s="1"/>
      <c r="AC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81"/>
      <c r="S167" s="81"/>
      <c r="T167" s="81"/>
      <c r="U167" s="81"/>
      <c r="V167" s="81"/>
      <c r="W167" s="81"/>
      <c r="X167" s="81"/>
      <c r="Y167" s="1"/>
      <c r="Z167" s="1"/>
      <c r="AA167" s="1"/>
      <c r="AB167" s="1"/>
      <c r="AC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81"/>
      <c r="S168" s="81"/>
      <c r="T168" s="81"/>
      <c r="U168" s="81"/>
      <c r="V168" s="81"/>
      <c r="W168" s="81"/>
      <c r="X168" s="81"/>
      <c r="Y168" s="1"/>
      <c r="Z168" s="1"/>
      <c r="AA168" s="1"/>
      <c r="AB168" s="1"/>
      <c r="AC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81"/>
      <c r="S169" s="81"/>
      <c r="T169" s="81"/>
      <c r="U169" s="81"/>
      <c r="V169" s="81"/>
      <c r="W169" s="81"/>
      <c r="X169" s="81"/>
      <c r="Y169" s="1"/>
      <c r="Z169" s="1"/>
      <c r="AA169" s="1"/>
      <c r="AB169" s="1"/>
      <c r="AC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81"/>
      <c r="S170" s="81"/>
      <c r="T170" s="81"/>
      <c r="U170" s="81"/>
      <c r="V170" s="81"/>
      <c r="W170" s="81"/>
      <c r="X170" s="81"/>
      <c r="Y170" s="1"/>
      <c r="Z170" s="1"/>
      <c r="AA170" s="1"/>
      <c r="AB170" s="1"/>
      <c r="AC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81"/>
      <c r="S171" s="81"/>
      <c r="T171" s="81"/>
      <c r="U171" s="81"/>
      <c r="V171" s="81"/>
      <c r="W171" s="81"/>
      <c r="X171" s="81"/>
      <c r="Y171" s="1"/>
      <c r="Z171" s="1"/>
      <c r="AA171" s="1"/>
      <c r="AB171" s="1"/>
      <c r="AC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81"/>
      <c r="S172" s="81"/>
      <c r="T172" s="81"/>
      <c r="U172" s="81"/>
      <c r="V172" s="81"/>
      <c r="W172" s="81"/>
      <c r="X172" s="81"/>
      <c r="Y172" s="1"/>
      <c r="Z172" s="1"/>
      <c r="AA172" s="1"/>
      <c r="AB172" s="1"/>
      <c r="AC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81"/>
      <c r="S173" s="81"/>
      <c r="T173" s="81"/>
      <c r="U173" s="81"/>
      <c r="V173" s="81"/>
      <c r="W173" s="81"/>
      <c r="X173" s="81"/>
      <c r="Y173" s="1"/>
      <c r="Z173" s="1"/>
      <c r="AA173" s="1"/>
      <c r="AB173" s="1"/>
      <c r="AC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81"/>
      <c r="S174" s="81"/>
      <c r="T174" s="81"/>
      <c r="U174" s="81"/>
      <c r="V174" s="81"/>
      <c r="W174" s="81"/>
      <c r="X174" s="81"/>
      <c r="Y174" s="1"/>
      <c r="Z174" s="1"/>
      <c r="AA174" s="1"/>
      <c r="AB174" s="1"/>
      <c r="AC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81"/>
      <c r="S175" s="81"/>
      <c r="T175" s="81"/>
      <c r="U175" s="81"/>
      <c r="V175" s="81"/>
      <c r="W175" s="81"/>
      <c r="X175" s="81"/>
      <c r="Y175" s="1"/>
      <c r="Z175" s="1"/>
      <c r="AA175" s="1"/>
      <c r="AB175" s="1"/>
      <c r="AC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81"/>
      <c r="S176" s="81"/>
      <c r="T176" s="81"/>
      <c r="U176" s="81"/>
      <c r="V176" s="81"/>
      <c r="W176" s="81"/>
      <c r="X176" s="81"/>
      <c r="Y176" s="1"/>
      <c r="Z176" s="1"/>
      <c r="AA176" s="1"/>
      <c r="AB176" s="1"/>
      <c r="AC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81"/>
      <c r="S177" s="81"/>
      <c r="T177" s="81"/>
      <c r="U177" s="81"/>
      <c r="V177" s="81"/>
      <c r="W177" s="81"/>
      <c r="X177" s="81"/>
      <c r="Y177" s="1"/>
      <c r="Z177" s="1"/>
      <c r="AA177" s="1"/>
      <c r="AB177" s="1"/>
      <c r="AC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81"/>
      <c r="S178" s="81"/>
      <c r="T178" s="81"/>
      <c r="U178" s="81"/>
      <c r="V178" s="81"/>
      <c r="W178" s="81"/>
      <c r="X178" s="81"/>
      <c r="Y178" s="1"/>
      <c r="Z178" s="1"/>
      <c r="AA178" s="1"/>
      <c r="AB178" s="1"/>
      <c r="AC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81"/>
      <c r="S179" s="81"/>
      <c r="T179" s="81"/>
      <c r="U179" s="81"/>
      <c r="V179" s="81"/>
      <c r="W179" s="81"/>
      <c r="X179" s="81"/>
      <c r="Y179" s="1"/>
      <c r="Z179" s="1"/>
      <c r="AA179" s="1"/>
      <c r="AB179" s="1"/>
      <c r="AC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81"/>
      <c r="S180" s="81"/>
      <c r="T180" s="81"/>
      <c r="U180" s="81"/>
      <c r="V180" s="81"/>
      <c r="W180" s="81"/>
      <c r="X180" s="81"/>
      <c r="Y180" s="1"/>
      <c r="Z180" s="1"/>
      <c r="AA180" s="1"/>
      <c r="AB180" s="1"/>
      <c r="AC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81"/>
      <c r="S181" s="81"/>
      <c r="T181" s="81"/>
      <c r="U181" s="81"/>
      <c r="V181" s="81"/>
      <c r="W181" s="81"/>
      <c r="X181" s="81"/>
      <c r="Y181" s="1"/>
      <c r="Z181" s="1"/>
      <c r="AA181" s="1"/>
      <c r="AB181" s="1"/>
      <c r="AC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81"/>
      <c r="S182" s="81"/>
      <c r="T182" s="81"/>
      <c r="U182" s="81"/>
      <c r="V182" s="81"/>
      <c r="W182" s="81"/>
      <c r="X182" s="81"/>
      <c r="Y182" s="1"/>
      <c r="Z182" s="1"/>
      <c r="AA182" s="1"/>
      <c r="AB182" s="1"/>
      <c r="AC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81"/>
      <c r="S183" s="81"/>
      <c r="T183" s="81"/>
      <c r="U183" s="81"/>
      <c r="V183" s="81"/>
      <c r="W183" s="81"/>
      <c r="X183" s="81"/>
      <c r="Y183" s="1"/>
      <c r="Z183" s="1"/>
      <c r="AA183" s="1"/>
      <c r="AB183" s="1"/>
      <c r="AC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81"/>
      <c r="S184" s="81"/>
      <c r="T184" s="81"/>
      <c r="U184" s="81"/>
      <c r="V184" s="81"/>
      <c r="W184" s="81"/>
      <c r="X184" s="81"/>
      <c r="Y184" s="1"/>
      <c r="Z184" s="1"/>
      <c r="AA184" s="1"/>
      <c r="AB184" s="1"/>
      <c r="AC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81"/>
      <c r="S185" s="81"/>
      <c r="T185" s="81"/>
      <c r="U185" s="81"/>
      <c r="V185" s="81"/>
      <c r="W185" s="81"/>
      <c r="X185" s="81"/>
      <c r="Y185" s="1"/>
      <c r="Z185" s="1"/>
      <c r="AA185" s="1"/>
      <c r="AB185" s="1"/>
      <c r="AC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81"/>
      <c r="S186" s="81"/>
      <c r="T186" s="81"/>
      <c r="U186" s="81"/>
      <c r="V186" s="81"/>
      <c r="W186" s="81"/>
      <c r="X186" s="81"/>
      <c r="Y186" s="1"/>
      <c r="Z186" s="1"/>
      <c r="AA186" s="1"/>
      <c r="AB186" s="1"/>
      <c r="AC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81"/>
      <c r="S187" s="81"/>
      <c r="T187" s="81"/>
      <c r="U187" s="81"/>
      <c r="V187" s="81"/>
      <c r="W187" s="81"/>
      <c r="X187" s="81"/>
      <c r="Y187" s="1"/>
      <c r="Z187" s="1"/>
      <c r="AA187" s="1"/>
      <c r="AB187" s="1"/>
      <c r="AC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81"/>
      <c r="S188" s="81"/>
      <c r="T188" s="81"/>
      <c r="U188" s="81"/>
      <c r="V188" s="81"/>
      <c r="W188" s="81"/>
      <c r="X188" s="81"/>
      <c r="Y188" s="1"/>
      <c r="Z188" s="1"/>
      <c r="AA188" s="1"/>
      <c r="AB188" s="1"/>
      <c r="AC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81"/>
      <c r="S189" s="81"/>
      <c r="T189" s="81"/>
      <c r="U189" s="81"/>
      <c r="V189" s="81"/>
      <c r="W189" s="81"/>
      <c r="X189" s="81"/>
      <c r="Y189" s="1"/>
      <c r="Z189" s="1"/>
      <c r="AA189" s="1"/>
      <c r="AB189" s="1"/>
      <c r="AC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81"/>
      <c r="S190" s="81"/>
      <c r="T190" s="81"/>
      <c r="U190" s="81"/>
      <c r="V190" s="81"/>
      <c r="W190" s="81"/>
      <c r="X190" s="81"/>
      <c r="Y190" s="1"/>
      <c r="Z190" s="1"/>
      <c r="AA190" s="1"/>
      <c r="AB190" s="1"/>
      <c r="AC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81"/>
      <c r="S191" s="81"/>
      <c r="T191" s="81"/>
      <c r="U191" s="81"/>
      <c r="V191" s="81"/>
      <c r="W191" s="81"/>
      <c r="X191" s="81"/>
      <c r="Y191" s="1"/>
      <c r="Z191" s="1"/>
      <c r="AA191" s="1"/>
      <c r="AB191" s="1"/>
      <c r="AC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81"/>
      <c r="S192" s="81"/>
      <c r="T192" s="81"/>
      <c r="U192" s="81"/>
      <c r="V192" s="81"/>
      <c r="W192" s="81"/>
      <c r="X192" s="81"/>
      <c r="Y192" s="1"/>
      <c r="Z192" s="1"/>
      <c r="AA192" s="1"/>
      <c r="AB192" s="1"/>
      <c r="AC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81"/>
      <c r="S193" s="81"/>
      <c r="T193" s="81"/>
      <c r="U193" s="81"/>
      <c r="V193" s="81"/>
      <c r="W193" s="81"/>
      <c r="X193" s="81"/>
      <c r="Y193" s="1"/>
      <c r="Z193" s="1"/>
      <c r="AA193" s="1"/>
      <c r="AB193" s="1"/>
      <c r="AC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81"/>
      <c r="S194" s="81"/>
      <c r="T194" s="81"/>
      <c r="U194" s="81"/>
      <c r="V194" s="81"/>
      <c r="W194" s="81"/>
      <c r="X194" s="81"/>
      <c r="Y194" s="1"/>
      <c r="Z194" s="1"/>
      <c r="AA194" s="1"/>
      <c r="AB194" s="1"/>
      <c r="AC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81"/>
      <c r="S195" s="81"/>
      <c r="T195" s="81"/>
      <c r="U195" s="81"/>
      <c r="V195" s="81"/>
      <c r="W195" s="81"/>
      <c r="X195" s="81"/>
      <c r="Y195" s="1"/>
      <c r="Z195" s="1"/>
      <c r="AA195" s="1"/>
      <c r="AB195" s="1"/>
      <c r="AC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81"/>
      <c r="S196" s="81"/>
      <c r="T196" s="81"/>
      <c r="U196" s="81"/>
      <c r="V196" s="81"/>
      <c r="W196" s="81"/>
      <c r="X196" s="81"/>
      <c r="Y196" s="1"/>
      <c r="Z196" s="1"/>
      <c r="AA196" s="1"/>
      <c r="AB196" s="1"/>
      <c r="AC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81"/>
      <c r="S197" s="81"/>
      <c r="T197" s="81"/>
      <c r="U197" s="81"/>
      <c r="V197" s="81"/>
      <c r="W197" s="81"/>
      <c r="X197" s="81"/>
      <c r="Y197" s="1"/>
      <c r="Z197" s="1"/>
      <c r="AA197" s="1"/>
      <c r="AB197" s="1"/>
      <c r="AC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81"/>
      <c r="S198" s="81"/>
      <c r="T198" s="81"/>
      <c r="U198" s="81"/>
      <c r="V198" s="81"/>
      <c r="W198" s="81"/>
      <c r="X198" s="81"/>
      <c r="Y198" s="1"/>
      <c r="Z198" s="1"/>
      <c r="AA198" s="1"/>
      <c r="AB198" s="1"/>
      <c r="AC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81"/>
      <c r="S199" s="81"/>
      <c r="T199" s="81"/>
      <c r="U199" s="81"/>
      <c r="V199" s="81"/>
      <c r="W199" s="81"/>
      <c r="X199" s="81"/>
      <c r="Y199" s="1"/>
      <c r="Z199" s="1"/>
      <c r="AA199" s="1"/>
      <c r="AB199" s="1"/>
      <c r="AC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81"/>
      <c r="S200" s="81"/>
      <c r="T200" s="81"/>
      <c r="U200" s="81"/>
      <c r="V200" s="81"/>
      <c r="W200" s="81"/>
      <c r="X200" s="81"/>
      <c r="Y200" s="1"/>
      <c r="Z200" s="1"/>
      <c r="AA200" s="1"/>
      <c r="AB200" s="1"/>
      <c r="AC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81"/>
      <c r="S201" s="81"/>
      <c r="T201" s="81"/>
      <c r="U201" s="81"/>
      <c r="V201" s="81"/>
      <c r="W201" s="81"/>
      <c r="X201" s="81"/>
      <c r="Y201" s="1"/>
      <c r="Z201" s="1"/>
      <c r="AA201" s="1"/>
      <c r="AB201" s="1"/>
      <c r="AC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81"/>
      <c r="S202" s="81"/>
      <c r="T202" s="81"/>
      <c r="U202" s="81"/>
      <c r="V202" s="81"/>
      <c r="W202" s="81"/>
      <c r="X202" s="81"/>
      <c r="Y202" s="1"/>
      <c r="Z202" s="1"/>
      <c r="AA202" s="1"/>
      <c r="AB202" s="1"/>
      <c r="AC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81"/>
      <c r="S203" s="81"/>
      <c r="T203" s="81"/>
      <c r="U203" s="81"/>
      <c r="V203" s="81"/>
      <c r="W203" s="81"/>
      <c r="X203" s="81"/>
      <c r="Y203" s="1"/>
      <c r="Z203" s="1"/>
      <c r="AA203" s="1"/>
      <c r="AB203" s="1"/>
      <c r="AC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81"/>
      <c r="S204" s="81"/>
      <c r="T204" s="81"/>
      <c r="U204" s="81"/>
      <c r="V204" s="81"/>
      <c r="W204" s="81"/>
      <c r="X204" s="81"/>
      <c r="Y204" s="1"/>
      <c r="Z204" s="1"/>
      <c r="AA204" s="1"/>
      <c r="AB204" s="1"/>
      <c r="AC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81"/>
      <c r="S205" s="81"/>
      <c r="T205" s="81"/>
      <c r="U205" s="81"/>
      <c r="V205" s="81"/>
      <c r="W205" s="81"/>
      <c r="X205" s="81"/>
      <c r="Y205" s="1"/>
      <c r="Z205" s="1"/>
      <c r="AA205" s="1"/>
      <c r="AB205" s="1"/>
      <c r="AC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81"/>
      <c r="S206" s="81"/>
      <c r="T206" s="81"/>
      <c r="U206" s="81"/>
      <c r="V206" s="81"/>
      <c r="W206" s="81"/>
      <c r="X206" s="81"/>
      <c r="Y206" s="1"/>
      <c r="Z206" s="1"/>
      <c r="AA206" s="1"/>
      <c r="AB206" s="1"/>
      <c r="AC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81"/>
      <c r="S207" s="81"/>
      <c r="T207" s="81"/>
      <c r="U207" s="81"/>
      <c r="V207" s="81"/>
      <c r="W207" s="81"/>
      <c r="X207" s="81"/>
      <c r="Y207" s="1"/>
      <c r="Z207" s="1"/>
      <c r="AA207" s="1"/>
      <c r="AB207" s="1"/>
      <c r="AC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81"/>
      <c r="S208" s="81"/>
      <c r="T208" s="81"/>
      <c r="U208" s="81"/>
      <c r="V208" s="81"/>
      <c r="W208" s="81"/>
      <c r="X208" s="81"/>
      <c r="Y208" s="1"/>
      <c r="Z208" s="1"/>
      <c r="AA208" s="1"/>
      <c r="AB208" s="1"/>
      <c r="AC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81"/>
      <c r="S209" s="81"/>
      <c r="T209" s="81"/>
      <c r="U209" s="81"/>
      <c r="V209" s="81"/>
      <c r="W209" s="81"/>
      <c r="X209" s="81"/>
      <c r="Y209" s="1"/>
      <c r="Z209" s="1"/>
      <c r="AA209" s="1"/>
      <c r="AB209" s="1"/>
      <c r="AC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81"/>
      <c r="S210" s="81"/>
      <c r="T210" s="81"/>
      <c r="U210" s="81"/>
      <c r="V210" s="81"/>
      <c r="W210" s="81"/>
      <c r="X210" s="81"/>
      <c r="Y210" s="1"/>
      <c r="Z210" s="1"/>
      <c r="AA210" s="1"/>
      <c r="AB210" s="1"/>
      <c r="AC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81"/>
      <c r="S211" s="81"/>
      <c r="T211" s="81"/>
      <c r="U211" s="81"/>
      <c r="V211" s="81"/>
      <c r="W211" s="81"/>
      <c r="X211" s="81"/>
      <c r="Y211" s="1"/>
      <c r="Z211" s="1"/>
      <c r="AA211" s="1"/>
      <c r="AB211" s="1"/>
      <c r="AC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81"/>
      <c r="S212" s="81"/>
      <c r="T212" s="81"/>
      <c r="U212" s="81"/>
      <c r="V212" s="81"/>
      <c r="W212" s="81"/>
      <c r="X212" s="81"/>
      <c r="Y212" s="1"/>
      <c r="Z212" s="1"/>
      <c r="AA212" s="1"/>
      <c r="AB212" s="1"/>
      <c r="AC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81"/>
      <c r="S213" s="81"/>
      <c r="T213" s="81"/>
      <c r="U213" s="81"/>
      <c r="V213" s="81"/>
      <c r="W213" s="81"/>
      <c r="X213" s="81"/>
      <c r="Y213" s="1"/>
      <c r="Z213" s="1"/>
      <c r="AA213" s="1"/>
      <c r="AB213" s="1"/>
      <c r="AC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81"/>
      <c r="S214" s="81"/>
      <c r="T214" s="81"/>
      <c r="U214" s="81"/>
      <c r="V214" s="81"/>
      <c r="W214" s="81"/>
      <c r="X214" s="81"/>
      <c r="Y214" s="1"/>
      <c r="Z214" s="1"/>
      <c r="AA214" s="1"/>
      <c r="AB214" s="1"/>
      <c r="AC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81"/>
      <c r="S215" s="81"/>
      <c r="T215" s="81"/>
      <c r="U215" s="81"/>
      <c r="V215" s="81"/>
      <c r="W215" s="81"/>
      <c r="X215" s="81"/>
      <c r="Y215" s="1"/>
      <c r="Z215" s="1"/>
      <c r="AA215" s="1"/>
      <c r="AB215" s="1"/>
      <c r="AC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81"/>
      <c r="S216" s="81"/>
      <c r="T216" s="81"/>
      <c r="U216" s="81"/>
      <c r="V216" s="81"/>
      <c r="W216" s="81"/>
      <c r="X216" s="81"/>
      <c r="Y216" s="1"/>
      <c r="Z216" s="1"/>
      <c r="AA216" s="1"/>
      <c r="AB216" s="1"/>
      <c r="AC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81"/>
      <c r="S217" s="81"/>
      <c r="T217" s="81"/>
      <c r="U217" s="81"/>
      <c r="V217" s="81"/>
      <c r="W217" s="81"/>
      <c r="X217" s="81"/>
      <c r="Y217" s="1"/>
      <c r="Z217" s="1"/>
      <c r="AA217" s="1"/>
      <c r="AB217" s="1"/>
      <c r="AC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81"/>
      <c r="S218" s="81"/>
      <c r="T218" s="81"/>
      <c r="U218" s="81"/>
      <c r="V218" s="81"/>
      <c r="W218" s="81"/>
      <c r="X218" s="81"/>
      <c r="Y218" s="1"/>
      <c r="Z218" s="1"/>
      <c r="AA218" s="1"/>
      <c r="AB218" s="1"/>
      <c r="AC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81"/>
      <c r="S219" s="81"/>
      <c r="T219" s="81"/>
      <c r="U219" s="81"/>
      <c r="V219" s="81"/>
      <c r="W219" s="81"/>
      <c r="X219" s="81"/>
      <c r="Y219" s="1"/>
      <c r="Z219" s="1"/>
      <c r="AA219" s="1"/>
      <c r="AB219" s="1"/>
      <c r="AC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81"/>
      <c r="S220" s="81"/>
      <c r="T220" s="81"/>
      <c r="U220" s="81"/>
      <c r="V220" s="81"/>
      <c r="W220" s="81"/>
      <c r="X220" s="81"/>
      <c r="Y220" s="1"/>
      <c r="Z220" s="1"/>
      <c r="AA220" s="1"/>
      <c r="AB220" s="1"/>
      <c r="AC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81"/>
      <c r="S221" s="81"/>
      <c r="T221" s="81"/>
      <c r="U221" s="81"/>
      <c r="V221" s="81"/>
      <c r="W221" s="81"/>
      <c r="X221" s="81"/>
      <c r="Y221" s="1"/>
      <c r="Z221" s="1"/>
      <c r="AA221" s="1"/>
      <c r="AB221" s="1"/>
      <c r="AC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81"/>
      <c r="S222" s="81"/>
      <c r="T222" s="81"/>
      <c r="U222" s="81"/>
      <c r="V222" s="81"/>
      <c r="W222" s="81"/>
      <c r="X222" s="81"/>
      <c r="Y222" s="1"/>
      <c r="Z222" s="1"/>
      <c r="AA222" s="1"/>
      <c r="AB222" s="1"/>
      <c r="AC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81"/>
      <c r="S223" s="81"/>
      <c r="T223" s="81"/>
      <c r="U223" s="81"/>
      <c r="V223" s="81"/>
      <c r="W223" s="81"/>
      <c r="X223" s="81"/>
      <c r="Y223" s="1"/>
      <c r="Z223" s="1"/>
      <c r="AA223" s="1"/>
      <c r="AB223" s="1"/>
      <c r="AC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81"/>
      <c r="S224" s="81"/>
      <c r="T224" s="81"/>
      <c r="U224" s="81"/>
      <c r="V224" s="81"/>
      <c r="W224" s="81"/>
      <c r="X224" s="81"/>
      <c r="Y224" s="1"/>
      <c r="Z224" s="1"/>
      <c r="AA224" s="1"/>
      <c r="AB224" s="1"/>
      <c r="AC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81"/>
      <c r="S225" s="81"/>
      <c r="T225" s="81"/>
      <c r="U225" s="81"/>
      <c r="V225" s="81"/>
      <c r="W225" s="81"/>
      <c r="X225" s="81"/>
      <c r="Y225" s="1"/>
      <c r="Z225" s="1"/>
      <c r="AA225" s="1"/>
      <c r="AB225" s="1"/>
      <c r="AC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81"/>
      <c r="S226" s="81"/>
      <c r="T226" s="81"/>
      <c r="U226" s="81"/>
      <c r="V226" s="81"/>
      <c r="W226" s="81"/>
      <c r="X226" s="81"/>
      <c r="Y226" s="1"/>
      <c r="Z226" s="1"/>
      <c r="AA226" s="1"/>
      <c r="AB226" s="1"/>
      <c r="AC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81"/>
      <c r="S227" s="81"/>
      <c r="T227" s="81"/>
      <c r="U227" s="81"/>
      <c r="V227" s="81"/>
      <c r="W227" s="81"/>
      <c r="X227" s="81"/>
      <c r="Y227" s="1"/>
      <c r="Z227" s="1"/>
      <c r="AA227" s="1"/>
      <c r="AB227" s="1"/>
      <c r="AC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81"/>
      <c r="S228" s="81"/>
      <c r="T228" s="81"/>
      <c r="U228" s="81"/>
      <c r="V228" s="81"/>
      <c r="W228" s="81"/>
      <c r="X228" s="81"/>
      <c r="Y228" s="1"/>
      <c r="Z228" s="1"/>
      <c r="AA228" s="1"/>
      <c r="AB228" s="1"/>
      <c r="AC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81"/>
      <c r="S229" s="81"/>
      <c r="T229" s="81"/>
      <c r="U229" s="81"/>
      <c r="V229" s="81"/>
      <c r="W229" s="81"/>
      <c r="X229" s="81"/>
      <c r="Y229" s="1"/>
      <c r="Z229" s="1"/>
      <c r="AA229" s="1"/>
      <c r="AB229" s="1"/>
      <c r="AC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81"/>
      <c r="S230" s="81"/>
      <c r="T230" s="81"/>
      <c r="U230" s="81"/>
      <c r="V230" s="81"/>
      <c r="W230" s="81"/>
      <c r="X230" s="81"/>
      <c r="Y230" s="1"/>
      <c r="Z230" s="1"/>
      <c r="AA230" s="1"/>
      <c r="AB230" s="1"/>
      <c r="AC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81"/>
      <c r="S231" s="81"/>
      <c r="T231" s="81"/>
      <c r="U231" s="81"/>
      <c r="V231" s="81"/>
      <c r="W231" s="81"/>
      <c r="X231" s="81"/>
      <c r="Y231" s="1"/>
      <c r="Z231" s="1"/>
      <c r="AA231" s="1"/>
      <c r="AB231" s="1"/>
      <c r="AC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81"/>
      <c r="S232" s="81"/>
      <c r="T232" s="81"/>
      <c r="U232" s="81"/>
      <c r="V232" s="81"/>
      <c r="W232" s="81"/>
      <c r="X232" s="81"/>
      <c r="Y232" s="1"/>
      <c r="Z232" s="1"/>
      <c r="AA232" s="1"/>
      <c r="AB232" s="1"/>
      <c r="AC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81"/>
      <c r="S233" s="81"/>
      <c r="T233" s="81"/>
      <c r="U233" s="81"/>
      <c r="V233" s="81"/>
      <c r="W233" s="81"/>
      <c r="X233" s="81"/>
      <c r="Y233" s="1"/>
      <c r="Z233" s="1"/>
      <c r="AA233" s="1"/>
      <c r="AB233" s="1"/>
      <c r="AC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81"/>
      <c r="S234" s="81"/>
      <c r="T234" s="81"/>
      <c r="U234" s="81"/>
      <c r="V234" s="81"/>
      <c r="W234" s="81"/>
      <c r="X234" s="81"/>
      <c r="Y234" s="1"/>
      <c r="Z234" s="1"/>
      <c r="AA234" s="1"/>
      <c r="AB234" s="1"/>
      <c r="AC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81"/>
      <c r="S235" s="81"/>
      <c r="T235" s="81"/>
      <c r="U235" s="81"/>
      <c r="V235" s="81"/>
      <c r="W235" s="81"/>
      <c r="X235" s="81"/>
      <c r="Y235" s="1"/>
      <c r="Z235" s="1"/>
      <c r="AA235" s="1"/>
      <c r="AB235" s="1"/>
      <c r="AC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81"/>
      <c r="S236" s="81"/>
      <c r="T236" s="81"/>
      <c r="U236" s="81"/>
      <c r="V236" s="81"/>
      <c r="W236" s="81"/>
      <c r="X236" s="81"/>
      <c r="Y236" s="1"/>
      <c r="Z236" s="1"/>
      <c r="AA236" s="1"/>
      <c r="AB236" s="1"/>
      <c r="AC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81"/>
      <c r="S237" s="81"/>
      <c r="T237" s="81"/>
      <c r="U237" s="81"/>
      <c r="V237" s="81"/>
      <c r="W237" s="81"/>
      <c r="X237" s="81"/>
      <c r="Y237" s="1"/>
      <c r="Z237" s="1"/>
      <c r="AA237" s="1"/>
      <c r="AB237" s="1"/>
      <c r="AC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81"/>
      <c r="S238" s="81"/>
      <c r="T238" s="81"/>
      <c r="U238" s="81"/>
      <c r="V238" s="81"/>
      <c r="W238" s="81"/>
      <c r="X238" s="81"/>
      <c r="Y238" s="1"/>
      <c r="Z238" s="1"/>
      <c r="AA238" s="1"/>
      <c r="AB238" s="1"/>
      <c r="AC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81"/>
      <c r="S239" s="81"/>
      <c r="T239" s="81"/>
      <c r="U239" s="81"/>
      <c r="V239" s="81"/>
      <c r="W239" s="81"/>
      <c r="X239" s="81"/>
      <c r="Y239" s="1"/>
      <c r="Z239" s="1"/>
      <c r="AA239" s="1"/>
      <c r="AB239" s="1"/>
      <c r="AC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81"/>
      <c r="S240" s="81"/>
      <c r="T240" s="81"/>
      <c r="U240" s="81"/>
      <c r="V240" s="81"/>
      <c r="W240" s="81"/>
      <c r="X240" s="81"/>
      <c r="Y240" s="1"/>
      <c r="Z240" s="1"/>
      <c r="AA240" s="1"/>
      <c r="AB240" s="1"/>
      <c r="AC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81"/>
      <c r="S241" s="81"/>
      <c r="T241" s="81"/>
      <c r="U241" s="81"/>
      <c r="V241" s="81"/>
      <c r="W241" s="81"/>
      <c r="X241" s="81"/>
      <c r="Y241" s="1"/>
      <c r="Z241" s="1"/>
      <c r="AA241" s="1"/>
      <c r="AB241" s="1"/>
      <c r="AC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81"/>
      <c r="S242" s="81"/>
      <c r="T242" s="81"/>
      <c r="U242" s="81"/>
      <c r="V242" s="81"/>
      <c r="W242" s="81"/>
      <c r="X242" s="81"/>
      <c r="Y242" s="1"/>
      <c r="Z242" s="1"/>
      <c r="AA242" s="1"/>
      <c r="AB242" s="1"/>
      <c r="AC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81"/>
      <c r="S243" s="81"/>
      <c r="T243" s="81"/>
      <c r="U243" s="81"/>
      <c r="V243" s="81"/>
      <c r="W243" s="81"/>
      <c r="X243" s="81"/>
      <c r="Y243" s="1"/>
      <c r="Z243" s="1"/>
      <c r="AA243" s="1"/>
      <c r="AB243" s="1"/>
      <c r="AC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81"/>
      <c r="S244" s="81"/>
      <c r="T244" s="81"/>
      <c r="U244" s="81"/>
      <c r="V244" s="81"/>
      <c r="W244" s="81"/>
      <c r="X244" s="81"/>
      <c r="Y244" s="1"/>
      <c r="Z244" s="1"/>
      <c r="AA244" s="1"/>
      <c r="AB244" s="1"/>
      <c r="AC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81"/>
      <c r="S245" s="81"/>
      <c r="T245" s="81"/>
      <c r="U245" s="81"/>
      <c r="V245" s="81"/>
      <c r="W245" s="81"/>
      <c r="X245" s="81"/>
      <c r="Y245" s="1"/>
      <c r="Z245" s="1"/>
      <c r="AA245" s="1"/>
      <c r="AB245" s="1"/>
      <c r="AC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81"/>
      <c r="S246" s="81"/>
      <c r="T246" s="81"/>
      <c r="U246" s="81"/>
      <c r="V246" s="81"/>
      <c r="W246" s="81"/>
      <c r="X246" s="81"/>
      <c r="Y246" s="1"/>
      <c r="Z246" s="1"/>
      <c r="AA246" s="1"/>
      <c r="AB246" s="1"/>
      <c r="AC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81"/>
      <c r="S247" s="81"/>
      <c r="T247" s="81"/>
      <c r="U247" s="81"/>
      <c r="V247" s="81"/>
      <c r="W247" s="81"/>
      <c r="X247" s="81"/>
      <c r="Y247" s="1"/>
      <c r="Z247" s="1"/>
      <c r="AA247" s="1"/>
      <c r="AB247" s="1"/>
      <c r="AC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81"/>
      <c r="S248" s="81"/>
      <c r="T248" s="81"/>
      <c r="U248" s="81"/>
      <c r="V248" s="81"/>
      <c r="W248" s="81"/>
      <c r="X248" s="81"/>
      <c r="Y248" s="1"/>
      <c r="Z248" s="1"/>
      <c r="AA248" s="1"/>
      <c r="AB248" s="1"/>
      <c r="AC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81"/>
      <c r="S249" s="81"/>
      <c r="T249" s="81"/>
      <c r="U249" s="81"/>
      <c r="V249" s="81"/>
      <c r="W249" s="81"/>
      <c r="X249" s="81"/>
      <c r="Y249" s="1"/>
      <c r="Z249" s="1"/>
      <c r="AA249" s="1"/>
      <c r="AB249" s="1"/>
      <c r="AC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81"/>
      <c r="S250" s="81"/>
      <c r="T250" s="81"/>
      <c r="U250" s="81"/>
      <c r="V250" s="81"/>
      <c r="W250" s="81"/>
      <c r="X250" s="81"/>
      <c r="Y250" s="1"/>
      <c r="Z250" s="1"/>
      <c r="AA250" s="1"/>
      <c r="AB250" s="1"/>
      <c r="AC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81"/>
      <c r="S251" s="81"/>
      <c r="T251" s="81"/>
      <c r="U251" s="81"/>
      <c r="V251" s="81"/>
      <c r="W251" s="81"/>
      <c r="X251" s="81"/>
      <c r="Y251" s="1"/>
      <c r="Z251" s="1"/>
      <c r="AA251" s="1"/>
      <c r="AB251" s="1"/>
      <c r="AC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81"/>
      <c r="S252" s="81"/>
      <c r="T252" s="81"/>
      <c r="U252" s="81"/>
      <c r="V252" s="81"/>
      <c r="W252" s="81"/>
      <c r="X252" s="81"/>
      <c r="Y252" s="1"/>
      <c r="Z252" s="1"/>
      <c r="AA252" s="1"/>
      <c r="AB252" s="1"/>
      <c r="AC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81"/>
      <c r="S253" s="81"/>
      <c r="T253" s="81"/>
      <c r="U253" s="81"/>
      <c r="V253" s="81"/>
      <c r="W253" s="81"/>
      <c r="X253" s="81"/>
      <c r="Y253" s="1"/>
      <c r="Z253" s="1"/>
      <c r="AA253" s="1"/>
      <c r="AB253" s="1"/>
      <c r="AC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81"/>
      <c r="S254" s="81"/>
      <c r="T254" s="81"/>
      <c r="U254" s="81"/>
      <c r="V254" s="81"/>
      <c r="W254" s="81"/>
      <c r="X254" s="81"/>
      <c r="Y254" s="1"/>
      <c r="Z254" s="1"/>
      <c r="AA254" s="1"/>
      <c r="AB254" s="1"/>
      <c r="AC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81"/>
      <c r="S255" s="81"/>
      <c r="T255" s="81"/>
      <c r="U255" s="81"/>
      <c r="V255" s="81"/>
      <c r="W255" s="81"/>
      <c r="X255" s="81"/>
      <c r="Y255" s="1"/>
      <c r="Z255" s="1"/>
      <c r="AA255" s="1"/>
      <c r="AB255" s="1"/>
      <c r="AC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81"/>
      <c r="S256" s="81"/>
      <c r="T256" s="81"/>
      <c r="U256" s="81"/>
      <c r="V256" s="81"/>
      <c r="W256" s="81"/>
      <c r="X256" s="81"/>
      <c r="Y256" s="1"/>
      <c r="Z256" s="1"/>
      <c r="AA256" s="1"/>
      <c r="AB256" s="1"/>
      <c r="AC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81"/>
      <c r="S257" s="81"/>
      <c r="T257" s="81"/>
      <c r="U257" s="81"/>
      <c r="V257" s="81"/>
      <c r="W257" s="81"/>
      <c r="X257" s="81"/>
      <c r="Y257" s="1"/>
      <c r="Z257" s="1"/>
      <c r="AA257" s="1"/>
      <c r="AB257" s="1"/>
      <c r="AC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81"/>
      <c r="S258" s="81"/>
      <c r="T258" s="81"/>
      <c r="U258" s="81"/>
      <c r="V258" s="81"/>
      <c r="W258" s="81"/>
      <c r="X258" s="81"/>
      <c r="Y258" s="1"/>
      <c r="Z258" s="1"/>
      <c r="AA258" s="1"/>
      <c r="AB258" s="1"/>
      <c r="AC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81"/>
      <c r="S259" s="81"/>
      <c r="T259" s="81"/>
      <c r="U259" s="81"/>
      <c r="V259" s="81"/>
      <c r="W259" s="81"/>
      <c r="X259" s="81"/>
      <c r="Y259" s="1"/>
      <c r="Z259" s="1"/>
      <c r="AA259" s="1"/>
      <c r="AB259" s="1"/>
      <c r="AC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81"/>
      <c r="S260" s="81"/>
      <c r="T260" s="81"/>
      <c r="U260" s="81"/>
      <c r="V260" s="81"/>
      <c r="W260" s="81"/>
      <c r="X260" s="81"/>
      <c r="Y260" s="1"/>
      <c r="Z260" s="1"/>
      <c r="AA260" s="1"/>
      <c r="AB260" s="1"/>
      <c r="AC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81"/>
      <c r="S261" s="81"/>
      <c r="T261" s="81"/>
      <c r="U261" s="81"/>
      <c r="V261" s="81"/>
      <c r="W261" s="81"/>
      <c r="X261" s="81"/>
      <c r="Y261" s="1"/>
      <c r="Z261" s="1"/>
      <c r="AA261" s="1"/>
      <c r="AB261" s="1"/>
      <c r="AC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81"/>
      <c r="S262" s="81"/>
      <c r="T262" s="81"/>
      <c r="U262" s="81"/>
      <c r="V262" s="81"/>
      <c r="W262" s="81"/>
      <c r="X262" s="81"/>
      <c r="Y262" s="1"/>
      <c r="Z262" s="1"/>
      <c r="AA262" s="1"/>
      <c r="AB262" s="1"/>
      <c r="AC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81"/>
      <c r="S263" s="81"/>
      <c r="T263" s="81"/>
      <c r="U263" s="81"/>
      <c r="V263" s="81"/>
      <c r="W263" s="81"/>
      <c r="X263" s="81"/>
      <c r="Y263" s="1"/>
      <c r="Z263" s="1"/>
      <c r="AA263" s="1"/>
      <c r="AB263" s="1"/>
      <c r="AC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81"/>
      <c r="S264" s="81"/>
      <c r="T264" s="81"/>
      <c r="U264" s="81"/>
      <c r="V264" s="81"/>
      <c r="W264" s="81"/>
      <c r="X264" s="81"/>
      <c r="Y264" s="1"/>
      <c r="Z264" s="1"/>
      <c r="AA264" s="1"/>
      <c r="AB264" s="1"/>
      <c r="AC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81"/>
      <c r="S265" s="81"/>
      <c r="T265" s="81"/>
      <c r="U265" s="81"/>
      <c r="V265" s="81"/>
      <c r="W265" s="81"/>
      <c r="X265" s="81"/>
      <c r="Y265" s="1"/>
      <c r="Z265" s="1"/>
      <c r="AA265" s="1"/>
      <c r="AB265" s="1"/>
      <c r="AC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81"/>
      <c r="S266" s="81"/>
      <c r="T266" s="81"/>
      <c r="U266" s="81"/>
      <c r="V266" s="81"/>
      <c r="W266" s="81"/>
      <c r="X266" s="81"/>
      <c r="Y266" s="1"/>
      <c r="Z266" s="1"/>
      <c r="AA266" s="1"/>
      <c r="AB266" s="1"/>
      <c r="AC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81"/>
      <c r="S267" s="81"/>
      <c r="T267" s="81"/>
      <c r="U267" s="81"/>
      <c r="V267" s="81"/>
      <c r="W267" s="81"/>
      <c r="X267" s="81"/>
      <c r="Y267" s="1"/>
      <c r="Z267" s="1"/>
      <c r="AA267" s="1"/>
      <c r="AB267" s="1"/>
      <c r="AC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81"/>
      <c r="S268" s="81"/>
      <c r="T268" s="81"/>
      <c r="U268" s="81"/>
      <c r="V268" s="81"/>
      <c r="W268" s="81"/>
      <c r="X268" s="81"/>
      <c r="Y268" s="1"/>
      <c r="Z268" s="1"/>
      <c r="AA268" s="1"/>
      <c r="AB268" s="1"/>
      <c r="AC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81"/>
      <c r="S269" s="81"/>
      <c r="T269" s="81"/>
      <c r="U269" s="81"/>
      <c r="V269" s="81"/>
      <c r="W269" s="81"/>
      <c r="X269" s="81"/>
      <c r="Y269" s="1"/>
      <c r="Z269" s="1"/>
      <c r="AA269" s="1"/>
      <c r="AB269" s="1"/>
      <c r="AC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81"/>
      <c r="S270" s="81"/>
      <c r="T270" s="81"/>
      <c r="U270" s="81"/>
      <c r="V270" s="81"/>
      <c r="W270" s="81"/>
      <c r="X270" s="81"/>
      <c r="Y270" s="1"/>
      <c r="Z270" s="1"/>
      <c r="AA270" s="1"/>
      <c r="AB270" s="1"/>
      <c r="AC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81"/>
      <c r="S271" s="81"/>
      <c r="T271" s="81"/>
      <c r="U271" s="81"/>
      <c r="V271" s="81"/>
      <c r="W271" s="81"/>
      <c r="X271" s="81"/>
      <c r="Y271" s="1"/>
      <c r="Z271" s="1"/>
      <c r="AA271" s="1"/>
      <c r="AB271" s="1"/>
      <c r="AC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81"/>
      <c r="S272" s="81"/>
      <c r="T272" s="81"/>
      <c r="U272" s="81"/>
      <c r="V272" s="81"/>
      <c r="W272" s="81"/>
      <c r="X272" s="81"/>
      <c r="Y272" s="1"/>
      <c r="Z272" s="1"/>
      <c r="AA272" s="1"/>
      <c r="AB272" s="1"/>
      <c r="AC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81"/>
      <c r="S273" s="81"/>
      <c r="T273" s="81"/>
      <c r="U273" s="81"/>
      <c r="V273" s="81"/>
      <c r="W273" s="81"/>
      <c r="X273" s="81"/>
      <c r="Y273" s="1"/>
      <c r="Z273" s="1"/>
      <c r="AA273" s="1"/>
      <c r="AB273" s="1"/>
      <c r="AC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81"/>
      <c r="S274" s="81"/>
      <c r="T274" s="81"/>
      <c r="U274" s="81"/>
      <c r="V274" s="81"/>
      <c r="W274" s="81"/>
      <c r="X274" s="81"/>
      <c r="Y274" s="1"/>
      <c r="Z274" s="1"/>
      <c r="AA274" s="1"/>
      <c r="AB274" s="1"/>
      <c r="AC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81"/>
      <c r="S275" s="81"/>
      <c r="T275" s="81"/>
      <c r="U275" s="81"/>
      <c r="V275" s="81"/>
      <c r="W275" s="81"/>
      <c r="X275" s="81"/>
      <c r="Y275" s="1"/>
      <c r="Z275" s="1"/>
      <c r="AA275" s="1"/>
      <c r="AB275" s="1"/>
      <c r="AC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81"/>
      <c r="S276" s="81"/>
      <c r="T276" s="81"/>
      <c r="U276" s="81"/>
      <c r="V276" s="81"/>
      <c r="W276" s="81"/>
      <c r="X276" s="81"/>
      <c r="Y276" s="1"/>
      <c r="Z276" s="1"/>
      <c r="AA276" s="1"/>
      <c r="AB276" s="1"/>
      <c r="AC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81"/>
      <c r="S277" s="81"/>
      <c r="T277" s="81"/>
      <c r="U277" s="81"/>
      <c r="V277" s="81"/>
      <c r="W277" s="81"/>
      <c r="X277" s="81"/>
      <c r="Y277" s="1"/>
      <c r="Z277" s="1"/>
      <c r="AA277" s="1"/>
      <c r="AB277" s="1"/>
      <c r="AC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81"/>
      <c r="S278" s="81"/>
      <c r="T278" s="81"/>
      <c r="U278" s="81"/>
      <c r="V278" s="81"/>
      <c r="W278" s="81"/>
      <c r="X278" s="81"/>
      <c r="Y278" s="1"/>
      <c r="Z278" s="1"/>
      <c r="AA278" s="1"/>
      <c r="AB278" s="1"/>
      <c r="AC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81"/>
      <c r="S279" s="81"/>
      <c r="T279" s="81"/>
      <c r="U279" s="81"/>
      <c r="V279" s="81"/>
      <c r="W279" s="81"/>
      <c r="X279" s="81"/>
      <c r="Y279" s="1"/>
      <c r="Z279" s="1"/>
      <c r="AA279" s="1"/>
      <c r="AB279" s="1"/>
      <c r="AC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81"/>
      <c r="S280" s="81"/>
      <c r="T280" s="81"/>
      <c r="U280" s="81"/>
      <c r="V280" s="81"/>
      <c r="W280" s="81"/>
      <c r="X280" s="81"/>
      <c r="Y280" s="1"/>
      <c r="Z280" s="1"/>
      <c r="AA280" s="1"/>
      <c r="AB280" s="1"/>
      <c r="AC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81"/>
      <c r="S281" s="81"/>
      <c r="T281" s="81"/>
      <c r="U281" s="81"/>
      <c r="V281" s="81"/>
      <c r="W281" s="81"/>
      <c r="X281" s="81"/>
      <c r="Y281" s="1"/>
      <c r="Z281" s="1"/>
      <c r="AA281" s="1"/>
      <c r="AB281" s="1"/>
      <c r="AC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81"/>
      <c r="S282" s="81"/>
      <c r="T282" s="81"/>
      <c r="U282" s="81"/>
      <c r="V282" s="81"/>
      <c r="W282" s="81"/>
      <c r="X282" s="81"/>
      <c r="Y282" s="1"/>
      <c r="Z282" s="1"/>
      <c r="AA282" s="1"/>
      <c r="AB282" s="1"/>
      <c r="AC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81"/>
      <c r="S283" s="81"/>
      <c r="T283" s="81"/>
      <c r="U283" s="81"/>
      <c r="V283" s="81"/>
      <c r="W283" s="81"/>
      <c r="X283" s="81"/>
      <c r="Y283" s="1"/>
      <c r="Z283" s="1"/>
      <c r="AA283" s="1"/>
      <c r="AB283" s="1"/>
      <c r="AC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81"/>
      <c r="S284" s="81"/>
      <c r="T284" s="81"/>
      <c r="U284" s="81"/>
      <c r="V284" s="81"/>
      <c r="W284" s="81"/>
      <c r="X284" s="81"/>
      <c r="Y284" s="1"/>
      <c r="Z284" s="1"/>
      <c r="AA284" s="1"/>
      <c r="AB284" s="1"/>
      <c r="AC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81"/>
      <c r="S285" s="81"/>
      <c r="T285" s="81"/>
      <c r="U285" s="81"/>
      <c r="V285" s="81"/>
      <c r="W285" s="81"/>
      <c r="X285" s="81"/>
      <c r="Y285" s="1"/>
      <c r="Z285" s="1"/>
      <c r="AA285" s="1"/>
      <c r="AB285" s="1"/>
      <c r="AC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81"/>
      <c r="S286" s="81"/>
      <c r="T286" s="81"/>
      <c r="U286" s="81"/>
      <c r="V286" s="81"/>
      <c r="W286" s="81"/>
      <c r="X286" s="81"/>
      <c r="Y286" s="1"/>
      <c r="Z286" s="1"/>
      <c r="AA286" s="1"/>
      <c r="AB286" s="1"/>
      <c r="AC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81"/>
      <c r="S287" s="81"/>
      <c r="T287" s="81"/>
      <c r="U287" s="81"/>
      <c r="V287" s="81"/>
      <c r="W287" s="81"/>
      <c r="X287" s="81"/>
      <c r="Y287" s="1"/>
      <c r="Z287" s="1"/>
      <c r="AA287" s="1"/>
      <c r="AB287" s="1"/>
      <c r="AC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81"/>
      <c r="S288" s="81"/>
      <c r="T288" s="81"/>
      <c r="U288" s="81"/>
      <c r="V288" s="81"/>
      <c r="W288" s="81"/>
      <c r="X288" s="81"/>
      <c r="Y288" s="1"/>
      <c r="Z288" s="1"/>
      <c r="AA288" s="1"/>
      <c r="AB288" s="1"/>
      <c r="AC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81"/>
      <c r="S289" s="81"/>
      <c r="T289" s="81"/>
      <c r="U289" s="81"/>
      <c r="V289" s="81"/>
      <c r="W289" s="81"/>
      <c r="X289" s="81"/>
      <c r="Y289" s="1"/>
      <c r="Z289" s="1"/>
      <c r="AA289" s="1"/>
      <c r="AB289" s="1"/>
      <c r="AC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81"/>
      <c r="S290" s="81"/>
      <c r="T290" s="81"/>
      <c r="U290" s="81"/>
      <c r="V290" s="81"/>
      <c r="W290" s="81"/>
      <c r="X290" s="81"/>
      <c r="Y290" s="1"/>
      <c r="Z290" s="1"/>
      <c r="AA290" s="1"/>
      <c r="AB290" s="1"/>
      <c r="AC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81"/>
      <c r="S291" s="81"/>
      <c r="T291" s="81"/>
      <c r="U291" s="81"/>
      <c r="V291" s="81"/>
      <c r="W291" s="81"/>
      <c r="X291" s="81"/>
      <c r="Y291" s="1"/>
      <c r="Z291" s="1"/>
      <c r="AA291" s="1"/>
      <c r="AB291" s="1"/>
      <c r="AC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81"/>
      <c r="S292" s="81"/>
      <c r="T292" s="81"/>
      <c r="U292" s="81"/>
      <c r="V292" s="81"/>
      <c r="W292" s="81"/>
      <c r="X292" s="81"/>
      <c r="Y292" s="1"/>
      <c r="Z292" s="1"/>
      <c r="AA292" s="1"/>
      <c r="AB292" s="1"/>
      <c r="AC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81"/>
      <c r="S293" s="81"/>
      <c r="T293" s="81"/>
      <c r="U293" s="81"/>
      <c r="V293" s="81"/>
      <c r="W293" s="81"/>
      <c r="X293" s="81"/>
      <c r="Y293" s="1"/>
      <c r="Z293" s="1"/>
      <c r="AA293" s="1"/>
      <c r="AB293" s="1"/>
      <c r="AC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81"/>
      <c r="S294" s="81"/>
      <c r="T294" s="81"/>
      <c r="U294" s="81"/>
      <c r="V294" s="81"/>
      <c r="W294" s="81"/>
      <c r="X294" s="81"/>
      <c r="Y294" s="1"/>
      <c r="Z294" s="1"/>
      <c r="AA294" s="1"/>
      <c r="AB294" s="1"/>
      <c r="AC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81"/>
      <c r="S295" s="81"/>
      <c r="T295" s="81"/>
      <c r="U295" s="81"/>
      <c r="V295" s="81"/>
      <c r="W295" s="81"/>
      <c r="X295" s="81"/>
      <c r="Y295" s="1"/>
      <c r="Z295" s="1"/>
      <c r="AA295" s="1"/>
      <c r="AB295" s="1"/>
      <c r="AC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81"/>
      <c r="S296" s="81"/>
      <c r="T296" s="81"/>
      <c r="U296" s="81"/>
      <c r="V296" s="81"/>
      <c r="W296" s="81"/>
      <c r="X296" s="81"/>
      <c r="Y296" s="1"/>
      <c r="Z296" s="1"/>
      <c r="AA296" s="1"/>
      <c r="AB296" s="1"/>
      <c r="AC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81"/>
      <c r="S297" s="81"/>
      <c r="T297" s="81"/>
      <c r="U297" s="81"/>
      <c r="V297" s="81"/>
      <c r="W297" s="81"/>
      <c r="X297" s="81"/>
      <c r="Y297" s="1"/>
      <c r="Z297" s="1"/>
      <c r="AA297" s="1"/>
      <c r="AB297" s="1"/>
      <c r="AC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81"/>
      <c r="S298" s="81"/>
      <c r="T298" s="81"/>
      <c r="U298" s="81"/>
      <c r="V298" s="81"/>
      <c r="W298" s="81"/>
      <c r="X298" s="81"/>
      <c r="Y298" s="1"/>
      <c r="Z298" s="1"/>
      <c r="AA298" s="1"/>
      <c r="AB298" s="1"/>
      <c r="AC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81"/>
      <c r="S299" s="81"/>
      <c r="T299" s="81"/>
      <c r="U299" s="81"/>
      <c r="V299" s="81"/>
      <c r="W299" s="81"/>
      <c r="X299" s="81"/>
      <c r="Y299" s="1"/>
      <c r="Z299" s="1"/>
      <c r="AA299" s="1"/>
      <c r="AB299" s="1"/>
      <c r="AC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81"/>
      <c r="S300" s="81"/>
      <c r="T300" s="81"/>
      <c r="U300" s="81"/>
      <c r="V300" s="81"/>
      <c r="W300" s="81"/>
      <c r="X300" s="81"/>
      <c r="Y300" s="1"/>
      <c r="Z300" s="1"/>
      <c r="AA300" s="1"/>
      <c r="AB300" s="1"/>
      <c r="AC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81"/>
      <c r="S301" s="81"/>
      <c r="T301" s="81"/>
      <c r="U301" s="81"/>
      <c r="V301" s="81"/>
      <c r="W301" s="81"/>
      <c r="X301" s="81"/>
      <c r="Y301" s="1"/>
      <c r="Z301" s="1"/>
      <c r="AA301" s="1"/>
      <c r="AB301" s="1"/>
      <c r="AC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81"/>
      <c r="S302" s="81"/>
      <c r="T302" s="81"/>
      <c r="U302" s="81"/>
      <c r="V302" s="81"/>
      <c r="W302" s="81"/>
      <c r="X302" s="81"/>
      <c r="Y302" s="1"/>
      <c r="Z302" s="1"/>
      <c r="AA302" s="1"/>
      <c r="AB302" s="1"/>
      <c r="AC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81"/>
      <c r="S303" s="81"/>
      <c r="T303" s="81"/>
      <c r="U303" s="81"/>
      <c r="V303" s="81"/>
      <c r="W303" s="81"/>
      <c r="X303" s="81"/>
      <c r="Y303" s="1"/>
      <c r="Z303" s="1"/>
      <c r="AA303" s="1"/>
      <c r="AB303" s="1"/>
      <c r="AC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81"/>
      <c r="S304" s="81"/>
      <c r="T304" s="81"/>
      <c r="U304" s="81"/>
      <c r="V304" s="81"/>
      <c r="W304" s="81"/>
      <c r="X304" s="81"/>
      <c r="Y304" s="1"/>
      <c r="Z304" s="1"/>
      <c r="AA304" s="1"/>
      <c r="AB304" s="1"/>
      <c r="AC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81"/>
      <c r="S305" s="81"/>
      <c r="T305" s="81"/>
      <c r="U305" s="81"/>
      <c r="V305" s="81"/>
      <c r="W305" s="81"/>
      <c r="X305" s="81"/>
      <c r="Y305" s="1"/>
      <c r="Z305" s="1"/>
      <c r="AA305" s="1"/>
      <c r="AB305" s="1"/>
      <c r="AC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81"/>
      <c r="S306" s="81"/>
      <c r="T306" s="81"/>
      <c r="U306" s="81"/>
      <c r="V306" s="81"/>
      <c r="W306" s="81"/>
      <c r="X306" s="81"/>
      <c r="Y306" s="1"/>
      <c r="Z306" s="1"/>
      <c r="AA306" s="1"/>
      <c r="AB306" s="1"/>
      <c r="AC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81"/>
      <c r="S307" s="81"/>
      <c r="T307" s="81"/>
      <c r="U307" s="81"/>
      <c r="V307" s="81"/>
      <c r="W307" s="81"/>
      <c r="X307" s="81"/>
      <c r="Y307" s="1"/>
      <c r="Z307" s="1"/>
      <c r="AA307" s="1"/>
      <c r="AB307" s="1"/>
      <c r="AC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81"/>
      <c r="S308" s="81"/>
      <c r="T308" s="81"/>
      <c r="U308" s="81"/>
      <c r="V308" s="81"/>
      <c r="W308" s="81"/>
      <c r="X308" s="81"/>
      <c r="Y308" s="1"/>
      <c r="Z308" s="1"/>
      <c r="AA308" s="1"/>
      <c r="AB308" s="1"/>
      <c r="AC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81"/>
      <c r="S309" s="81"/>
      <c r="T309" s="81"/>
      <c r="U309" s="81"/>
      <c r="V309" s="81"/>
      <c r="W309" s="81"/>
      <c r="X309" s="81"/>
      <c r="Y309" s="1"/>
      <c r="Z309" s="1"/>
      <c r="AA309" s="1"/>
      <c r="AB309" s="1"/>
      <c r="AC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81"/>
      <c r="S310" s="81"/>
      <c r="T310" s="81"/>
      <c r="U310" s="81"/>
      <c r="V310" s="81"/>
      <c r="W310" s="81"/>
      <c r="X310" s="81"/>
      <c r="Y310" s="1"/>
      <c r="Z310" s="1"/>
      <c r="AA310" s="1"/>
      <c r="AB310" s="1"/>
      <c r="AC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81"/>
      <c r="S311" s="81"/>
      <c r="T311" s="81"/>
      <c r="U311" s="81"/>
      <c r="V311" s="81"/>
      <c r="W311" s="81"/>
      <c r="X311" s="81"/>
      <c r="Y311" s="1"/>
      <c r="Z311" s="1"/>
      <c r="AA311" s="1"/>
      <c r="AB311" s="1"/>
      <c r="AC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81"/>
      <c r="S312" s="81"/>
      <c r="T312" s="81"/>
      <c r="U312" s="81"/>
      <c r="V312" s="81"/>
      <c r="W312" s="81"/>
      <c r="X312" s="81"/>
      <c r="Y312" s="1"/>
      <c r="Z312" s="1"/>
      <c r="AA312" s="1"/>
      <c r="AB312" s="1"/>
      <c r="AC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81"/>
      <c r="S313" s="81"/>
      <c r="T313" s="81"/>
      <c r="U313" s="81"/>
      <c r="V313" s="81"/>
      <c r="W313" s="81"/>
      <c r="X313" s="81"/>
      <c r="Y313" s="1"/>
      <c r="Z313" s="1"/>
      <c r="AA313" s="1"/>
      <c r="AB313" s="1"/>
      <c r="AC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81"/>
      <c r="S314" s="81"/>
      <c r="T314" s="81"/>
      <c r="U314" s="81"/>
      <c r="V314" s="81"/>
      <c r="W314" s="81"/>
      <c r="X314" s="81"/>
      <c r="Y314" s="1"/>
      <c r="Z314" s="1"/>
      <c r="AA314" s="1"/>
      <c r="AB314" s="1"/>
      <c r="AC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81"/>
      <c r="S315" s="81"/>
      <c r="T315" s="81"/>
      <c r="U315" s="81"/>
      <c r="V315" s="81"/>
      <c r="W315" s="81"/>
      <c r="X315" s="81"/>
      <c r="Y315" s="1"/>
      <c r="Z315" s="1"/>
      <c r="AA315" s="1"/>
      <c r="AB315" s="1"/>
      <c r="AC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81"/>
      <c r="S316" s="81"/>
      <c r="T316" s="81"/>
      <c r="U316" s="81"/>
      <c r="V316" s="81"/>
      <c r="W316" s="81"/>
      <c r="X316" s="81"/>
      <c r="Y316" s="1"/>
      <c r="Z316" s="1"/>
      <c r="AA316" s="1"/>
      <c r="AB316" s="1"/>
      <c r="AC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81"/>
      <c r="S317" s="81"/>
      <c r="T317" s="81"/>
      <c r="U317" s="81"/>
      <c r="V317" s="81"/>
      <c r="W317" s="81"/>
      <c r="X317" s="81"/>
      <c r="Y317" s="1"/>
      <c r="Z317" s="1"/>
      <c r="AA317" s="1"/>
      <c r="AB317" s="1"/>
      <c r="AC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81"/>
      <c r="S318" s="81"/>
      <c r="T318" s="81"/>
      <c r="U318" s="81"/>
      <c r="V318" s="81"/>
      <c r="W318" s="81"/>
      <c r="X318" s="81"/>
      <c r="Y318" s="1"/>
      <c r="Z318" s="1"/>
      <c r="AA318" s="1"/>
      <c r="AB318" s="1"/>
      <c r="AC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81"/>
      <c r="S319" s="81"/>
      <c r="T319" s="81"/>
      <c r="U319" s="81"/>
      <c r="V319" s="81"/>
      <c r="W319" s="81"/>
      <c r="X319" s="81"/>
      <c r="Y319" s="1"/>
      <c r="Z319" s="1"/>
      <c r="AA319" s="1"/>
      <c r="AB319" s="1"/>
      <c r="AC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81"/>
      <c r="S320" s="81"/>
      <c r="T320" s="81"/>
      <c r="U320" s="81"/>
      <c r="V320" s="81"/>
      <c r="W320" s="81"/>
      <c r="X320" s="81"/>
      <c r="Y320" s="1"/>
      <c r="Z320" s="1"/>
      <c r="AA320" s="1"/>
      <c r="AB320" s="1"/>
      <c r="AC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81"/>
      <c r="S321" s="81"/>
      <c r="T321" s="81"/>
      <c r="U321" s="81"/>
      <c r="V321" s="81"/>
      <c r="W321" s="81"/>
      <c r="X321" s="81"/>
      <c r="Y321" s="1"/>
      <c r="Z321" s="1"/>
      <c r="AA321" s="1"/>
      <c r="AB321" s="1"/>
      <c r="AC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81"/>
      <c r="S322" s="81"/>
      <c r="T322" s="81"/>
      <c r="U322" s="81"/>
      <c r="V322" s="81"/>
      <c r="W322" s="81"/>
      <c r="X322" s="81"/>
      <c r="Y322" s="1"/>
      <c r="Z322" s="1"/>
      <c r="AA322" s="1"/>
      <c r="AB322" s="1"/>
      <c r="AC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81"/>
      <c r="S323" s="81"/>
      <c r="T323" s="81"/>
      <c r="U323" s="81"/>
      <c r="V323" s="81"/>
      <c r="W323" s="81"/>
      <c r="X323" s="81"/>
      <c r="Y323" s="1"/>
      <c r="Z323" s="1"/>
      <c r="AA323" s="1"/>
      <c r="AB323" s="1"/>
      <c r="AC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81"/>
      <c r="S324" s="81"/>
      <c r="T324" s="81"/>
      <c r="U324" s="81"/>
      <c r="V324" s="81"/>
      <c r="W324" s="81"/>
      <c r="X324" s="81"/>
      <c r="Y324" s="1"/>
      <c r="Z324" s="1"/>
      <c r="AA324" s="1"/>
      <c r="AB324" s="1"/>
      <c r="AC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81"/>
      <c r="S325" s="81"/>
      <c r="T325" s="81"/>
      <c r="U325" s="81"/>
      <c r="V325" s="81"/>
      <c r="W325" s="81"/>
      <c r="X325" s="81"/>
      <c r="Y325" s="1"/>
      <c r="Z325" s="1"/>
      <c r="AA325" s="1"/>
      <c r="AB325" s="1"/>
      <c r="AC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81"/>
      <c r="S326" s="81"/>
      <c r="T326" s="81"/>
      <c r="U326" s="81"/>
      <c r="V326" s="81"/>
      <c r="W326" s="81"/>
      <c r="X326" s="81"/>
      <c r="Y326" s="1"/>
      <c r="Z326" s="1"/>
      <c r="AA326" s="1"/>
      <c r="AB326" s="1"/>
      <c r="AC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81"/>
      <c r="S327" s="81"/>
      <c r="T327" s="81"/>
      <c r="U327" s="81"/>
      <c r="V327" s="81"/>
      <c r="W327" s="81"/>
      <c r="X327" s="81"/>
      <c r="Y327" s="1"/>
      <c r="Z327" s="1"/>
      <c r="AA327" s="1"/>
      <c r="AB327" s="1"/>
      <c r="AC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81"/>
      <c r="S328" s="81"/>
      <c r="T328" s="81"/>
      <c r="U328" s="81"/>
      <c r="V328" s="81"/>
      <c r="W328" s="81"/>
      <c r="X328" s="81"/>
      <c r="Y328" s="1"/>
      <c r="Z328" s="1"/>
      <c r="AA328" s="1"/>
      <c r="AB328" s="1"/>
      <c r="AC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81"/>
      <c r="S329" s="81"/>
      <c r="T329" s="81"/>
      <c r="U329" s="81"/>
      <c r="V329" s="81"/>
      <c r="W329" s="81"/>
      <c r="X329" s="81"/>
      <c r="Y329" s="1"/>
      <c r="Z329" s="1"/>
      <c r="AA329" s="1"/>
      <c r="AB329" s="1"/>
      <c r="AC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81"/>
      <c r="S330" s="81"/>
      <c r="T330" s="81"/>
      <c r="U330" s="81"/>
      <c r="V330" s="81"/>
      <c r="W330" s="81"/>
      <c r="X330" s="81"/>
      <c r="Y330" s="1"/>
      <c r="Z330" s="1"/>
      <c r="AA330" s="1"/>
      <c r="AB330" s="1"/>
      <c r="AC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81"/>
      <c r="S331" s="81"/>
      <c r="T331" s="81"/>
      <c r="U331" s="81"/>
      <c r="V331" s="81"/>
      <c r="W331" s="81"/>
      <c r="X331" s="81"/>
      <c r="Y331" s="1"/>
      <c r="Z331" s="1"/>
      <c r="AA331" s="1"/>
      <c r="AB331" s="1"/>
      <c r="AC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81"/>
      <c r="S332" s="81"/>
      <c r="T332" s="81"/>
      <c r="U332" s="81"/>
      <c r="V332" s="81"/>
      <c r="W332" s="81"/>
      <c r="X332" s="81"/>
      <c r="Y332" s="1"/>
      <c r="Z332" s="1"/>
      <c r="AA332" s="1"/>
      <c r="AB332" s="1"/>
      <c r="AC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81"/>
      <c r="S333" s="81"/>
      <c r="T333" s="81"/>
      <c r="U333" s="81"/>
      <c r="V333" s="81"/>
      <c r="W333" s="81"/>
      <c r="X333" s="81"/>
      <c r="Y333" s="1"/>
      <c r="Z333" s="1"/>
      <c r="AA333" s="1"/>
      <c r="AB333" s="1"/>
      <c r="AC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81"/>
      <c r="S334" s="81"/>
      <c r="T334" s="81"/>
      <c r="U334" s="81"/>
      <c r="V334" s="81"/>
      <c r="W334" s="81"/>
      <c r="X334" s="81"/>
      <c r="Y334" s="1"/>
      <c r="Z334" s="1"/>
      <c r="AA334" s="1"/>
      <c r="AB334" s="1"/>
      <c r="AC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81"/>
      <c r="S335" s="81"/>
      <c r="T335" s="81"/>
      <c r="U335" s="81"/>
      <c r="V335" s="81"/>
      <c r="W335" s="81"/>
      <c r="X335" s="81"/>
      <c r="Y335" s="1"/>
      <c r="Z335" s="1"/>
      <c r="AA335" s="1"/>
      <c r="AB335" s="1"/>
      <c r="AC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81"/>
      <c r="S336" s="81"/>
      <c r="T336" s="81"/>
      <c r="U336" s="81"/>
      <c r="V336" s="81"/>
      <c r="W336" s="81"/>
      <c r="X336" s="81"/>
      <c r="Y336" s="1"/>
      <c r="Z336" s="1"/>
      <c r="AA336" s="1"/>
      <c r="AB336" s="1"/>
      <c r="AC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81"/>
      <c r="S337" s="81"/>
      <c r="T337" s="81"/>
      <c r="U337" s="81"/>
      <c r="V337" s="81"/>
      <c r="W337" s="81"/>
      <c r="X337" s="81"/>
      <c r="Y337" s="1"/>
      <c r="Z337" s="1"/>
      <c r="AA337" s="1"/>
      <c r="AB337" s="1"/>
      <c r="AC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81"/>
      <c r="S338" s="81"/>
      <c r="T338" s="81"/>
      <c r="U338" s="81"/>
      <c r="V338" s="81"/>
      <c r="W338" s="81"/>
      <c r="X338" s="81"/>
      <c r="Y338" s="1"/>
      <c r="Z338" s="1"/>
      <c r="AA338" s="1"/>
      <c r="AB338" s="1"/>
      <c r="AC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81"/>
      <c r="S339" s="81"/>
      <c r="T339" s="81"/>
      <c r="U339" s="81"/>
      <c r="V339" s="81"/>
      <c r="W339" s="81"/>
      <c r="X339" s="81"/>
      <c r="Y339" s="1"/>
      <c r="Z339" s="1"/>
      <c r="AA339" s="1"/>
      <c r="AB339" s="1"/>
      <c r="AC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81"/>
      <c r="S340" s="81"/>
      <c r="T340" s="81"/>
      <c r="U340" s="81"/>
      <c r="V340" s="81"/>
      <c r="W340" s="81"/>
      <c r="X340" s="81"/>
      <c r="Y340" s="1"/>
      <c r="Z340" s="1"/>
      <c r="AA340" s="1"/>
      <c r="AB340" s="1"/>
      <c r="AC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81"/>
      <c r="S341" s="81"/>
      <c r="T341" s="81"/>
      <c r="U341" s="81"/>
      <c r="V341" s="81"/>
      <c r="W341" s="81"/>
      <c r="X341" s="81"/>
      <c r="Y341" s="1"/>
      <c r="Z341" s="1"/>
      <c r="AA341" s="1"/>
      <c r="AB341" s="1"/>
      <c r="AC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81"/>
      <c r="S342" s="81"/>
      <c r="T342" s="81"/>
      <c r="U342" s="81"/>
      <c r="V342" s="81"/>
      <c r="W342" s="81"/>
      <c r="X342" s="81"/>
      <c r="Y342" s="1"/>
      <c r="Z342" s="1"/>
      <c r="AA342" s="1"/>
      <c r="AB342" s="1"/>
      <c r="AC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81"/>
      <c r="S343" s="81"/>
      <c r="T343" s="81"/>
      <c r="U343" s="81"/>
      <c r="V343" s="81"/>
      <c r="W343" s="81"/>
      <c r="X343" s="81"/>
      <c r="Y343" s="1"/>
      <c r="Z343" s="1"/>
      <c r="AA343" s="1"/>
      <c r="AB343" s="1"/>
      <c r="AC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81"/>
      <c r="S344" s="81"/>
      <c r="T344" s="81"/>
      <c r="U344" s="81"/>
      <c r="V344" s="81"/>
      <c r="W344" s="81"/>
      <c r="X344" s="81"/>
      <c r="Y344" s="1"/>
      <c r="Z344" s="1"/>
      <c r="AA344" s="1"/>
      <c r="AB344" s="1"/>
      <c r="AC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81"/>
      <c r="S345" s="81"/>
      <c r="T345" s="81"/>
      <c r="U345" s="81"/>
      <c r="V345" s="81"/>
      <c r="W345" s="81"/>
      <c r="X345" s="81"/>
      <c r="Y345" s="1"/>
      <c r="Z345" s="1"/>
      <c r="AA345" s="1"/>
      <c r="AB345" s="1"/>
      <c r="AC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81"/>
      <c r="S346" s="81"/>
      <c r="T346" s="81"/>
      <c r="U346" s="81"/>
      <c r="V346" s="81"/>
      <c r="W346" s="81"/>
      <c r="X346" s="81"/>
      <c r="Y346" s="1"/>
      <c r="Z346" s="1"/>
      <c r="AA346" s="1"/>
      <c r="AB346" s="1"/>
      <c r="AC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81"/>
      <c r="S347" s="81"/>
      <c r="T347" s="81"/>
      <c r="U347" s="81"/>
      <c r="V347" s="81"/>
      <c r="W347" s="81"/>
      <c r="X347" s="81"/>
      <c r="Y347" s="1"/>
      <c r="Z347" s="1"/>
      <c r="AA347" s="1"/>
      <c r="AB347" s="1"/>
      <c r="AC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81"/>
      <c r="S348" s="81"/>
      <c r="T348" s="81"/>
      <c r="U348" s="81"/>
      <c r="V348" s="81"/>
      <c r="W348" s="81"/>
      <c r="X348" s="81"/>
      <c r="Y348" s="1"/>
      <c r="Z348" s="1"/>
      <c r="AA348" s="1"/>
      <c r="AB348" s="1"/>
      <c r="AC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81"/>
      <c r="S349" s="81"/>
      <c r="T349" s="81"/>
      <c r="U349" s="81"/>
      <c r="V349" s="81"/>
      <c r="W349" s="81"/>
      <c r="X349" s="81"/>
      <c r="Y349" s="1"/>
      <c r="Z349" s="1"/>
      <c r="AA349" s="1"/>
      <c r="AB349" s="1"/>
      <c r="AC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81"/>
      <c r="S350" s="81"/>
      <c r="T350" s="81"/>
      <c r="U350" s="81"/>
      <c r="V350" s="81"/>
      <c r="W350" s="81"/>
      <c r="X350" s="81"/>
      <c r="Y350" s="1"/>
      <c r="Z350" s="1"/>
      <c r="AA350" s="1"/>
      <c r="AB350" s="1"/>
      <c r="AC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81"/>
      <c r="S351" s="81"/>
      <c r="T351" s="81"/>
      <c r="U351" s="81"/>
      <c r="V351" s="81"/>
      <c r="W351" s="81"/>
      <c r="X351" s="81"/>
      <c r="Y351" s="1"/>
      <c r="Z351" s="1"/>
      <c r="AA351" s="1"/>
      <c r="AB351" s="1"/>
      <c r="AC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81"/>
      <c r="S352" s="81"/>
      <c r="T352" s="81"/>
      <c r="U352" s="81"/>
      <c r="V352" s="81"/>
      <c r="W352" s="81"/>
      <c r="X352" s="81"/>
      <c r="Y352" s="1"/>
      <c r="Z352" s="1"/>
      <c r="AA352" s="1"/>
      <c r="AB352" s="1"/>
      <c r="AC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81"/>
      <c r="S353" s="81"/>
      <c r="T353" s="81"/>
      <c r="U353" s="81"/>
      <c r="V353" s="81"/>
      <c r="W353" s="81"/>
      <c r="X353" s="81"/>
      <c r="Y353" s="1"/>
      <c r="Z353" s="1"/>
      <c r="AA353" s="1"/>
      <c r="AB353" s="1"/>
      <c r="AC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81"/>
      <c r="S354" s="81"/>
      <c r="T354" s="81"/>
      <c r="U354" s="81"/>
      <c r="V354" s="81"/>
      <c r="W354" s="81"/>
      <c r="X354" s="81"/>
      <c r="Y354" s="1"/>
      <c r="Z354" s="1"/>
      <c r="AA354" s="1"/>
      <c r="AB354" s="1"/>
      <c r="AC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81"/>
      <c r="S355" s="81"/>
      <c r="T355" s="81"/>
      <c r="U355" s="81"/>
      <c r="V355" s="81"/>
      <c r="W355" s="81"/>
      <c r="X355" s="81"/>
      <c r="Y355" s="1"/>
      <c r="Z355" s="1"/>
      <c r="AA355" s="1"/>
      <c r="AB355" s="1"/>
      <c r="AC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81"/>
      <c r="S356" s="81"/>
      <c r="T356" s="81"/>
      <c r="U356" s="81"/>
      <c r="V356" s="81"/>
      <c r="W356" s="81"/>
      <c r="X356" s="81"/>
      <c r="Y356" s="1"/>
      <c r="Z356" s="1"/>
      <c r="AA356" s="1"/>
      <c r="AB356" s="1"/>
      <c r="AC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81"/>
      <c r="S357" s="81"/>
      <c r="T357" s="81"/>
      <c r="U357" s="81"/>
      <c r="V357" s="81"/>
      <c r="W357" s="81"/>
      <c r="X357" s="81"/>
      <c r="Y357" s="1"/>
      <c r="Z357" s="1"/>
      <c r="AA357" s="1"/>
      <c r="AB357" s="1"/>
      <c r="AC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81"/>
      <c r="S358" s="81"/>
      <c r="T358" s="81"/>
      <c r="U358" s="81"/>
      <c r="V358" s="81"/>
      <c r="W358" s="81"/>
      <c r="X358" s="81"/>
      <c r="Y358" s="1"/>
      <c r="Z358" s="1"/>
      <c r="AA358" s="1"/>
      <c r="AB358" s="1"/>
      <c r="AC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81"/>
      <c r="S359" s="81"/>
      <c r="T359" s="81"/>
      <c r="U359" s="81"/>
      <c r="V359" s="81"/>
      <c r="W359" s="81"/>
      <c r="X359" s="81"/>
      <c r="Y359" s="1"/>
      <c r="Z359" s="1"/>
      <c r="AA359" s="1"/>
      <c r="AB359" s="1"/>
      <c r="AC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81"/>
      <c r="S360" s="81"/>
      <c r="T360" s="81"/>
      <c r="U360" s="81"/>
      <c r="V360" s="81"/>
      <c r="W360" s="81"/>
      <c r="X360" s="81"/>
      <c r="Y360" s="1"/>
      <c r="Z360" s="1"/>
      <c r="AA360" s="1"/>
      <c r="AB360" s="1"/>
      <c r="AC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81"/>
      <c r="S361" s="81"/>
      <c r="T361" s="81"/>
      <c r="U361" s="81"/>
      <c r="V361" s="81"/>
      <c r="W361" s="81"/>
      <c r="X361" s="81"/>
      <c r="Y361" s="1"/>
      <c r="Z361" s="1"/>
      <c r="AA361" s="1"/>
      <c r="AB361" s="1"/>
      <c r="AC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81"/>
      <c r="S362" s="81"/>
      <c r="T362" s="81"/>
      <c r="U362" s="81"/>
      <c r="V362" s="81"/>
      <c r="W362" s="81"/>
      <c r="X362" s="81"/>
      <c r="Y362" s="1"/>
      <c r="Z362" s="1"/>
      <c r="AA362" s="1"/>
      <c r="AB362" s="1"/>
      <c r="AC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81"/>
      <c r="S363" s="81"/>
      <c r="T363" s="81"/>
      <c r="U363" s="81"/>
      <c r="V363" s="81"/>
      <c r="W363" s="81"/>
      <c r="X363" s="81"/>
      <c r="Y363" s="1"/>
      <c r="Z363" s="1"/>
      <c r="AA363" s="1"/>
      <c r="AB363" s="1"/>
      <c r="AC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81"/>
      <c r="S364" s="81"/>
      <c r="T364" s="81"/>
      <c r="U364" s="81"/>
      <c r="V364" s="81"/>
      <c r="W364" s="81"/>
      <c r="X364" s="81"/>
      <c r="Y364" s="1"/>
      <c r="Z364" s="1"/>
      <c r="AA364" s="1"/>
      <c r="AB364" s="1"/>
      <c r="AC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81"/>
      <c r="S365" s="81"/>
      <c r="T365" s="81"/>
      <c r="U365" s="81"/>
      <c r="V365" s="81"/>
      <c r="W365" s="81"/>
      <c r="X365" s="81"/>
      <c r="Y365" s="1"/>
      <c r="Z365" s="1"/>
      <c r="AA365" s="1"/>
      <c r="AB365" s="1"/>
      <c r="AC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81"/>
      <c r="S366" s="81"/>
      <c r="T366" s="81"/>
      <c r="U366" s="81"/>
      <c r="V366" s="81"/>
      <c r="W366" s="81"/>
      <c r="X366" s="81"/>
      <c r="Y366" s="1"/>
      <c r="Z366" s="1"/>
      <c r="AA366" s="1"/>
      <c r="AB366" s="1"/>
      <c r="AC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81"/>
      <c r="S367" s="81"/>
      <c r="T367" s="81"/>
      <c r="U367" s="81"/>
      <c r="V367" s="81"/>
      <c r="W367" s="81"/>
      <c r="X367" s="81"/>
      <c r="Y367" s="1"/>
      <c r="Z367" s="1"/>
      <c r="AA367" s="1"/>
      <c r="AB367" s="1"/>
      <c r="AC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81"/>
      <c r="S368" s="81"/>
      <c r="T368" s="81"/>
      <c r="U368" s="81"/>
      <c r="V368" s="81"/>
      <c r="W368" s="81"/>
      <c r="X368" s="81"/>
      <c r="Y368" s="1"/>
      <c r="Z368" s="1"/>
      <c r="AA368" s="1"/>
      <c r="AB368" s="1"/>
      <c r="AC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81"/>
      <c r="S369" s="81"/>
      <c r="T369" s="81"/>
      <c r="U369" s="81"/>
      <c r="V369" s="81"/>
      <c r="W369" s="81"/>
      <c r="X369" s="81"/>
      <c r="Y369" s="1"/>
      <c r="Z369" s="1"/>
      <c r="AA369" s="1"/>
      <c r="AB369" s="1"/>
      <c r="AC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81"/>
      <c r="S370" s="81"/>
      <c r="T370" s="81"/>
      <c r="U370" s="81"/>
      <c r="V370" s="81"/>
      <c r="W370" s="81"/>
      <c r="X370" s="81"/>
      <c r="Y370" s="1"/>
      <c r="Z370" s="1"/>
      <c r="AA370" s="1"/>
      <c r="AB370" s="1"/>
      <c r="AC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81"/>
      <c r="S371" s="81"/>
      <c r="T371" s="81"/>
      <c r="U371" s="81"/>
      <c r="V371" s="81"/>
      <c r="W371" s="81"/>
      <c r="X371" s="81"/>
      <c r="Y371" s="1"/>
      <c r="Z371" s="1"/>
      <c r="AA371" s="1"/>
      <c r="AB371" s="1"/>
      <c r="AC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81"/>
      <c r="S372" s="81"/>
      <c r="T372" s="81"/>
      <c r="U372" s="81"/>
      <c r="V372" s="81"/>
      <c r="W372" s="81"/>
      <c r="X372" s="81"/>
      <c r="Y372" s="1"/>
      <c r="Z372" s="1"/>
      <c r="AA372" s="1"/>
      <c r="AB372" s="1"/>
      <c r="AC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81"/>
      <c r="S373" s="81"/>
      <c r="T373" s="81"/>
      <c r="U373" s="81"/>
      <c r="V373" s="81"/>
      <c r="W373" s="81"/>
      <c r="X373" s="81"/>
      <c r="Y373" s="1"/>
      <c r="Z373" s="1"/>
      <c r="AA373" s="1"/>
      <c r="AB373" s="1"/>
      <c r="AC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81"/>
      <c r="S374" s="81"/>
      <c r="T374" s="81"/>
      <c r="U374" s="81"/>
      <c r="V374" s="81"/>
      <c r="W374" s="81"/>
      <c r="X374" s="81"/>
      <c r="Y374" s="1"/>
      <c r="Z374" s="1"/>
      <c r="AA374" s="1"/>
      <c r="AB374" s="1"/>
      <c r="AC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81"/>
      <c r="S375" s="81"/>
      <c r="T375" s="81"/>
      <c r="U375" s="81"/>
      <c r="V375" s="81"/>
      <c r="W375" s="81"/>
      <c r="X375" s="81"/>
      <c r="Y375" s="1"/>
      <c r="Z375" s="1"/>
      <c r="AA375" s="1"/>
      <c r="AB375" s="1"/>
      <c r="AC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81"/>
      <c r="S376" s="81"/>
      <c r="T376" s="81"/>
      <c r="U376" s="81"/>
      <c r="V376" s="81"/>
      <c r="W376" s="81"/>
      <c r="X376" s="81"/>
      <c r="Y376" s="1"/>
      <c r="Z376" s="1"/>
      <c r="AA376" s="1"/>
      <c r="AB376" s="1"/>
      <c r="AC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81"/>
      <c r="S377" s="81"/>
      <c r="T377" s="81"/>
      <c r="U377" s="81"/>
      <c r="V377" s="81"/>
      <c r="W377" s="81"/>
      <c r="X377" s="81"/>
      <c r="Y377" s="1"/>
      <c r="Z377" s="1"/>
      <c r="AA377" s="1"/>
      <c r="AB377" s="1"/>
      <c r="AC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81"/>
      <c r="S378" s="81"/>
      <c r="T378" s="81"/>
      <c r="U378" s="81"/>
      <c r="V378" s="81"/>
      <c r="W378" s="81"/>
      <c r="X378" s="81"/>
      <c r="Y378" s="1"/>
      <c r="Z378" s="1"/>
      <c r="AA378" s="1"/>
      <c r="AB378" s="1"/>
      <c r="AC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81"/>
      <c r="S379" s="81"/>
      <c r="T379" s="81"/>
      <c r="U379" s="81"/>
      <c r="V379" s="81"/>
      <c r="W379" s="81"/>
      <c r="X379" s="81"/>
      <c r="Y379" s="1"/>
      <c r="Z379" s="1"/>
      <c r="AA379" s="1"/>
      <c r="AB379" s="1"/>
      <c r="AC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81"/>
      <c r="S380" s="81"/>
      <c r="T380" s="81"/>
      <c r="U380" s="81"/>
      <c r="V380" s="81"/>
      <c r="W380" s="81"/>
      <c r="X380" s="81"/>
      <c r="Y380" s="1"/>
      <c r="Z380" s="1"/>
      <c r="AA380" s="1"/>
      <c r="AB380" s="1"/>
      <c r="AC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81"/>
      <c r="S381" s="81"/>
      <c r="T381" s="81"/>
      <c r="U381" s="81"/>
      <c r="V381" s="81"/>
      <c r="W381" s="81"/>
      <c r="X381" s="81"/>
      <c r="Y381" s="1"/>
      <c r="Z381" s="1"/>
      <c r="AA381" s="1"/>
      <c r="AB381" s="1"/>
      <c r="AC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81"/>
      <c r="S382" s="81"/>
      <c r="T382" s="81"/>
      <c r="U382" s="81"/>
      <c r="V382" s="81"/>
      <c r="W382" s="81"/>
      <c r="X382" s="81"/>
      <c r="Y382" s="1"/>
      <c r="Z382" s="1"/>
      <c r="AA382" s="1"/>
      <c r="AB382" s="1"/>
      <c r="AC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81"/>
      <c r="S383" s="81"/>
      <c r="T383" s="81"/>
      <c r="U383" s="81"/>
      <c r="V383" s="81"/>
      <c r="W383" s="81"/>
      <c r="X383" s="81"/>
      <c r="Y383" s="1"/>
      <c r="Z383" s="1"/>
      <c r="AA383" s="1"/>
      <c r="AB383" s="1"/>
      <c r="AC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81"/>
      <c r="S384" s="81"/>
      <c r="T384" s="81"/>
      <c r="U384" s="81"/>
      <c r="V384" s="81"/>
      <c r="W384" s="81"/>
      <c r="X384" s="81"/>
      <c r="Y384" s="1"/>
      <c r="Z384" s="1"/>
      <c r="AA384" s="1"/>
      <c r="AB384" s="1"/>
      <c r="AC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81"/>
      <c r="S385" s="81"/>
      <c r="T385" s="81"/>
      <c r="U385" s="81"/>
      <c r="V385" s="81"/>
      <c r="W385" s="81"/>
      <c r="X385" s="81"/>
      <c r="Y385" s="1"/>
      <c r="Z385" s="1"/>
      <c r="AA385" s="1"/>
      <c r="AB385" s="1"/>
      <c r="AC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81"/>
      <c r="S386" s="81"/>
      <c r="T386" s="81"/>
      <c r="U386" s="81"/>
      <c r="V386" s="81"/>
      <c r="W386" s="81"/>
      <c r="X386" s="81"/>
      <c r="Y386" s="1"/>
      <c r="Z386" s="1"/>
      <c r="AA386" s="1"/>
      <c r="AB386" s="1"/>
      <c r="AC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81"/>
      <c r="S387" s="81"/>
      <c r="T387" s="81"/>
      <c r="U387" s="81"/>
      <c r="V387" s="81"/>
      <c r="W387" s="81"/>
      <c r="X387" s="81"/>
      <c r="Y387" s="1"/>
      <c r="Z387" s="1"/>
      <c r="AA387" s="1"/>
      <c r="AB387" s="1"/>
      <c r="AC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81"/>
      <c r="S388" s="81"/>
      <c r="T388" s="81"/>
      <c r="U388" s="81"/>
      <c r="V388" s="81"/>
      <c r="W388" s="81"/>
      <c r="X388" s="81"/>
      <c r="Y388" s="1"/>
      <c r="Z388" s="1"/>
      <c r="AA388" s="1"/>
      <c r="AB388" s="1"/>
      <c r="AC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81"/>
      <c r="S389" s="81"/>
      <c r="T389" s="81"/>
      <c r="U389" s="81"/>
      <c r="V389" s="81"/>
      <c r="W389" s="81"/>
      <c r="X389" s="81"/>
      <c r="Y389" s="1"/>
      <c r="Z389" s="1"/>
      <c r="AA389" s="1"/>
      <c r="AB389" s="1"/>
      <c r="AC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81"/>
      <c r="S390" s="81"/>
      <c r="T390" s="81"/>
      <c r="U390" s="81"/>
      <c r="V390" s="81"/>
      <c r="W390" s="81"/>
      <c r="X390" s="81"/>
      <c r="Y390" s="1"/>
      <c r="Z390" s="1"/>
      <c r="AA390" s="1"/>
      <c r="AB390" s="1"/>
      <c r="AC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81"/>
      <c r="S391" s="81"/>
      <c r="T391" s="81"/>
      <c r="U391" s="81"/>
      <c r="V391" s="81"/>
      <c r="W391" s="81"/>
      <c r="X391" s="81"/>
      <c r="Y391" s="1"/>
      <c r="Z391" s="1"/>
      <c r="AA391" s="1"/>
      <c r="AB391" s="1"/>
      <c r="AC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81"/>
      <c r="S392" s="81"/>
      <c r="T392" s="81"/>
      <c r="U392" s="81"/>
      <c r="V392" s="81"/>
      <c r="W392" s="81"/>
      <c r="X392" s="81"/>
      <c r="Y392" s="1"/>
      <c r="Z392" s="1"/>
      <c r="AA392" s="1"/>
      <c r="AB392" s="1"/>
      <c r="AC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81"/>
      <c r="S393" s="81"/>
      <c r="T393" s="81"/>
      <c r="U393" s="81"/>
      <c r="V393" s="81"/>
      <c r="W393" s="81"/>
      <c r="X393" s="81"/>
      <c r="Y393" s="1"/>
      <c r="Z393" s="1"/>
      <c r="AA393" s="1"/>
      <c r="AB393" s="1"/>
      <c r="AC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81"/>
      <c r="S394" s="81"/>
      <c r="T394" s="81"/>
      <c r="U394" s="81"/>
      <c r="V394" s="81"/>
      <c r="W394" s="81"/>
      <c r="X394" s="81"/>
      <c r="Y394" s="1"/>
      <c r="Z394" s="1"/>
      <c r="AA394" s="1"/>
      <c r="AB394" s="1"/>
      <c r="AC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81"/>
      <c r="S395" s="81"/>
      <c r="T395" s="81"/>
      <c r="U395" s="81"/>
      <c r="V395" s="81"/>
      <c r="W395" s="81"/>
      <c r="X395" s="81"/>
      <c r="Y395" s="1"/>
      <c r="Z395" s="1"/>
      <c r="AA395" s="1"/>
      <c r="AB395" s="1"/>
      <c r="AC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81"/>
      <c r="S396" s="81"/>
      <c r="T396" s="81"/>
      <c r="U396" s="81"/>
      <c r="V396" s="81"/>
      <c r="W396" s="81"/>
      <c r="X396" s="81"/>
      <c r="Y396" s="1"/>
      <c r="Z396" s="1"/>
      <c r="AA396" s="1"/>
      <c r="AB396" s="1"/>
      <c r="AC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81"/>
      <c r="S397" s="81"/>
      <c r="T397" s="81"/>
      <c r="U397" s="81"/>
      <c r="V397" s="81"/>
      <c r="W397" s="81"/>
      <c r="X397" s="81"/>
      <c r="Y397" s="1"/>
      <c r="Z397" s="1"/>
      <c r="AA397" s="1"/>
      <c r="AB397" s="1"/>
      <c r="AC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81"/>
      <c r="S398" s="81"/>
      <c r="T398" s="81"/>
      <c r="U398" s="81"/>
      <c r="V398" s="81"/>
      <c r="W398" s="81"/>
      <c r="X398" s="81"/>
      <c r="Y398" s="1"/>
      <c r="Z398" s="1"/>
      <c r="AA398" s="1"/>
      <c r="AB398" s="1"/>
      <c r="AC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81"/>
      <c r="S399" s="81"/>
      <c r="T399" s="81"/>
      <c r="U399" s="81"/>
      <c r="V399" s="81"/>
      <c r="W399" s="81"/>
      <c r="X399" s="81"/>
      <c r="Y399" s="1"/>
      <c r="Z399" s="1"/>
      <c r="AA399" s="1"/>
      <c r="AB399" s="1"/>
      <c r="AC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81"/>
      <c r="S400" s="81"/>
      <c r="T400" s="81"/>
      <c r="U400" s="81"/>
      <c r="V400" s="81"/>
      <c r="W400" s="81"/>
      <c r="X400" s="81"/>
      <c r="Y400" s="1"/>
      <c r="Z400" s="1"/>
      <c r="AA400" s="1"/>
      <c r="AB400" s="1"/>
      <c r="AC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81"/>
      <c r="S401" s="81"/>
      <c r="T401" s="81"/>
      <c r="U401" s="81"/>
      <c r="V401" s="81"/>
      <c r="W401" s="81"/>
      <c r="X401" s="81"/>
      <c r="Y401" s="1"/>
      <c r="Z401" s="1"/>
      <c r="AA401" s="1"/>
      <c r="AB401" s="1"/>
      <c r="AC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81"/>
      <c r="S402" s="81"/>
      <c r="T402" s="81"/>
      <c r="U402" s="81"/>
      <c r="V402" s="81"/>
      <c r="W402" s="81"/>
      <c r="X402" s="81"/>
      <c r="Y402" s="1"/>
      <c r="Z402" s="1"/>
      <c r="AA402" s="1"/>
      <c r="AB402" s="1"/>
      <c r="AC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81"/>
      <c r="S403" s="81"/>
      <c r="T403" s="81"/>
      <c r="U403" s="81"/>
      <c r="V403" s="81"/>
      <c r="W403" s="81"/>
      <c r="X403" s="81"/>
      <c r="Y403" s="1"/>
      <c r="Z403" s="1"/>
      <c r="AA403" s="1"/>
      <c r="AB403" s="1"/>
      <c r="AC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81"/>
      <c r="S404" s="81"/>
      <c r="T404" s="81"/>
      <c r="U404" s="81"/>
      <c r="V404" s="81"/>
      <c r="W404" s="81"/>
      <c r="X404" s="81"/>
      <c r="Y404" s="1"/>
      <c r="Z404" s="1"/>
      <c r="AA404" s="1"/>
      <c r="AB404" s="1"/>
      <c r="AC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81"/>
      <c r="S405" s="81"/>
      <c r="T405" s="81"/>
      <c r="U405" s="81"/>
      <c r="V405" s="81"/>
      <c r="W405" s="81"/>
      <c r="X405" s="81"/>
      <c r="Y405" s="1"/>
      <c r="Z405" s="1"/>
      <c r="AA405" s="1"/>
      <c r="AB405" s="1"/>
      <c r="AC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81"/>
      <c r="S406" s="81"/>
      <c r="T406" s="81"/>
      <c r="U406" s="81"/>
      <c r="V406" s="81"/>
      <c r="W406" s="81"/>
      <c r="X406" s="81"/>
      <c r="Y406" s="1"/>
      <c r="Z406" s="1"/>
      <c r="AA406" s="1"/>
      <c r="AB406" s="1"/>
      <c r="AC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81"/>
      <c r="S407" s="81"/>
      <c r="T407" s="81"/>
      <c r="U407" s="81"/>
      <c r="V407" s="81"/>
      <c r="W407" s="81"/>
      <c r="X407" s="81"/>
      <c r="Y407" s="1"/>
      <c r="Z407" s="1"/>
      <c r="AA407" s="1"/>
      <c r="AB407" s="1"/>
      <c r="AC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81"/>
      <c r="S408" s="81"/>
      <c r="T408" s="81"/>
      <c r="U408" s="81"/>
      <c r="V408" s="81"/>
      <c r="W408" s="81"/>
      <c r="X408" s="81"/>
      <c r="Y408" s="1"/>
      <c r="Z408" s="1"/>
      <c r="AA408" s="1"/>
      <c r="AB408" s="1"/>
      <c r="AC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81"/>
      <c r="S409" s="81"/>
      <c r="T409" s="81"/>
      <c r="U409" s="81"/>
      <c r="V409" s="81"/>
      <c r="W409" s="81"/>
      <c r="X409" s="81"/>
      <c r="Y409" s="1"/>
      <c r="Z409" s="1"/>
      <c r="AA409" s="1"/>
      <c r="AB409" s="1"/>
      <c r="AC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81"/>
      <c r="S410" s="81"/>
      <c r="T410" s="81"/>
      <c r="U410" s="81"/>
      <c r="V410" s="81"/>
      <c r="W410" s="81"/>
      <c r="X410" s="81"/>
      <c r="Y410" s="1"/>
      <c r="Z410" s="1"/>
      <c r="AA410" s="1"/>
      <c r="AB410" s="1"/>
      <c r="AC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81"/>
      <c r="S411" s="81"/>
      <c r="T411" s="81"/>
      <c r="U411" s="81"/>
      <c r="V411" s="81"/>
      <c r="W411" s="81"/>
      <c r="X411" s="81"/>
      <c r="Y411" s="1"/>
      <c r="Z411" s="1"/>
      <c r="AA411" s="1"/>
      <c r="AB411" s="1"/>
      <c r="AC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81"/>
      <c r="S412" s="81"/>
      <c r="T412" s="81"/>
      <c r="U412" s="81"/>
      <c r="V412" s="81"/>
      <c r="W412" s="81"/>
      <c r="X412" s="81"/>
      <c r="Y412" s="1"/>
      <c r="Z412" s="1"/>
      <c r="AA412" s="1"/>
      <c r="AB412" s="1"/>
      <c r="AC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81"/>
      <c r="S413" s="81"/>
      <c r="T413" s="81"/>
      <c r="U413" s="81"/>
      <c r="V413" s="81"/>
      <c r="W413" s="81"/>
      <c r="X413" s="81"/>
      <c r="Y413" s="1"/>
      <c r="Z413" s="1"/>
      <c r="AA413" s="1"/>
      <c r="AB413" s="1"/>
      <c r="AC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81"/>
      <c r="S414" s="81"/>
      <c r="T414" s="81"/>
      <c r="U414" s="81"/>
      <c r="V414" s="81"/>
      <c r="W414" s="81"/>
      <c r="X414" s="81"/>
      <c r="Y414" s="1"/>
      <c r="Z414" s="1"/>
      <c r="AA414" s="1"/>
      <c r="AB414" s="1"/>
      <c r="AC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81"/>
      <c r="S415" s="81"/>
      <c r="T415" s="81"/>
      <c r="U415" s="81"/>
      <c r="V415" s="81"/>
      <c r="W415" s="81"/>
      <c r="X415" s="81"/>
      <c r="Y415" s="1"/>
      <c r="Z415" s="1"/>
      <c r="AA415" s="1"/>
      <c r="AB415" s="1"/>
      <c r="AC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81"/>
      <c r="S416" s="81"/>
      <c r="T416" s="81"/>
      <c r="U416" s="81"/>
      <c r="V416" s="81"/>
      <c r="W416" s="81"/>
      <c r="X416" s="81"/>
      <c r="Y416" s="1"/>
      <c r="Z416" s="1"/>
      <c r="AA416" s="1"/>
      <c r="AB416" s="1"/>
      <c r="AC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81"/>
      <c r="S417" s="81"/>
      <c r="T417" s="81"/>
      <c r="U417" s="81"/>
      <c r="V417" s="81"/>
      <c r="W417" s="81"/>
      <c r="X417" s="81"/>
      <c r="Y417" s="1"/>
      <c r="Z417" s="1"/>
      <c r="AA417" s="1"/>
      <c r="AB417" s="1"/>
      <c r="AC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81"/>
      <c r="S418" s="81"/>
      <c r="T418" s="81"/>
      <c r="U418" s="81"/>
      <c r="V418" s="81"/>
      <c r="W418" s="81"/>
      <c r="X418" s="81"/>
      <c r="Y418" s="1"/>
      <c r="Z418" s="1"/>
      <c r="AA418" s="1"/>
      <c r="AB418" s="1"/>
      <c r="AC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81"/>
      <c r="S419" s="81"/>
      <c r="T419" s="81"/>
      <c r="U419" s="81"/>
      <c r="V419" s="81"/>
      <c r="W419" s="81"/>
      <c r="X419" s="81"/>
      <c r="Y419" s="1"/>
      <c r="Z419" s="1"/>
      <c r="AA419" s="1"/>
      <c r="AB419" s="1"/>
      <c r="AC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81"/>
      <c r="S420" s="81"/>
      <c r="T420" s="81"/>
      <c r="U420" s="81"/>
      <c r="V420" s="81"/>
      <c r="W420" s="81"/>
      <c r="X420" s="81"/>
      <c r="Y420" s="1"/>
      <c r="Z420" s="1"/>
      <c r="AA420" s="1"/>
      <c r="AB420" s="1"/>
      <c r="AC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81"/>
      <c r="S421" s="81"/>
      <c r="T421" s="81"/>
      <c r="U421" s="81"/>
      <c r="V421" s="81"/>
      <c r="W421" s="81"/>
      <c r="X421" s="81"/>
      <c r="Y421" s="1"/>
      <c r="Z421" s="1"/>
      <c r="AA421" s="1"/>
      <c r="AB421" s="1"/>
      <c r="AC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81"/>
      <c r="S422" s="81"/>
      <c r="T422" s="81"/>
      <c r="U422" s="81"/>
      <c r="V422" s="81"/>
      <c r="W422" s="81"/>
      <c r="X422" s="81"/>
      <c r="Y422" s="1"/>
      <c r="Z422" s="1"/>
      <c r="AA422" s="1"/>
      <c r="AB422" s="1"/>
      <c r="AC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81"/>
      <c r="S423" s="81"/>
      <c r="T423" s="81"/>
      <c r="U423" s="81"/>
      <c r="V423" s="81"/>
      <c r="W423" s="81"/>
      <c r="X423" s="81"/>
      <c r="Y423" s="1"/>
      <c r="Z423" s="1"/>
      <c r="AA423" s="1"/>
      <c r="AB423" s="1"/>
      <c r="AC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81"/>
      <c r="S424" s="81"/>
      <c r="T424" s="81"/>
      <c r="U424" s="81"/>
      <c r="V424" s="81"/>
      <c r="W424" s="81"/>
      <c r="X424" s="81"/>
      <c r="Y424" s="1"/>
      <c r="Z424" s="1"/>
      <c r="AA424" s="1"/>
      <c r="AB424" s="1"/>
      <c r="AC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81"/>
      <c r="S425" s="81"/>
      <c r="T425" s="81"/>
      <c r="U425" s="81"/>
      <c r="V425" s="81"/>
      <c r="W425" s="81"/>
      <c r="X425" s="81"/>
      <c r="Y425" s="1"/>
      <c r="Z425" s="1"/>
      <c r="AA425" s="1"/>
      <c r="AB425" s="1"/>
      <c r="AC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81"/>
      <c r="S426" s="81"/>
      <c r="T426" s="81"/>
      <c r="U426" s="81"/>
      <c r="V426" s="81"/>
      <c r="W426" s="81"/>
      <c r="X426" s="81"/>
      <c r="Y426" s="1"/>
      <c r="Z426" s="1"/>
      <c r="AA426" s="1"/>
      <c r="AB426" s="1"/>
      <c r="AC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81"/>
      <c r="S427" s="81"/>
      <c r="T427" s="81"/>
      <c r="U427" s="81"/>
      <c r="V427" s="81"/>
      <c r="W427" s="81"/>
      <c r="X427" s="81"/>
      <c r="Y427" s="1"/>
      <c r="Z427" s="1"/>
      <c r="AA427" s="1"/>
      <c r="AB427" s="1"/>
      <c r="AC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81"/>
      <c r="S428" s="81"/>
      <c r="T428" s="81"/>
      <c r="U428" s="81"/>
      <c r="V428" s="81"/>
      <c r="W428" s="81"/>
      <c r="X428" s="81"/>
      <c r="Y428" s="1"/>
      <c r="Z428" s="1"/>
      <c r="AA428" s="1"/>
      <c r="AB428" s="1"/>
      <c r="AC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81"/>
      <c r="S429" s="81"/>
      <c r="T429" s="81"/>
      <c r="U429" s="81"/>
      <c r="V429" s="81"/>
      <c r="W429" s="81"/>
      <c r="X429" s="81"/>
      <c r="Y429" s="1"/>
      <c r="Z429" s="1"/>
      <c r="AA429" s="1"/>
      <c r="AB429" s="1"/>
      <c r="AC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81"/>
      <c r="S430" s="81"/>
      <c r="T430" s="81"/>
      <c r="U430" s="81"/>
      <c r="V430" s="81"/>
      <c r="W430" s="81"/>
      <c r="X430" s="81"/>
      <c r="Y430" s="1"/>
      <c r="Z430" s="1"/>
      <c r="AA430" s="1"/>
      <c r="AB430" s="1"/>
      <c r="AC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81"/>
      <c r="S431" s="81"/>
      <c r="T431" s="81"/>
      <c r="U431" s="81"/>
      <c r="V431" s="81"/>
      <c r="W431" s="81"/>
      <c r="X431" s="81"/>
      <c r="Y431" s="1"/>
      <c r="Z431" s="1"/>
      <c r="AA431" s="1"/>
      <c r="AB431" s="1"/>
      <c r="AC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81"/>
      <c r="S432" s="81"/>
      <c r="T432" s="81"/>
      <c r="U432" s="81"/>
      <c r="V432" s="81"/>
      <c r="W432" s="81"/>
      <c r="X432" s="81"/>
      <c r="Y432" s="1"/>
      <c r="Z432" s="1"/>
      <c r="AA432" s="1"/>
      <c r="AB432" s="1"/>
      <c r="AC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81"/>
      <c r="S433" s="81"/>
      <c r="T433" s="81"/>
      <c r="U433" s="81"/>
      <c r="V433" s="81"/>
      <c r="W433" s="81"/>
      <c r="X433" s="81"/>
      <c r="Y433" s="1"/>
      <c r="Z433" s="1"/>
      <c r="AA433" s="1"/>
      <c r="AB433" s="1"/>
      <c r="AC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81"/>
      <c r="S434" s="81"/>
      <c r="T434" s="81"/>
      <c r="U434" s="81"/>
      <c r="V434" s="81"/>
      <c r="W434" s="81"/>
      <c r="X434" s="81"/>
      <c r="Y434" s="1"/>
      <c r="Z434" s="1"/>
      <c r="AA434" s="1"/>
      <c r="AB434" s="1"/>
      <c r="AC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81"/>
      <c r="S435" s="81"/>
      <c r="T435" s="81"/>
      <c r="U435" s="81"/>
      <c r="V435" s="81"/>
      <c r="W435" s="81"/>
      <c r="X435" s="81"/>
      <c r="Y435" s="1"/>
      <c r="Z435" s="1"/>
      <c r="AA435" s="1"/>
      <c r="AB435" s="1"/>
      <c r="AC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81"/>
      <c r="S436" s="81"/>
      <c r="T436" s="81"/>
      <c r="U436" s="81"/>
      <c r="V436" s="81"/>
      <c r="W436" s="81"/>
      <c r="X436" s="81"/>
      <c r="Y436" s="1"/>
      <c r="Z436" s="1"/>
      <c r="AA436" s="1"/>
      <c r="AB436" s="1"/>
      <c r="AC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81"/>
      <c r="S437" s="81"/>
      <c r="T437" s="81"/>
      <c r="U437" s="81"/>
      <c r="V437" s="81"/>
      <c r="W437" s="81"/>
      <c r="X437" s="81"/>
      <c r="Y437" s="1"/>
      <c r="Z437" s="1"/>
      <c r="AA437" s="1"/>
      <c r="AB437" s="1"/>
      <c r="AC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81"/>
      <c r="S438" s="81"/>
      <c r="T438" s="81"/>
      <c r="U438" s="81"/>
      <c r="V438" s="81"/>
      <c r="W438" s="81"/>
      <c r="X438" s="81"/>
      <c r="Y438" s="1"/>
      <c r="Z438" s="1"/>
      <c r="AA438" s="1"/>
      <c r="AB438" s="1"/>
      <c r="AC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81"/>
      <c r="S439" s="81"/>
      <c r="T439" s="81"/>
      <c r="U439" s="81"/>
      <c r="V439" s="81"/>
      <c r="W439" s="81"/>
      <c r="X439" s="81"/>
      <c r="Y439" s="1"/>
      <c r="Z439" s="1"/>
      <c r="AA439" s="1"/>
      <c r="AB439" s="1"/>
      <c r="AC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81"/>
      <c r="S440" s="81"/>
      <c r="T440" s="81"/>
      <c r="U440" s="81"/>
      <c r="V440" s="81"/>
      <c r="W440" s="81"/>
      <c r="X440" s="81"/>
      <c r="Y440" s="1"/>
      <c r="Z440" s="1"/>
      <c r="AA440" s="1"/>
      <c r="AB440" s="1"/>
      <c r="AC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81"/>
      <c r="S441" s="81"/>
      <c r="T441" s="81"/>
      <c r="U441" s="81"/>
      <c r="V441" s="81"/>
      <c r="W441" s="81"/>
      <c r="X441" s="81"/>
      <c r="Y441" s="1"/>
      <c r="Z441" s="1"/>
      <c r="AA441" s="1"/>
      <c r="AB441" s="1"/>
      <c r="AC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81"/>
      <c r="S442" s="81"/>
      <c r="T442" s="81"/>
      <c r="U442" s="81"/>
      <c r="V442" s="81"/>
      <c r="W442" s="81"/>
      <c r="X442" s="81"/>
      <c r="Y442" s="1"/>
      <c r="Z442" s="1"/>
      <c r="AA442" s="1"/>
      <c r="AB442" s="1"/>
      <c r="AC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81"/>
      <c r="S443" s="81"/>
      <c r="T443" s="81"/>
      <c r="U443" s="81"/>
      <c r="V443" s="81"/>
      <c r="W443" s="81"/>
      <c r="X443" s="81"/>
      <c r="Y443" s="1"/>
      <c r="Z443" s="1"/>
      <c r="AA443" s="1"/>
      <c r="AB443" s="1"/>
      <c r="AC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81"/>
      <c r="S444" s="81"/>
      <c r="T444" s="81"/>
      <c r="U444" s="81"/>
      <c r="V444" s="81"/>
      <c r="W444" s="81"/>
      <c r="X444" s="81"/>
      <c r="Y444" s="1"/>
      <c r="Z444" s="1"/>
      <c r="AA444" s="1"/>
      <c r="AB444" s="1"/>
      <c r="AC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81"/>
      <c r="S445" s="81"/>
      <c r="T445" s="81"/>
      <c r="U445" s="81"/>
      <c r="V445" s="81"/>
      <c r="W445" s="81"/>
      <c r="X445" s="81"/>
      <c r="Y445" s="1"/>
      <c r="Z445" s="1"/>
      <c r="AA445" s="1"/>
      <c r="AB445" s="1"/>
      <c r="AC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81"/>
      <c r="S446" s="81"/>
      <c r="T446" s="81"/>
      <c r="U446" s="81"/>
      <c r="V446" s="81"/>
      <c r="W446" s="81"/>
      <c r="X446" s="81"/>
      <c r="Y446" s="1"/>
      <c r="Z446" s="1"/>
      <c r="AA446" s="1"/>
      <c r="AB446" s="1"/>
      <c r="AC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81"/>
      <c r="S447" s="81"/>
      <c r="T447" s="81"/>
      <c r="U447" s="81"/>
      <c r="V447" s="81"/>
      <c r="W447" s="81"/>
      <c r="X447" s="81"/>
      <c r="Y447" s="1"/>
      <c r="Z447" s="1"/>
      <c r="AA447" s="1"/>
      <c r="AB447" s="1"/>
      <c r="AC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81"/>
      <c r="S448" s="81"/>
      <c r="T448" s="81"/>
      <c r="U448" s="81"/>
      <c r="V448" s="81"/>
      <c r="W448" s="81"/>
      <c r="X448" s="81"/>
      <c r="Y448" s="1"/>
      <c r="Z448" s="1"/>
      <c r="AA448" s="1"/>
      <c r="AB448" s="1"/>
      <c r="AC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81"/>
      <c r="S449" s="81"/>
      <c r="T449" s="81"/>
      <c r="U449" s="81"/>
      <c r="V449" s="81"/>
      <c r="W449" s="81"/>
      <c r="X449" s="81"/>
      <c r="Y449" s="1"/>
      <c r="Z449" s="1"/>
      <c r="AA449" s="1"/>
      <c r="AB449" s="1"/>
      <c r="AC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81"/>
      <c r="S450" s="81"/>
      <c r="T450" s="81"/>
      <c r="U450" s="81"/>
      <c r="V450" s="81"/>
      <c r="W450" s="81"/>
      <c r="X450" s="81"/>
      <c r="Y450" s="1"/>
      <c r="Z450" s="1"/>
      <c r="AA450" s="1"/>
      <c r="AB450" s="1"/>
      <c r="AC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81"/>
      <c r="S451" s="81"/>
      <c r="T451" s="81"/>
      <c r="U451" s="81"/>
      <c r="V451" s="81"/>
      <c r="W451" s="81"/>
      <c r="X451" s="81"/>
      <c r="Y451" s="1"/>
      <c r="Z451" s="1"/>
      <c r="AA451" s="1"/>
      <c r="AB451" s="1"/>
      <c r="AC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81"/>
      <c r="S452" s="81"/>
      <c r="T452" s="81"/>
      <c r="U452" s="81"/>
      <c r="V452" s="81"/>
      <c r="W452" s="81"/>
      <c r="X452" s="81"/>
      <c r="Y452" s="1"/>
      <c r="Z452" s="1"/>
      <c r="AA452" s="1"/>
      <c r="AB452" s="1"/>
      <c r="AC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81"/>
      <c r="S453" s="81"/>
      <c r="T453" s="81"/>
      <c r="U453" s="81"/>
      <c r="V453" s="81"/>
      <c r="W453" s="81"/>
      <c r="X453" s="81"/>
      <c r="Y453" s="1"/>
      <c r="Z453" s="1"/>
      <c r="AA453" s="1"/>
      <c r="AB453" s="1"/>
      <c r="AC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81"/>
      <c r="S454" s="81"/>
      <c r="T454" s="81"/>
      <c r="U454" s="81"/>
      <c r="V454" s="81"/>
      <c r="W454" s="81"/>
      <c r="X454" s="81"/>
      <c r="Y454" s="1"/>
      <c r="Z454" s="1"/>
      <c r="AA454" s="1"/>
      <c r="AB454" s="1"/>
      <c r="AC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81"/>
      <c r="S455" s="81"/>
      <c r="T455" s="81"/>
      <c r="U455" s="81"/>
      <c r="V455" s="81"/>
      <c r="W455" s="81"/>
      <c r="X455" s="81"/>
      <c r="Y455" s="1"/>
      <c r="Z455" s="1"/>
      <c r="AA455" s="1"/>
      <c r="AB455" s="1"/>
      <c r="AC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81"/>
      <c r="S456" s="81"/>
      <c r="T456" s="81"/>
      <c r="U456" s="81"/>
      <c r="V456" s="81"/>
      <c r="W456" s="81"/>
      <c r="X456" s="81"/>
      <c r="Y456" s="1"/>
      <c r="Z456" s="1"/>
      <c r="AA456" s="1"/>
      <c r="AB456" s="1"/>
      <c r="AC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81"/>
      <c r="S457" s="81"/>
      <c r="T457" s="81"/>
      <c r="U457" s="81"/>
      <c r="V457" s="81"/>
      <c r="W457" s="81"/>
      <c r="X457" s="81"/>
      <c r="Y457" s="1"/>
      <c r="Z457" s="1"/>
      <c r="AA457" s="1"/>
      <c r="AB457" s="1"/>
      <c r="AC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81"/>
      <c r="S458" s="81"/>
      <c r="T458" s="81"/>
      <c r="U458" s="81"/>
      <c r="V458" s="81"/>
      <c r="W458" s="81"/>
      <c r="X458" s="81"/>
      <c r="Y458" s="1"/>
      <c r="Z458" s="1"/>
      <c r="AA458" s="1"/>
      <c r="AB458" s="1"/>
      <c r="AC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81"/>
      <c r="S459" s="81"/>
      <c r="T459" s="81"/>
      <c r="U459" s="81"/>
      <c r="V459" s="81"/>
      <c r="W459" s="81"/>
      <c r="X459" s="81"/>
      <c r="Y459" s="1"/>
      <c r="Z459" s="1"/>
      <c r="AA459" s="1"/>
      <c r="AB459" s="1"/>
      <c r="AC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81"/>
      <c r="S460" s="81"/>
      <c r="T460" s="81"/>
      <c r="U460" s="81"/>
      <c r="V460" s="81"/>
      <c r="W460" s="81"/>
      <c r="X460" s="81"/>
      <c r="Y460" s="1"/>
      <c r="Z460" s="1"/>
      <c r="AA460" s="1"/>
      <c r="AB460" s="1"/>
      <c r="AC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81"/>
      <c r="S461" s="81"/>
      <c r="T461" s="81"/>
      <c r="U461" s="81"/>
      <c r="V461" s="81"/>
      <c r="W461" s="81"/>
      <c r="X461" s="81"/>
      <c r="Y461" s="1"/>
      <c r="Z461" s="1"/>
      <c r="AA461" s="1"/>
      <c r="AB461" s="1"/>
      <c r="AC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81"/>
      <c r="S462" s="81"/>
      <c r="T462" s="81"/>
      <c r="U462" s="81"/>
      <c r="V462" s="81"/>
      <c r="W462" s="81"/>
      <c r="X462" s="81"/>
      <c r="Y462" s="1"/>
      <c r="Z462" s="1"/>
      <c r="AA462" s="1"/>
      <c r="AB462" s="1"/>
      <c r="AC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81"/>
      <c r="S463" s="81"/>
      <c r="T463" s="81"/>
      <c r="U463" s="81"/>
      <c r="V463" s="81"/>
      <c r="W463" s="81"/>
      <c r="X463" s="81"/>
      <c r="Y463" s="1"/>
      <c r="Z463" s="1"/>
      <c r="AA463" s="1"/>
      <c r="AB463" s="1"/>
      <c r="AC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81"/>
      <c r="S464" s="81"/>
      <c r="T464" s="81"/>
      <c r="U464" s="81"/>
      <c r="V464" s="81"/>
      <c r="W464" s="81"/>
      <c r="X464" s="81"/>
      <c r="Y464" s="1"/>
      <c r="Z464" s="1"/>
      <c r="AA464" s="1"/>
      <c r="AB464" s="1"/>
      <c r="AC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81"/>
      <c r="S465" s="81"/>
      <c r="T465" s="81"/>
      <c r="U465" s="81"/>
      <c r="V465" s="81"/>
      <c r="W465" s="81"/>
      <c r="X465" s="81"/>
      <c r="Y465" s="1"/>
      <c r="Z465" s="1"/>
      <c r="AA465" s="1"/>
      <c r="AB465" s="1"/>
      <c r="AC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81"/>
      <c r="S466" s="81"/>
      <c r="T466" s="81"/>
      <c r="U466" s="81"/>
      <c r="V466" s="81"/>
      <c r="W466" s="81"/>
      <c r="X466" s="81"/>
      <c r="Y466" s="1"/>
      <c r="Z466" s="1"/>
      <c r="AA466" s="1"/>
      <c r="AB466" s="1"/>
      <c r="AC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81"/>
      <c r="S467" s="81"/>
      <c r="T467" s="81"/>
      <c r="U467" s="81"/>
      <c r="V467" s="81"/>
      <c r="W467" s="81"/>
      <c r="X467" s="81"/>
      <c r="Y467" s="1"/>
      <c r="Z467" s="1"/>
      <c r="AA467" s="1"/>
      <c r="AB467" s="1"/>
      <c r="AC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81"/>
      <c r="S468" s="81"/>
      <c r="T468" s="81"/>
      <c r="U468" s="81"/>
      <c r="V468" s="81"/>
      <c r="W468" s="81"/>
      <c r="X468" s="81"/>
      <c r="Y468" s="1"/>
      <c r="Z468" s="1"/>
      <c r="AA468" s="1"/>
      <c r="AB468" s="1"/>
      <c r="AC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81"/>
      <c r="S469" s="81"/>
      <c r="T469" s="81"/>
      <c r="U469" s="81"/>
      <c r="V469" s="81"/>
      <c r="W469" s="81"/>
      <c r="X469" s="81"/>
      <c r="Y469" s="1"/>
      <c r="Z469" s="1"/>
      <c r="AA469" s="1"/>
      <c r="AB469" s="1"/>
      <c r="AC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81"/>
      <c r="S470" s="81"/>
      <c r="T470" s="81"/>
      <c r="U470" s="81"/>
      <c r="V470" s="81"/>
      <c r="W470" s="81"/>
      <c r="X470" s="81"/>
      <c r="Y470" s="1"/>
      <c r="Z470" s="1"/>
      <c r="AA470" s="1"/>
      <c r="AB470" s="1"/>
      <c r="AC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81"/>
      <c r="S471" s="81"/>
      <c r="T471" s="81"/>
      <c r="U471" s="81"/>
      <c r="V471" s="81"/>
      <c r="W471" s="81"/>
      <c r="X471" s="81"/>
      <c r="Y471" s="1"/>
      <c r="Z471" s="1"/>
      <c r="AA471" s="1"/>
      <c r="AB471" s="1"/>
      <c r="AC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81"/>
      <c r="S472" s="81"/>
      <c r="T472" s="81"/>
      <c r="U472" s="81"/>
      <c r="V472" s="81"/>
      <c r="W472" s="81"/>
      <c r="X472" s="81"/>
      <c r="Y472" s="1"/>
      <c r="Z472" s="1"/>
      <c r="AA472" s="1"/>
      <c r="AB472" s="1"/>
      <c r="AC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81"/>
      <c r="S473" s="81"/>
      <c r="T473" s="81"/>
      <c r="U473" s="81"/>
      <c r="V473" s="81"/>
      <c r="W473" s="81"/>
      <c r="X473" s="81"/>
      <c r="Y473" s="1"/>
      <c r="Z473" s="1"/>
      <c r="AA473" s="1"/>
      <c r="AB473" s="1"/>
      <c r="AC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81"/>
      <c r="S474" s="81"/>
      <c r="T474" s="81"/>
      <c r="U474" s="81"/>
      <c r="V474" s="81"/>
      <c r="W474" s="81"/>
      <c r="X474" s="81"/>
      <c r="Y474" s="1"/>
      <c r="Z474" s="1"/>
      <c r="AA474" s="1"/>
      <c r="AB474" s="1"/>
      <c r="AC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81"/>
      <c r="S475" s="81"/>
      <c r="T475" s="81"/>
      <c r="U475" s="81"/>
      <c r="V475" s="81"/>
      <c r="W475" s="81"/>
      <c r="X475" s="81"/>
      <c r="Y475" s="1"/>
      <c r="Z475" s="1"/>
      <c r="AA475" s="1"/>
      <c r="AB475" s="1"/>
      <c r="AC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81"/>
      <c r="S476" s="81"/>
      <c r="T476" s="81"/>
      <c r="U476" s="81"/>
      <c r="V476" s="81"/>
      <c r="W476" s="81"/>
      <c r="X476" s="81"/>
      <c r="Y476" s="1"/>
      <c r="Z476" s="1"/>
      <c r="AA476" s="1"/>
      <c r="AB476" s="1"/>
      <c r="AC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81"/>
      <c r="S477" s="81"/>
      <c r="T477" s="81"/>
      <c r="U477" s="81"/>
      <c r="V477" s="81"/>
      <c r="W477" s="81"/>
      <c r="X477" s="81"/>
      <c r="Y477" s="1"/>
      <c r="Z477" s="1"/>
      <c r="AA477" s="1"/>
      <c r="AB477" s="1"/>
      <c r="AC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81"/>
      <c r="S478" s="81"/>
      <c r="T478" s="81"/>
      <c r="U478" s="81"/>
      <c r="V478" s="81"/>
      <c r="W478" s="81"/>
      <c r="X478" s="81"/>
      <c r="Y478" s="1"/>
      <c r="Z478" s="1"/>
      <c r="AA478" s="1"/>
      <c r="AB478" s="1"/>
      <c r="AC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81"/>
      <c r="S479" s="81"/>
      <c r="T479" s="81"/>
      <c r="U479" s="81"/>
      <c r="V479" s="81"/>
      <c r="W479" s="81"/>
      <c r="X479" s="81"/>
      <c r="Y479" s="1"/>
      <c r="Z479" s="1"/>
      <c r="AA479" s="1"/>
      <c r="AB479" s="1"/>
      <c r="AC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81"/>
      <c r="S480" s="81"/>
      <c r="T480" s="81"/>
      <c r="U480" s="81"/>
      <c r="V480" s="81"/>
      <c r="W480" s="81"/>
      <c r="X480" s="81"/>
      <c r="Y480" s="1"/>
      <c r="Z480" s="1"/>
      <c r="AA480" s="1"/>
      <c r="AB480" s="1"/>
      <c r="AC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81"/>
      <c r="S481" s="81"/>
      <c r="T481" s="81"/>
      <c r="U481" s="81"/>
      <c r="V481" s="81"/>
      <c r="W481" s="81"/>
      <c r="X481" s="81"/>
      <c r="Y481" s="1"/>
      <c r="Z481" s="1"/>
      <c r="AA481" s="1"/>
      <c r="AB481" s="1"/>
      <c r="AC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81"/>
      <c r="S482" s="81"/>
      <c r="T482" s="81"/>
      <c r="U482" s="81"/>
      <c r="V482" s="81"/>
      <c r="W482" s="81"/>
      <c r="X482" s="81"/>
      <c r="Y482" s="1"/>
      <c r="Z482" s="1"/>
      <c r="AA482" s="1"/>
      <c r="AB482" s="1"/>
      <c r="AC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81"/>
      <c r="S483" s="81"/>
      <c r="T483" s="81"/>
      <c r="U483" s="81"/>
      <c r="V483" s="81"/>
      <c r="W483" s="81"/>
      <c r="X483" s="81"/>
      <c r="Y483" s="1"/>
      <c r="Z483" s="1"/>
      <c r="AA483" s="1"/>
      <c r="AB483" s="1"/>
      <c r="AC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81"/>
      <c r="S484" s="81"/>
      <c r="T484" s="81"/>
      <c r="U484" s="81"/>
      <c r="V484" s="81"/>
      <c r="W484" s="81"/>
      <c r="X484" s="81"/>
      <c r="Y484" s="1"/>
      <c r="Z484" s="1"/>
      <c r="AA484" s="1"/>
      <c r="AB484" s="1"/>
      <c r="AC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81"/>
      <c r="S485" s="81"/>
      <c r="T485" s="81"/>
      <c r="U485" s="81"/>
      <c r="V485" s="81"/>
      <c r="W485" s="81"/>
      <c r="X485" s="81"/>
      <c r="Y485" s="1"/>
      <c r="Z485" s="1"/>
      <c r="AA485" s="1"/>
      <c r="AB485" s="1"/>
      <c r="AC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81"/>
      <c r="S486" s="81"/>
      <c r="T486" s="81"/>
      <c r="U486" s="81"/>
      <c r="V486" s="81"/>
      <c r="W486" s="81"/>
      <c r="X486" s="81"/>
      <c r="Y486" s="1"/>
      <c r="Z486" s="1"/>
      <c r="AA486" s="1"/>
      <c r="AB486" s="1"/>
      <c r="AC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81"/>
      <c r="S487" s="81"/>
      <c r="T487" s="81"/>
      <c r="U487" s="81"/>
      <c r="V487" s="81"/>
      <c r="W487" s="81"/>
      <c r="X487" s="81"/>
      <c r="Y487" s="1"/>
      <c r="Z487" s="1"/>
      <c r="AA487" s="1"/>
      <c r="AB487" s="1"/>
      <c r="AC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81"/>
      <c r="S488" s="81"/>
      <c r="T488" s="81"/>
      <c r="U488" s="81"/>
      <c r="V488" s="81"/>
      <c r="W488" s="81"/>
      <c r="X488" s="81"/>
      <c r="Y488" s="1"/>
      <c r="Z488" s="1"/>
      <c r="AA488" s="1"/>
      <c r="AB488" s="1"/>
      <c r="AC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81"/>
      <c r="S489" s="81"/>
      <c r="T489" s="81"/>
      <c r="U489" s="81"/>
      <c r="V489" s="81"/>
      <c r="W489" s="81"/>
      <c r="X489" s="81"/>
      <c r="Y489" s="1"/>
      <c r="Z489" s="1"/>
      <c r="AA489" s="1"/>
      <c r="AB489" s="1"/>
      <c r="AC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81"/>
      <c r="S490" s="81"/>
      <c r="T490" s="81"/>
      <c r="U490" s="81"/>
      <c r="V490" s="81"/>
      <c r="W490" s="81"/>
      <c r="X490" s="81"/>
      <c r="Y490" s="1"/>
      <c r="Z490" s="1"/>
      <c r="AA490" s="1"/>
      <c r="AB490" s="1"/>
      <c r="AC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81"/>
      <c r="S491" s="81"/>
      <c r="T491" s="81"/>
      <c r="U491" s="81"/>
      <c r="V491" s="81"/>
      <c r="W491" s="81"/>
      <c r="X491" s="81"/>
      <c r="Y491" s="1"/>
      <c r="Z491" s="1"/>
      <c r="AA491" s="1"/>
      <c r="AB491" s="1"/>
      <c r="AC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81"/>
      <c r="S492" s="81"/>
      <c r="T492" s="81"/>
      <c r="U492" s="81"/>
      <c r="V492" s="81"/>
      <c r="W492" s="81"/>
      <c r="X492" s="81"/>
      <c r="Y492" s="1"/>
      <c r="Z492" s="1"/>
      <c r="AA492" s="1"/>
      <c r="AB492" s="1"/>
      <c r="AC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81"/>
      <c r="S493" s="81"/>
      <c r="T493" s="81"/>
      <c r="U493" s="81"/>
      <c r="V493" s="81"/>
      <c r="W493" s="81"/>
      <c r="X493" s="81"/>
      <c r="Y493" s="1"/>
      <c r="Z493" s="1"/>
      <c r="AA493" s="1"/>
      <c r="AB493" s="1"/>
      <c r="AC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81"/>
      <c r="S494" s="81"/>
      <c r="T494" s="81"/>
      <c r="U494" s="81"/>
      <c r="V494" s="81"/>
      <c r="W494" s="81"/>
      <c r="X494" s="81"/>
      <c r="Y494" s="1"/>
      <c r="Z494" s="1"/>
      <c r="AA494" s="1"/>
      <c r="AB494" s="1"/>
      <c r="AC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81"/>
      <c r="S495" s="81"/>
      <c r="T495" s="81"/>
      <c r="U495" s="81"/>
      <c r="V495" s="81"/>
      <c r="W495" s="81"/>
      <c r="X495" s="81"/>
      <c r="Y495" s="1"/>
      <c r="Z495" s="1"/>
      <c r="AA495" s="1"/>
      <c r="AB495" s="1"/>
      <c r="AC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81"/>
      <c r="S496" s="81"/>
      <c r="T496" s="81"/>
      <c r="U496" s="81"/>
      <c r="V496" s="81"/>
      <c r="W496" s="81"/>
      <c r="X496" s="81"/>
      <c r="Y496" s="1"/>
      <c r="Z496" s="1"/>
      <c r="AA496" s="1"/>
      <c r="AB496" s="1"/>
      <c r="AC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81"/>
      <c r="S497" s="81"/>
      <c r="T497" s="81"/>
      <c r="U497" s="81"/>
      <c r="V497" s="81"/>
      <c r="W497" s="81"/>
      <c r="X497" s="81"/>
      <c r="Y497" s="1"/>
      <c r="Z497" s="1"/>
      <c r="AA497" s="1"/>
      <c r="AB497" s="1"/>
      <c r="AC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81"/>
      <c r="S498" s="81"/>
      <c r="T498" s="81"/>
      <c r="U498" s="81"/>
      <c r="V498" s="81"/>
      <c r="W498" s="81"/>
      <c r="X498" s="81"/>
      <c r="Y498" s="1"/>
      <c r="Z498" s="1"/>
      <c r="AA498" s="1"/>
      <c r="AB498" s="1"/>
      <c r="AC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81"/>
      <c r="S499" s="81"/>
      <c r="T499" s="81"/>
      <c r="U499" s="81"/>
      <c r="V499" s="81"/>
      <c r="W499" s="81"/>
      <c r="X499" s="81"/>
      <c r="Y499" s="1"/>
      <c r="Z499" s="1"/>
      <c r="AA499" s="1"/>
      <c r="AB499" s="1"/>
      <c r="AC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81"/>
      <c r="S500" s="81"/>
      <c r="T500" s="81"/>
      <c r="U500" s="81"/>
      <c r="V500" s="81"/>
      <c r="W500" s="81"/>
      <c r="X500" s="81"/>
      <c r="Y500" s="1"/>
      <c r="Z500" s="1"/>
      <c r="AA500" s="1"/>
      <c r="AB500" s="1"/>
      <c r="AC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81"/>
      <c r="S501" s="81"/>
      <c r="T501" s="81"/>
      <c r="U501" s="81"/>
      <c r="V501" s="81"/>
      <c r="W501" s="81"/>
      <c r="X501" s="81"/>
      <c r="Y501" s="1"/>
      <c r="Z501" s="1"/>
      <c r="AA501" s="1"/>
      <c r="AB501" s="1"/>
      <c r="AC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81"/>
      <c r="S502" s="81"/>
      <c r="T502" s="81"/>
      <c r="U502" s="81"/>
      <c r="V502" s="81"/>
      <c r="W502" s="81"/>
      <c r="X502" s="81"/>
      <c r="Y502" s="1"/>
      <c r="Z502" s="1"/>
      <c r="AA502" s="1"/>
      <c r="AB502" s="1"/>
      <c r="AC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81"/>
      <c r="S503" s="81"/>
      <c r="T503" s="81"/>
      <c r="U503" s="81"/>
      <c r="V503" s="81"/>
      <c r="W503" s="81"/>
      <c r="X503" s="81"/>
      <c r="Y503" s="1"/>
      <c r="Z503" s="1"/>
      <c r="AA503" s="1"/>
      <c r="AB503" s="1"/>
      <c r="AC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81"/>
      <c r="S504" s="81"/>
      <c r="T504" s="81"/>
      <c r="U504" s="81"/>
      <c r="V504" s="81"/>
      <c r="W504" s="81"/>
      <c r="X504" s="81"/>
      <c r="Y504" s="1"/>
      <c r="Z504" s="1"/>
      <c r="AA504" s="1"/>
      <c r="AB504" s="1"/>
      <c r="AC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81"/>
      <c r="S505" s="81"/>
      <c r="T505" s="81"/>
      <c r="U505" s="81"/>
      <c r="V505" s="81"/>
      <c r="W505" s="81"/>
      <c r="X505" s="81"/>
      <c r="Y505" s="1"/>
      <c r="Z505" s="1"/>
      <c r="AA505" s="1"/>
      <c r="AB505" s="1"/>
      <c r="AC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81"/>
      <c r="S506" s="81"/>
      <c r="T506" s="81"/>
      <c r="U506" s="81"/>
      <c r="V506" s="81"/>
      <c r="W506" s="81"/>
      <c r="X506" s="81"/>
      <c r="Y506" s="1"/>
      <c r="Z506" s="1"/>
      <c r="AA506" s="1"/>
      <c r="AB506" s="1"/>
      <c r="AC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81"/>
      <c r="S507" s="81"/>
      <c r="T507" s="81"/>
      <c r="U507" s="81"/>
      <c r="V507" s="81"/>
      <c r="W507" s="81"/>
      <c r="X507" s="81"/>
      <c r="Y507" s="1"/>
      <c r="Z507" s="1"/>
      <c r="AA507" s="1"/>
      <c r="AB507" s="1"/>
      <c r="AC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81"/>
      <c r="S508" s="81"/>
      <c r="T508" s="81"/>
      <c r="U508" s="81"/>
      <c r="V508" s="81"/>
      <c r="W508" s="81"/>
      <c r="X508" s="81"/>
      <c r="Y508" s="1"/>
      <c r="Z508" s="1"/>
      <c r="AA508" s="1"/>
      <c r="AB508" s="1"/>
      <c r="AC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81"/>
      <c r="S509" s="81"/>
      <c r="T509" s="81"/>
      <c r="U509" s="81"/>
      <c r="V509" s="81"/>
      <c r="W509" s="81"/>
      <c r="X509" s="81"/>
      <c r="Y509" s="1"/>
      <c r="Z509" s="1"/>
      <c r="AA509" s="1"/>
      <c r="AB509" s="1"/>
      <c r="AC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81"/>
      <c r="S510" s="81"/>
      <c r="T510" s="81"/>
      <c r="U510" s="81"/>
      <c r="V510" s="81"/>
      <c r="W510" s="81"/>
      <c r="X510" s="81"/>
      <c r="Y510" s="1"/>
      <c r="Z510" s="1"/>
      <c r="AA510" s="1"/>
      <c r="AB510" s="1"/>
      <c r="AC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81"/>
      <c r="S511" s="81"/>
      <c r="T511" s="81"/>
      <c r="U511" s="81"/>
      <c r="V511" s="81"/>
      <c r="W511" s="81"/>
      <c r="X511" s="81"/>
      <c r="Y511" s="1"/>
      <c r="Z511" s="1"/>
      <c r="AA511" s="1"/>
      <c r="AB511" s="1"/>
      <c r="AC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81"/>
      <c r="S512" s="81"/>
      <c r="T512" s="81"/>
      <c r="U512" s="81"/>
      <c r="V512" s="81"/>
      <c r="W512" s="81"/>
      <c r="X512" s="81"/>
      <c r="Y512" s="1"/>
      <c r="Z512" s="1"/>
      <c r="AA512" s="1"/>
      <c r="AB512" s="1"/>
      <c r="AC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81"/>
      <c r="S513" s="81"/>
      <c r="T513" s="81"/>
      <c r="U513" s="81"/>
      <c r="V513" s="81"/>
      <c r="W513" s="81"/>
      <c r="X513" s="81"/>
      <c r="Y513" s="1"/>
      <c r="Z513" s="1"/>
      <c r="AA513" s="1"/>
      <c r="AB513" s="1"/>
      <c r="AC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81"/>
      <c r="S514" s="81"/>
      <c r="T514" s="81"/>
      <c r="U514" s="81"/>
      <c r="V514" s="81"/>
      <c r="W514" s="81"/>
      <c r="X514" s="81"/>
      <c r="Y514" s="1"/>
      <c r="Z514" s="1"/>
      <c r="AA514" s="1"/>
      <c r="AB514" s="1"/>
      <c r="AC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81"/>
      <c r="S515" s="81"/>
      <c r="T515" s="81"/>
      <c r="U515" s="81"/>
      <c r="V515" s="81"/>
      <c r="W515" s="81"/>
      <c r="X515" s="81"/>
      <c r="Y515" s="1"/>
      <c r="Z515" s="1"/>
      <c r="AA515" s="1"/>
      <c r="AB515" s="1"/>
      <c r="AC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81"/>
      <c r="S516" s="81"/>
      <c r="T516" s="81"/>
      <c r="U516" s="81"/>
      <c r="V516" s="81"/>
      <c r="W516" s="81"/>
      <c r="X516" s="81"/>
      <c r="Y516" s="1"/>
      <c r="Z516" s="1"/>
      <c r="AA516" s="1"/>
      <c r="AB516" s="1"/>
      <c r="AC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81"/>
      <c r="S517" s="81"/>
      <c r="T517" s="81"/>
      <c r="U517" s="81"/>
      <c r="V517" s="81"/>
      <c r="W517" s="81"/>
      <c r="X517" s="81"/>
      <c r="Y517" s="1"/>
      <c r="Z517" s="1"/>
      <c r="AA517" s="1"/>
      <c r="AB517" s="1"/>
      <c r="AC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81"/>
      <c r="S518" s="81"/>
      <c r="T518" s="81"/>
      <c r="U518" s="81"/>
      <c r="V518" s="81"/>
      <c r="W518" s="81"/>
      <c r="X518" s="81"/>
      <c r="Y518" s="1"/>
      <c r="Z518" s="1"/>
      <c r="AA518" s="1"/>
      <c r="AB518" s="1"/>
      <c r="AC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81"/>
      <c r="S519" s="81"/>
      <c r="T519" s="81"/>
      <c r="U519" s="81"/>
      <c r="V519" s="81"/>
      <c r="W519" s="81"/>
      <c r="X519" s="81"/>
      <c r="Y519" s="1"/>
      <c r="Z519" s="1"/>
      <c r="AA519" s="1"/>
      <c r="AB519" s="1"/>
      <c r="AC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81"/>
      <c r="S520" s="81"/>
      <c r="T520" s="81"/>
      <c r="U520" s="81"/>
      <c r="V520" s="81"/>
      <c r="W520" s="81"/>
      <c r="X520" s="81"/>
      <c r="Y520" s="1"/>
      <c r="Z520" s="1"/>
      <c r="AA520" s="1"/>
      <c r="AB520" s="1"/>
      <c r="AC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81"/>
      <c r="S521" s="81"/>
      <c r="T521" s="81"/>
      <c r="U521" s="81"/>
      <c r="V521" s="81"/>
      <c r="W521" s="81"/>
      <c r="X521" s="81"/>
      <c r="Y521" s="1"/>
      <c r="Z521" s="1"/>
      <c r="AA521" s="1"/>
      <c r="AB521" s="1"/>
      <c r="AC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81"/>
      <c r="S522" s="81"/>
      <c r="T522" s="81"/>
      <c r="U522" s="81"/>
      <c r="V522" s="81"/>
      <c r="W522" s="81"/>
      <c r="X522" s="81"/>
      <c r="Y522" s="1"/>
      <c r="Z522" s="1"/>
      <c r="AA522" s="1"/>
      <c r="AB522" s="1"/>
      <c r="AC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81"/>
      <c r="S523" s="81"/>
      <c r="T523" s="81"/>
      <c r="U523" s="81"/>
      <c r="V523" s="81"/>
      <c r="W523" s="81"/>
      <c r="X523" s="81"/>
      <c r="Y523" s="1"/>
      <c r="Z523" s="1"/>
      <c r="AA523" s="1"/>
      <c r="AB523" s="1"/>
      <c r="AC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81"/>
      <c r="S524" s="81"/>
      <c r="T524" s="81"/>
      <c r="U524" s="81"/>
      <c r="V524" s="81"/>
      <c r="W524" s="81"/>
      <c r="X524" s="81"/>
      <c r="Y524" s="1"/>
      <c r="Z524" s="1"/>
      <c r="AA524" s="1"/>
      <c r="AB524" s="1"/>
      <c r="AC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81"/>
      <c r="S525" s="81"/>
      <c r="T525" s="81"/>
      <c r="U525" s="81"/>
      <c r="V525" s="81"/>
      <c r="W525" s="81"/>
      <c r="X525" s="81"/>
      <c r="Y525" s="1"/>
      <c r="Z525" s="1"/>
      <c r="AA525" s="1"/>
      <c r="AB525" s="1"/>
      <c r="AC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81"/>
      <c r="S526" s="81"/>
      <c r="T526" s="81"/>
      <c r="U526" s="81"/>
      <c r="V526" s="81"/>
      <c r="W526" s="81"/>
      <c r="X526" s="81"/>
      <c r="Y526" s="1"/>
      <c r="Z526" s="1"/>
      <c r="AA526" s="1"/>
      <c r="AB526" s="1"/>
      <c r="AC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81"/>
      <c r="S527" s="81"/>
      <c r="T527" s="81"/>
      <c r="U527" s="81"/>
      <c r="V527" s="81"/>
      <c r="W527" s="81"/>
      <c r="X527" s="81"/>
      <c r="Y527" s="1"/>
      <c r="Z527" s="1"/>
      <c r="AA527" s="1"/>
      <c r="AB527" s="1"/>
      <c r="AC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81"/>
      <c r="S528" s="81"/>
      <c r="T528" s="81"/>
      <c r="U528" s="81"/>
      <c r="V528" s="81"/>
      <c r="W528" s="81"/>
      <c r="X528" s="81"/>
      <c r="Y528" s="1"/>
      <c r="Z528" s="1"/>
      <c r="AA528" s="1"/>
      <c r="AB528" s="1"/>
      <c r="AC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81"/>
      <c r="S529" s="81"/>
      <c r="T529" s="81"/>
      <c r="U529" s="81"/>
      <c r="V529" s="81"/>
      <c r="W529" s="81"/>
      <c r="X529" s="81"/>
      <c r="Y529" s="1"/>
      <c r="Z529" s="1"/>
      <c r="AA529" s="1"/>
      <c r="AB529" s="1"/>
      <c r="AC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81"/>
      <c r="S530" s="81"/>
      <c r="T530" s="81"/>
      <c r="U530" s="81"/>
      <c r="V530" s="81"/>
      <c r="W530" s="81"/>
      <c r="X530" s="81"/>
      <c r="Y530" s="1"/>
      <c r="Z530" s="1"/>
      <c r="AA530" s="1"/>
      <c r="AB530" s="1"/>
      <c r="AC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81"/>
      <c r="S531" s="81"/>
      <c r="T531" s="81"/>
      <c r="U531" s="81"/>
      <c r="V531" s="81"/>
      <c r="W531" s="81"/>
      <c r="X531" s="81"/>
      <c r="Y531" s="1"/>
      <c r="Z531" s="1"/>
      <c r="AA531" s="1"/>
      <c r="AB531" s="1"/>
      <c r="AC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81"/>
      <c r="S532" s="81"/>
      <c r="T532" s="81"/>
      <c r="U532" s="81"/>
      <c r="V532" s="81"/>
      <c r="W532" s="81"/>
      <c r="X532" s="81"/>
      <c r="Y532" s="1"/>
      <c r="Z532" s="1"/>
      <c r="AA532" s="1"/>
      <c r="AB532" s="1"/>
      <c r="AC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81"/>
      <c r="S533" s="81"/>
      <c r="T533" s="81"/>
      <c r="U533" s="81"/>
      <c r="V533" s="81"/>
      <c r="W533" s="81"/>
      <c r="X533" s="81"/>
      <c r="Y533" s="1"/>
      <c r="Z533" s="1"/>
      <c r="AA533" s="1"/>
      <c r="AB533" s="1"/>
      <c r="AC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81"/>
      <c r="S534" s="81"/>
      <c r="T534" s="81"/>
      <c r="U534" s="81"/>
      <c r="V534" s="81"/>
      <c r="W534" s="81"/>
      <c r="X534" s="81"/>
      <c r="Y534" s="1"/>
      <c r="Z534" s="1"/>
      <c r="AA534" s="1"/>
      <c r="AB534" s="1"/>
      <c r="AC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81"/>
      <c r="S535" s="81"/>
      <c r="T535" s="81"/>
      <c r="U535" s="81"/>
      <c r="V535" s="81"/>
      <c r="W535" s="81"/>
      <c r="X535" s="81"/>
      <c r="Y535" s="1"/>
      <c r="Z535" s="1"/>
      <c r="AA535" s="1"/>
      <c r="AB535" s="1"/>
      <c r="AC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81"/>
      <c r="S536" s="81"/>
      <c r="T536" s="81"/>
      <c r="U536" s="81"/>
      <c r="V536" s="81"/>
      <c r="W536" s="81"/>
      <c r="X536" s="81"/>
      <c r="Y536" s="1"/>
      <c r="Z536" s="1"/>
      <c r="AA536" s="1"/>
      <c r="AB536" s="1"/>
      <c r="AC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81"/>
      <c r="S537" s="81"/>
      <c r="T537" s="81"/>
      <c r="U537" s="81"/>
      <c r="V537" s="81"/>
      <c r="W537" s="81"/>
      <c r="X537" s="81"/>
      <c r="Y537" s="1"/>
      <c r="Z537" s="1"/>
      <c r="AA537" s="1"/>
      <c r="AB537" s="1"/>
      <c r="AC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81"/>
      <c r="S538" s="81"/>
      <c r="T538" s="81"/>
      <c r="U538" s="81"/>
      <c r="V538" s="81"/>
      <c r="W538" s="81"/>
      <c r="X538" s="81"/>
      <c r="Y538" s="1"/>
      <c r="Z538" s="1"/>
      <c r="AA538" s="1"/>
      <c r="AB538" s="1"/>
      <c r="AC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81"/>
      <c r="S539" s="81"/>
      <c r="T539" s="81"/>
      <c r="U539" s="81"/>
      <c r="V539" s="81"/>
      <c r="W539" s="81"/>
      <c r="X539" s="81"/>
      <c r="Y539" s="1"/>
      <c r="Z539" s="1"/>
      <c r="AA539" s="1"/>
      <c r="AB539" s="1"/>
      <c r="AC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81"/>
      <c r="S540" s="81"/>
      <c r="T540" s="81"/>
      <c r="U540" s="81"/>
      <c r="V540" s="81"/>
      <c r="W540" s="81"/>
      <c r="X540" s="81"/>
      <c r="Y540" s="1"/>
      <c r="Z540" s="1"/>
      <c r="AA540" s="1"/>
      <c r="AB540" s="1"/>
      <c r="AC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81"/>
      <c r="S541" s="81"/>
      <c r="T541" s="81"/>
      <c r="U541" s="81"/>
      <c r="V541" s="81"/>
      <c r="W541" s="81"/>
      <c r="X541" s="81"/>
      <c r="Y541" s="1"/>
      <c r="Z541" s="1"/>
      <c r="AA541" s="1"/>
      <c r="AB541" s="1"/>
      <c r="AC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81"/>
      <c r="S542" s="81"/>
      <c r="T542" s="81"/>
      <c r="U542" s="81"/>
      <c r="V542" s="81"/>
      <c r="W542" s="81"/>
      <c r="X542" s="81"/>
      <c r="Y542" s="1"/>
      <c r="Z542" s="1"/>
      <c r="AA542" s="1"/>
      <c r="AB542" s="1"/>
      <c r="AC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81"/>
      <c r="S543" s="81"/>
      <c r="T543" s="81"/>
      <c r="U543" s="81"/>
      <c r="V543" s="81"/>
      <c r="W543" s="81"/>
      <c r="X543" s="81"/>
      <c r="Y543" s="1"/>
      <c r="Z543" s="1"/>
      <c r="AA543" s="1"/>
      <c r="AB543" s="1"/>
      <c r="AC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81"/>
      <c r="S544" s="81"/>
      <c r="T544" s="81"/>
      <c r="U544" s="81"/>
      <c r="V544" s="81"/>
      <c r="W544" s="81"/>
      <c r="X544" s="81"/>
      <c r="Y544" s="1"/>
      <c r="Z544" s="1"/>
      <c r="AA544" s="1"/>
      <c r="AB544" s="1"/>
      <c r="AC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81"/>
      <c r="S545" s="81"/>
      <c r="T545" s="81"/>
      <c r="U545" s="81"/>
      <c r="V545" s="81"/>
      <c r="W545" s="81"/>
      <c r="X545" s="81"/>
      <c r="Y545" s="1"/>
      <c r="Z545" s="1"/>
      <c r="AA545" s="1"/>
      <c r="AB545" s="1"/>
      <c r="AC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81"/>
      <c r="S546" s="81"/>
      <c r="T546" s="81"/>
      <c r="U546" s="81"/>
      <c r="V546" s="81"/>
      <c r="W546" s="81"/>
      <c r="X546" s="81"/>
      <c r="Y546" s="1"/>
      <c r="Z546" s="1"/>
      <c r="AA546" s="1"/>
      <c r="AB546" s="1"/>
      <c r="AC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81"/>
      <c r="S547" s="81"/>
      <c r="T547" s="81"/>
      <c r="U547" s="81"/>
      <c r="V547" s="81"/>
      <c r="W547" s="81"/>
      <c r="X547" s="81"/>
      <c r="Y547" s="1"/>
      <c r="Z547" s="1"/>
      <c r="AA547" s="1"/>
      <c r="AB547" s="1"/>
      <c r="AC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81"/>
      <c r="S548" s="81"/>
      <c r="T548" s="81"/>
      <c r="U548" s="81"/>
      <c r="V548" s="81"/>
      <c r="W548" s="81"/>
      <c r="X548" s="81"/>
      <c r="Y548" s="1"/>
      <c r="Z548" s="1"/>
      <c r="AA548" s="1"/>
      <c r="AB548" s="1"/>
      <c r="AC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81"/>
      <c r="S549" s="81"/>
      <c r="T549" s="81"/>
      <c r="U549" s="81"/>
      <c r="V549" s="81"/>
      <c r="W549" s="81"/>
      <c r="X549" s="81"/>
      <c r="Y549" s="1"/>
      <c r="Z549" s="1"/>
      <c r="AA549" s="1"/>
      <c r="AB549" s="1"/>
      <c r="AC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81"/>
      <c r="S550" s="81"/>
      <c r="T550" s="81"/>
      <c r="U550" s="81"/>
      <c r="V550" s="81"/>
      <c r="W550" s="81"/>
      <c r="X550" s="81"/>
      <c r="Y550" s="1"/>
      <c r="Z550" s="1"/>
      <c r="AA550" s="1"/>
      <c r="AB550" s="1"/>
      <c r="AC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81"/>
      <c r="S551" s="81"/>
      <c r="T551" s="81"/>
      <c r="U551" s="81"/>
      <c r="V551" s="81"/>
      <c r="W551" s="81"/>
      <c r="X551" s="81"/>
      <c r="Y551" s="1"/>
      <c r="Z551" s="1"/>
      <c r="AA551" s="1"/>
      <c r="AB551" s="1"/>
      <c r="AC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81"/>
      <c r="S552" s="81"/>
      <c r="T552" s="81"/>
      <c r="U552" s="81"/>
      <c r="V552" s="81"/>
      <c r="W552" s="81"/>
      <c r="X552" s="81"/>
      <c r="Y552" s="1"/>
      <c r="Z552" s="1"/>
      <c r="AA552" s="1"/>
      <c r="AB552" s="1"/>
      <c r="AC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81"/>
      <c r="S553" s="81"/>
      <c r="T553" s="81"/>
      <c r="U553" s="81"/>
      <c r="V553" s="81"/>
      <c r="W553" s="81"/>
      <c r="X553" s="81"/>
      <c r="Y553" s="1"/>
      <c r="Z553" s="1"/>
      <c r="AA553" s="1"/>
      <c r="AB553" s="1"/>
      <c r="AC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81"/>
      <c r="S554" s="81"/>
      <c r="T554" s="81"/>
      <c r="U554" s="81"/>
      <c r="V554" s="81"/>
      <c r="W554" s="81"/>
      <c r="X554" s="81"/>
      <c r="Y554" s="1"/>
      <c r="Z554" s="1"/>
      <c r="AA554" s="1"/>
      <c r="AB554" s="1"/>
      <c r="AC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81"/>
      <c r="S555" s="81"/>
      <c r="T555" s="81"/>
      <c r="U555" s="81"/>
      <c r="V555" s="81"/>
      <c r="W555" s="81"/>
      <c r="X555" s="81"/>
      <c r="Y555" s="1"/>
      <c r="Z555" s="1"/>
      <c r="AA555" s="1"/>
      <c r="AB555" s="1"/>
      <c r="AC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81"/>
      <c r="S556" s="81"/>
      <c r="T556" s="81"/>
      <c r="U556" s="81"/>
      <c r="V556" s="81"/>
      <c r="W556" s="81"/>
      <c r="X556" s="81"/>
      <c r="Y556" s="1"/>
      <c r="Z556" s="1"/>
      <c r="AA556" s="1"/>
      <c r="AB556" s="1"/>
      <c r="AC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81"/>
      <c r="S557" s="81"/>
      <c r="T557" s="81"/>
      <c r="U557" s="81"/>
      <c r="V557" s="81"/>
      <c r="W557" s="81"/>
      <c r="X557" s="81"/>
      <c r="Y557" s="1"/>
      <c r="Z557" s="1"/>
      <c r="AA557" s="1"/>
      <c r="AB557" s="1"/>
      <c r="AC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81"/>
      <c r="S558" s="81"/>
      <c r="T558" s="81"/>
      <c r="U558" s="81"/>
      <c r="V558" s="81"/>
      <c r="W558" s="81"/>
      <c r="X558" s="81"/>
      <c r="Y558" s="1"/>
      <c r="Z558" s="1"/>
      <c r="AA558" s="1"/>
      <c r="AB558" s="1"/>
      <c r="AC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81"/>
      <c r="S559" s="81"/>
      <c r="T559" s="81"/>
      <c r="U559" s="81"/>
      <c r="V559" s="81"/>
      <c r="W559" s="81"/>
      <c r="X559" s="81"/>
      <c r="Y559" s="1"/>
      <c r="Z559" s="1"/>
      <c r="AA559" s="1"/>
      <c r="AB559" s="1"/>
      <c r="AC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81"/>
      <c r="S560" s="81"/>
      <c r="T560" s="81"/>
      <c r="U560" s="81"/>
      <c r="V560" s="81"/>
      <c r="W560" s="81"/>
      <c r="X560" s="81"/>
      <c r="Y560" s="1"/>
      <c r="Z560" s="1"/>
      <c r="AA560" s="1"/>
      <c r="AB560" s="1"/>
      <c r="AC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81"/>
      <c r="S561" s="81"/>
      <c r="T561" s="81"/>
      <c r="U561" s="81"/>
      <c r="V561" s="81"/>
      <c r="W561" s="81"/>
      <c r="X561" s="81"/>
      <c r="Y561" s="1"/>
      <c r="Z561" s="1"/>
      <c r="AA561" s="1"/>
      <c r="AB561" s="1"/>
      <c r="AC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81"/>
      <c r="S562" s="81"/>
      <c r="T562" s="81"/>
      <c r="U562" s="81"/>
      <c r="V562" s="81"/>
      <c r="W562" s="81"/>
      <c r="X562" s="81"/>
      <c r="Y562" s="1"/>
      <c r="Z562" s="1"/>
      <c r="AA562" s="1"/>
      <c r="AB562" s="1"/>
      <c r="AC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81"/>
      <c r="S563" s="81"/>
      <c r="T563" s="81"/>
      <c r="U563" s="81"/>
      <c r="V563" s="81"/>
      <c r="W563" s="81"/>
      <c r="X563" s="81"/>
      <c r="Y563" s="1"/>
      <c r="Z563" s="1"/>
      <c r="AA563" s="1"/>
      <c r="AB563" s="1"/>
      <c r="AC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81"/>
      <c r="S564" s="81"/>
      <c r="T564" s="81"/>
      <c r="U564" s="81"/>
      <c r="V564" s="81"/>
      <c r="W564" s="81"/>
      <c r="X564" s="81"/>
      <c r="Y564" s="1"/>
      <c r="Z564" s="1"/>
      <c r="AA564" s="1"/>
      <c r="AB564" s="1"/>
      <c r="AC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81"/>
      <c r="S565" s="81"/>
      <c r="T565" s="81"/>
      <c r="U565" s="81"/>
      <c r="V565" s="81"/>
      <c r="W565" s="81"/>
      <c r="X565" s="81"/>
      <c r="Y565" s="1"/>
      <c r="Z565" s="1"/>
      <c r="AA565" s="1"/>
      <c r="AB565" s="1"/>
      <c r="AC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81"/>
      <c r="S566" s="81"/>
      <c r="T566" s="81"/>
      <c r="U566" s="81"/>
      <c r="V566" s="81"/>
      <c r="W566" s="81"/>
      <c r="X566" s="81"/>
      <c r="Y566" s="1"/>
      <c r="Z566" s="1"/>
      <c r="AA566" s="1"/>
      <c r="AB566" s="1"/>
      <c r="AC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81"/>
      <c r="S567" s="81"/>
      <c r="T567" s="81"/>
      <c r="U567" s="81"/>
      <c r="V567" s="81"/>
      <c r="W567" s="81"/>
      <c r="X567" s="81"/>
      <c r="Y567" s="1"/>
      <c r="Z567" s="1"/>
      <c r="AA567" s="1"/>
      <c r="AB567" s="1"/>
      <c r="AC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81"/>
      <c r="S568" s="81"/>
      <c r="T568" s="81"/>
      <c r="U568" s="81"/>
      <c r="V568" s="81"/>
      <c r="W568" s="81"/>
      <c r="X568" s="81"/>
      <c r="Y568" s="1"/>
      <c r="Z568" s="1"/>
      <c r="AA568" s="1"/>
      <c r="AB568" s="1"/>
      <c r="AC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81"/>
      <c r="S569" s="81"/>
      <c r="T569" s="81"/>
      <c r="U569" s="81"/>
      <c r="V569" s="81"/>
      <c r="W569" s="81"/>
      <c r="X569" s="81"/>
      <c r="Y569" s="1"/>
      <c r="Z569" s="1"/>
      <c r="AA569" s="1"/>
      <c r="AB569" s="1"/>
      <c r="AC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81"/>
      <c r="S570" s="81"/>
      <c r="T570" s="81"/>
      <c r="U570" s="81"/>
      <c r="V570" s="81"/>
      <c r="W570" s="81"/>
      <c r="X570" s="81"/>
      <c r="Y570" s="1"/>
      <c r="Z570" s="1"/>
      <c r="AA570" s="1"/>
      <c r="AB570" s="1"/>
      <c r="AC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81"/>
      <c r="S571" s="81"/>
      <c r="T571" s="81"/>
      <c r="U571" s="81"/>
      <c r="V571" s="81"/>
      <c r="W571" s="81"/>
      <c r="X571" s="81"/>
      <c r="Y571" s="1"/>
      <c r="Z571" s="1"/>
      <c r="AA571" s="1"/>
      <c r="AB571" s="1"/>
      <c r="AC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81"/>
      <c r="S572" s="81"/>
      <c r="T572" s="81"/>
      <c r="U572" s="81"/>
      <c r="V572" s="81"/>
      <c r="W572" s="81"/>
      <c r="X572" s="81"/>
      <c r="Y572" s="1"/>
      <c r="Z572" s="1"/>
      <c r="AA572" s="1"/>
      <c r="AB572" s="1"/>
      <c r="AC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81"/>
      <c r="S573" s="81"/>
      <c r="T573" s="81"/>
      <c r="U573" s="81"/>
      <c r="V573" s="81"/>
      <c r="W573" s="81"/>
      <c r="X573" s="81"/>
      <c r="Y573" s="1"/>
      <c r="Z573" s="1"/>
      <c r="AA573" s="1"/>
      <c r="AB573" s="1"/>
      <c r="AC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81"/>
      <c r="S574" s="81"/>
      <c r="T574" s="81"/>
      <c r="U574" s="81"/>
      <c r="V574" s="81"/>
      <c r="W574" s="81"/>
      <c r="X574" s="81"/>
      <c r="Y574" s="1"/>
      <c r="Z574" s="1"/>
      <c r="AA574" s="1"/>
      <c r="AB574" s="1"/>
      <c r="AC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81"/>
      <c r="S575" s="81"/>
      <c r="T575" s="81"/>
      <c r="U575" s="81"/>
      <c r="V575" s="81"/>
      <c r="W575" s="81"/>
      <c r="X575" s="81"/>
      <c r="Y575" s="1"/>
      <c r="Z575" s="1"/>
      <c r="AA575" s="1"/>
      <c r="AB575" s="1"/>
      <c r="AC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81"/>
      <c r="S576" s="81"/>
      <c r="T576" s="81"/>
      <c r="U576" s="81"/>
      <c r="V576" s="81"/>
      <c r="W576" s="81"/>
      <c r="X576" s="81"/>
      <c r="Y576" s="1"/>
      <c r="Z576" s="1"/>
      <c r="AA576" s="1"/>
      <c r="AB576" s="1"/>
      <c r="AC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81"/>
      <c r="S577" s="81"/>
      <c r="T577" s="81"/>
      <c r="U577" s="81"/>
      <c r="V577" s="81"/>
      <c r="W577" s="81"/>
      <c r="X577" s="81"/>
      <c r="Y577" s="1"/>
      <c r="Z577" s="1"/>
      <c r="AA577" s="1"/>
      <c r="AB577" s="1"/>
      <c r="AC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81"/>
      <c r="S578" s="81"/>
      <c r="T578" s="81"/>
      <c r="U578" s="81"/>
      <c r="V578" s="81"/>
      <c r="W578" s="81"/>
      <c r="X578" s="81"/>
      <c r="Y578" s="1"/>
      <c r="Z578" s="1"/>
      <c r="AA578" s="1"/>
      <c r="AB578" s="1"/>
      <c r="AC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81"/>
      <c r="S579" s="81"/>
      <c r="T579" s="81"/>
      <c r="U579" s="81"/>
      <c r="V579" s="81"/>
      <c r="W579" s="81"/>
      <c r="X579" s="81"/>
      <c r="Y579" s="1"/>
      <c r="Z579" s="1"/>
      <c r="AA579" s="1"/>
      <c r="AB579" s="1"/>
      <c r="AC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81"/>
      <c r="S580" s="81"/>
      <c r="T580" s="81"/>
      <c r="U580" s="81"/>
      <c r="V580" s="81"/>
      <c r="W580" s="81"/>
      <c r="X580" s="81"/>
      <c r="Y580" s="1"/>
      <c r="Z580" s="1"/>
      <c r="AA580" s="1"/>
      <c r="AB580" s="1"/>
      <c r="AC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81"/>
      <c r="S581" s="81"/>
      <c r="T581" s="81"/>
      <c r="U581" s="81"/>
      <c r="V581" s="81"/>
      <c r="W581" s="81"/>
      <c r="X581" s="81"/>
      <c r="Y581" s="1"/>
      <c r="Z581" s="1"/>
      <c r="AA581" s="1"/>
      <c r="AB581" s="1"/>
      <c r="AC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81"/>
      <c r="S582" s="81"/>
      <c r="T582" s="81"/>
      <c r="U582" s="81"/>
      <c r="V582" s="81"/>
      <c r="W582" s="81"/>
      <c r="X582" s="81"/>
      <c r="Y582" s="1"/>
      <c r="Z582" s="1"/>
      <c r="AA582" s="1"/>
      <c r="AB582" s="1"/>
      <c r="AC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81"/>
      <c r="S583" s="81"/>
      <c r="T583" s="81"/>
      <c r="U583" s="81"/>
      <c r="V583" s="81"/>
      <c r="W583" s="81"/>
      <c r="X583" s="81"/>
      <c r="Y583" s="1"/>
      <c r="Z583" s="1"/>
      <c r="AA583" s="1"/>
      <c r="AB583" s="1"/>
      <c r="AC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81"/>
      <c r="S584" s="81"/>
      <c r="T584" s="81"/>
      <c r="U584" s="81"/>
      <c r="V584" s="81"/>
      <c r="W584" s="81"/>
      <c r="X584" s="81"/>
      <c r="Y584" s="1"/>
      <c r="Z584" s="1"/>
      <c r="AA584" s="1"/>
      <c r="AB584" s="1"/>
      <c r="AC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81"/>
      <c r="S585" s="81"/>
      <c r="T585" s="81"/>
      <c r="U585" s="81"/>
      <c r="V585" s="81"/>
      <c r="W585" s="81"/>
      <c r="X585" s="81"/>
      <c r="Y585" s="1"/>
      <c r="Z585" s="1"/>
      <c r="AA585" s="1"/>
      <c r="AB585" s="1"/>
      <c r="AC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81"/>
      <c r="S586" s="81"/>
      <c r="T586" s="81"/>
      <c r="U586" s="81"/>
      <c r="V586" s="81"/>
      <c r="W586" s="81"/>
      <c r="X586" s="81"/>
      <c r="Y586" s="1"/>
      <c r="Z586" s="1"/>
      <c r="AA586" s="1"/>
      <c r="AB586" s="1"/>
      <c r="AC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81"/>
      <c r="S587" s="81"/>
      <c r="T587" s="81"/>
      <c r="U587" s="81"/>
      <c r="V587" s="81"/>
      <c r="W587" s="81"/>
      <c r="X587" s="81"/>
      <c r="Y587" s="1"/>
      <c r="Z587" s="1"/>
      <c r="AA587" s="1"/>
      <c r="AB587" s="1"/>
      <c r="AC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81"/>
      <c r="S588" s="81"/>
      <c r="T588" s="81"/>
      <c r="U588" s="81"/>
      <c r="V588" s="81"/>
      <c r="W588" s="81"/>
      <c r="X588" s="81"/>
      <c r="Y588" s="1"/>
      <c r="Z588" s="1"/>
      <c r="AA588" s="1"/>
      <c r="AB588" s="1"/>
      <c r="AC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81"/>
      <c r="S589" s="81"/>
      <c r="T589" s="81"/>
      <c r="U589" s="81"/>
      <c r="V589" s="81"/>
      <c r="W589" s="81"/>
      <c r="X589" s="81"/>
      <c r="Y589" s="1"/>
      <c r="Z589" s="1"/>
      <c r="AA589" s="1"/>
      <c r="AB589" s="1"/>
      <c r="AC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81"/>
      <c r="S590" s="81"/>
      <c r="T590" s="81"/>
      <c r="U590" s="81"/>
      <c r="V590" s="81"/>
      <c r="W590" s="81"/>
      <c r="X590" s="81"/>
      <c r="Y590" s="1"/>
      <c r="Z590" s="1"/>
      <c r="AA590" s="1"/>
      <c r="AB590" s="1"/>
      <c r="AC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81"/>
      <c r="S591" s="81"/>
      <c r="T591" s="81"/>
      <c r="U591" s="81"/>
      <c r="V591" s="81"/>
      <c r="W591" s="81"/>
      <c r="X591" s="81"/>
      <c r="Y591" s="1"/>
      <c r="Z591" s="1"/>
      <c r="AA591" s="1"/>
      <c r="AB591" s="1"/>
      <c r="AC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81"/>
      <c r="S592" s="81"/>
      <c r="T592" s="81"/>
      <c r="U592" s="81"/>
      <c r="V592" s="81"/>
      <c r="W592" s="81"/>
      <c r="X592" s="81"/>
      <c r="Y592" s="1"/>
      <c r="Z592" s="1"/>
      <c r="AA592" s="1"/>
      <c r="AB592" s="1"/>
      <c r="AC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81"/>
      <c r="S593" s="81"/>
      <c r="T593" s="81"/>
      <c r="U593" s="81"/>
      <c r="V593" s="81"/>
      <c r="W593" s="81"/>
      <c r="X593" s="81"/>
      <c r="Y593" s="1"/>
      <c r="Z593" s="1"/>
      <c r="AA593" s="1"/>
      <c r="AB593" s="1"/>
      <c r="AC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81"/>
      <c r="S594" s="81"/>
      <c r="T594" s="81"/>
      <c r="U594" s="81"/>
      <c r="V594" s="81"/>
      <c r="W594" s="81"/>
      <c r="X594" s="81"/>
      <c r="Y594" s="1"/>
      <c r="Z594" s="1"/>
      <c r="AA594" s="1"/>
      <c r="AB594" s="1"/>
      <c r="AC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81"/>
      <c r="S595" s="81"/>
      <c r="T595" s="81"/>
      <c r="U595" s="81"/>
      <c r="V595" s="81"/>
      <c r="W595" s="81"/>
      <c r="X595" s="81"/>
      <c r="Y595" s="1"/>
      <c r="Z595" s="1"/>
      <c r="AA595" s="1"/>
      <c r="AB595" s="1"/>
      <c r="AC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81"/>
      <c r="S596" s="81"/>
      <c r="T596" s="81"/>
      <c r="U596" s="81"/>
      <c r="V596" s="81"/>
      <c r="W596" s="81"/>
      <c r="X596" s="81"/>
      <c r="Y596" s="1"/>
      <c r="Z596" s="1"/>
      <c r="AA596" s="1"/>
      <c r="AB596" s="1"/>
      <c r="AC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81"/>
      <c r="S597" s="81"/>
      <c r="T597" s="81"/>
      <c r="U597" s="81"/>
      <c r="V597" s="81"/>
      <c r="W597" s="81"/>
      <c r="X597" s="81"/>
      <c r="Y597" s="1"/>
      <c r="Z597" s="1"/>
      <c r="AA597" s="1"/>
      <c r="AB597" s="1"/>
      <c r="AC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81"/>
      <c r="S598" s="81"/>
      <c r="T598" s="81"/>
      <c r="U598" s="81"/>
      <c r="V598" s="81"/>
      <c r="W598" s="81"/>
      <c r="X598" s="81"/>
      <c r="Y598" s="1"/>
      <c r="Z598" s="1"/>
      <c r="AA598" s="1"/>
      <c r="AB598" s="1"/>
      <c r="AC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81"/>
      <c r="S599" s="81"/>
      <c r="T599" s="81"/>
      <c r="U599" s="81"/>
      <c r="V599" s="81"/>
      <c r="W599" s="81"/>
      <c r="X599" s="81"/>
      <c r="Y599" s="1"/>
      <c r="Z599" s="1"/>
      <c r="AA599" s="1"/>
      <c r="AB599" s="1"/>
      <c r="AC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81"/>
      <c r="S600" s="81"/>
      <c r="T600" s="81"/>
      <c r="U600" s="81"/>
      <c r="V600" s="81"/>
      <c r="W600" s="81"/>
      <c r="X600" s="81"/>
      <c r="Y600" s="1"/>
      <c r="Z600" s="1"/>
      <c r="AA600" s="1"/>
      <c r="AB600" s="1"/>
      <c r="AC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81"/>
      <c r="S601" s="81"/>
      <c r="T601" s="81"/>
      <c r="U601" s="81"/>
      <c r="V601" s="81"/>
      <c r="W601" s="81"/>
      <c r="X601" s="81"/>
      <c r="Y601" s="1"/>
      <c r="Z601" s="1"/>
      <c r="AA601" s="1"/>
      <c r="AB601" s="1"/>
      <c r="AC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81"/>
      <c r="S602" s="81"/>
      <c r="T602" s="81"/>
      <c r="U602" s="81"/>
      <c r="V602" s="81"/>
      <c r="W602" s="81"/>
      <c r="X602" s="81"/>
      <c r="Y602" s="1"/>
      <c r="Z602" s="1"/>
      <c r="AA602" s="1"/>
      <c r="AB602" s="1"/>
      <c r="AC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81"/>
      <c r="S603" s="81"/>
      <c r="T603" s="81"/>
      <c r="U603" s="81"/>
      <c r="V603" s="81"/>
      <c r="W603" s="81"/>
      <c r="X603" s="81"/>
      <c r="Y603" s="1"/>
      <c r="Z603" s="1"/>
      <c r="AA603" s="1"/>
      <c r="AB603" s="1"/>
      <c r="AC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81"/>
      <c r="S604" s="81"/>
      <c r="T604" s="81"/>
      <c r="U604" s="81"/>
      <c r="V604" s="81"/>
      <c r="W604" s="81"/>
      <c r="X604" s="81"/>
      <c r="Y604" s="1"/>
      <c r="Z604" s="1"/>
      <c r="AA604" s="1"/>
      <c r="AB604" s="1"/>
      <c r="AC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81"/>
      <c r="S605" s="81"/>
      <c r="T605" s="81"/>
      <c r="U605" s="81"/>
      <c r="V605" s="81"/>
      <c r="W605" s="81"/>
      <c r="X605" s="81"/>
      <c r="Y605" s="1"/>
      <c r="Z605" s="1"/>
      <c r="AA605" s="1"/>
      <c r="AB605" s="1"/>
      <c r="AC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81"/>
      <c r="S606" s="81"/>
      <c r="T606" s="81"/>
      <c r="U606" s="81"/>
      <c r="V606" s="81"/>
      <c r="W606" s="81"/>
      <c r="X606" s="81"/>
      <c r="Y606" s="1"/>
      <c r="Z606" s="1"/>
      <c r="AA606" s="1"/>
      <c r="AB606" s="1"/>
      <c r="AC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81"/>
      <c r="S607" s="81"/>
      <c r="T607" s="81"/>
      <c r="U607" s="81"/>
      <c r="V607" s="81"/>
      <c r="W607" s="81"/>
      <c r="X607" s="81"/>
      <c r="Y607" s="1"/>
      <c r="Z607" s="1"/>
      <c r="AA607" s="1"/>
      <c r="AB607" s="1"/>
      <c r="AC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81"/>
      <c r="S608" s="81"/>
      <c r="T608" s="81"/>
      <c r="U608" s="81"/>
      <c r="V608" s="81"/>
      <c r="W608" s="81"/>
      <c r="X608" s="81"/>
      <c r="Y608" s="1"/>
      <c r="Z608" s="1"/>
      <c r="AA608" s="1"/>
      <c r="AB608" s="1"/>
      <c r="AC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81"/>
      <c r="S609" s="81"/>
      <c r="T609" s="81"/>
      <c r="U609" s="81"/>
      <c r="V609" s="81"/>
      <c r="W609" s="81"/>
      <c r="X609" s="81"/>
      <c r="Y609" s="1"/>
      <c r="Z609" s="1"/>
      <c r="AA609" s="1"/>
      <c r="AB609" s="1"/>
      <c r="AC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81"/>
      <c r="S610" s="81"/>
      <c r="T610" s="81"/>
      <c r="U610" s="81"/>
      <c r="V610" s="81"/>
      <c r="W610" s="81"/>
      <c r="X610" s="81"/>
      <c r="Y610" s="1"/>
      <c r="Z610" s="1"/>
      <c r="AA610" s="1"/>
      <c r="AB610" s="1"/>
      <c r="AC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81"/>
      <c r="S611" s="81"/>
      <c r="T611" s="81"/>
      <c r="U611" s="81"/>
      <c r="V611" s="81"/>
      <c r="W611" s="81"/>
      <c r="X611" s="81"/>
      <c r="Y611" s="1"/>
      <c r="Z611" s="1"/>
      <c r="AA611" s="1"/>
      <c r="AB611" s="1"/>
      <c r="AC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81"/>
      <c r="S612" s="81"/>
      <c r="T612" s="81"/>
      <c r="U612" s="81"/>
      <c r="V612" s="81"/>
      <c r="W612" s="81"/>
      <c r="X612" s="81"/>
      <c r="Y612" s="1"/>
      <c r="Z612" s="1"/>
      <c r="AA612" s="1"/>
      <c r="AB612" s="1"/>
      <c r="AC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81"/>
      <c r="S613" s="81"/>
      <c r="T613" s="81"/>
      <c r="U613" s="81"/>
      <c r="V613" s="81"/>
      <c r="W613" s="81"/>
      <c r="X613" s="81"/>
      <c r="Y613" s="1"/>
      <c r="Z613" s="1"/>
      <c r="AA613" s="1"/>
      <c r="AB613" s="1"/>
      <c r="AC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81"/>
      <c r="S614" s="81"/>
      <c r="T614" s="81"/>
      <c r="U614" s="81"/>
      <c r="V614" s="81"/>
      <c r="W614" s="81"/>
      <c r="X614" s="81"/>
      <c r="Y614" s="1"/>
      <c r="Z614" s="1"/>
      <c r="AA614" s="1"/>
      <c r="AB614" s="1"/>
      <c r="AC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81"/>
      <c r="S615" s="81"/>
      <c r="T615" s="81"/>
      <c r="U615" s="81"/>
      <c r="V615" s="81"/>
      <c r="W615" s="81"/>
      <c r="X615" s="81"/>
      <c r="Y615" s="1"/>
      <c r="Z615" s="1"/>
      <c r="AA615" s="1"/>
      <c r="AB615" s="1"/>
      <c r="AC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81"/>
      <c r="S616" s="81"/>
      <c r="T616" s="81"/>
      <c r="U616" s="81"/>
      <c r="V616" s="81"/>
      <c r="W616" s="81"/>
      <c r="X616" s="81"/>
      <c r="Y616" s="1"/>
      <c r="Z616" s="1"/>
      <c r="AA616" s="1"/>
      <c r="AB616" s="1"/>
      <c r="AC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81"/>
      <c r="S617" s="81"/>
      <c r="T617" s="81"/>
      <c r="U617" s="81"/>
      <c r="V617" s="81"/>
      <c r="W617" s="81"/>
      <c r="X617" s="81"/>
      <c r="Y617" s="1"/>
      <c r="Z617" s="1"/>
      <c r="AA617" s="1"/>
      <c r="AB617" s="1"/>
      <c r="AC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81"/>
      <c r="S618" s="81"/>
      <c r="T618" s="81"/>
      <c r="U618" s="81"/>
      <c r="V618" s="81"/>
      <c r="W618" s="81"/>
      <c r="X618" s="81"/>
      <c r="Y618" s="1"/>
      <c r="Z618" s="1"/>
      <c r="AA618" s="1"/>
      <c r="AB618" s="1"/>
      <c r="AC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81"/>
      <c r="S619" s="81"/>
      <c r="T619" s="81"/>
      <c r="U619" s="81"/>
      <c r="V619" s="81"/>
      <c r="W619" s="81"/>
      <c r="X619" s="81"/>
      <c r="Y619" s="1"/>
      <c r="Z619" s="1"/>
      <c r="AA619" s="1"/>
      <c r="AB619" s="1"/>
      <c r="AC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81"/>
      <c r="S620" s="81"/>
      <c r="T620" s="81"/>
      <c r="U620" s="81"/>
      <c r="V620" s="81"/>
      <c r="W620" s="81"/>
      <c r="X620" s="81"/>
      <c r="Y620" s="1"/>
      <c r="Z620" s="1"/>
      <c r="AA620" s="1"/>
      <c r="AB620" s="1"/>
      <c r="AC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81"/>
      <c r="S621" s="81"/>
      <c r="T621" s="81"/>
      <c r="U621" s="81"/>
      <c r="V621" s="81"/>
      <c r="W621" s="81"/>
      <c r="X621" s="81"/>
      <c r="Y621" s="1"/>
      <c r="Z621" s="1"/>
      <c r="AA621" s="1"/>
      <c r="AB621" s="1"/>
      <c r="AC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81"/>
      <c r="S622" s="81"/>
      <c r="T622" s="81"/>
      <c r="U622" s="81"/>
      <c r="V622" s="81"/>
      <c r="W622" s="81"/>
      <c r="X622" s="81"/>
      <c r="Y622" s="1"/>
      <c r="Z622" s="1"/>
      <c r="AA622" s="1"/>
      <c r="AB622" s="1"/>
      <c r="AC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81"/>
      <c r="S623" s="81"/>
      <c r="T623" s="81"/>
      <c r="U623" s="81"/>
      <c r="V623" s="81"/>
      <c r="W623" s="81"/>
      <c r="X623" s="81"/>
      <c r="Y623" s="1"/>
      <c r="Z623" s="1"/>
      <c r="AA623" s="1"/>
      <c r="AB623" s="1"/>
      <c r="AC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81"/>
      <c r="S624" s="81"/>
      <c r="T624" s="81"/>
      <c r="U624" s="81"/>
      <c r="V624" s="81"/>
      <c r="W624" s="81"/>
      <c r="X624" s="81"/>
      <c r="Y624" s="1"/>
      <c r="Z624" s="1"/>
      <c r="AA624" s="1"/>
      <c r="AB624" s="1"/>
      <c r="AC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81"/>
      <c r="S625" s="81"/>
      <c r="T625" s="81"/>
      <c r="U625" s="81"/>
      <c r="V625" s="81"/>
      <c r="W625" s="81"/>
      <c r="X625" s="81"/>
      <c r="Y625" s="1"/>
      <c r="Z625" s="1"/>
      <c r="AA625" s="1"/>
      <c r="AB625" s="1"/>
      <c r="AC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81"/>
      <c r="S626" s="81"/>
      <c r="T626" s="81"/>
      <c r="U626" s="81"/>
      <c r="V626" s="81"/>
      <c r="W626" s="81"/>
      <c r="X626" s="81"/>
      <c r="Y626" s="1"/>
      <c r="Z626" s="1"/>
      <c r="AA626" s="1"/>
      <c r="AB626" s="1"/>
      <c r="AC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81"/>
      <c r="S627" s="81"/>
      <c r="T627" s="81"/>
      <c r="U627" s="81"/>
      <c r="V627" s="81"/>
      <c r="W627" s="81"/>
      <c r="X627" s="81"/>
      <c r="Y627" s="1"/>
      <c r="Z627" s="1"/>
      <c r="AA627" s="1"/>
      <c r="AB627" s="1"/>
      <c r="AC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81"/>
      <c r="S628" s="81"/>
      <c r="T628" s="81"/>
      <c r="U628" s="81"/>
      <c r="V628" s="81"/>
      <c r="W628" s="81"/>
      <c r="X628" s="81"/>
      <c r="Y628" s="1"/>
      <c r="Z628" s="1"/>
      <c r="AA628" s="1"/>
      <c r="AB628" s="1"/>
      <c r="AC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81"/>
      <c r="S629" s="81"/>
      <c r="T629" s="81"/>
      <c r="U629" s="81"/>
      <c r="V629" s="81"/>
      <c r="W629" s="81"/>
      <c r="X629" s="81"/>
      <c r="Y629" s="1"/>
      <c r="Z629" s="1"/>
      <c r="AA629" s="1"/>
      <c r="AB629" s="1"/>
      <c r="AC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81"/>
      <c r="S630" s="81"/>
      <c r="T630" s="81"/>
      <c r="U630" s="81"/>
      <c r="V630" s="81"/>
      <c r="W630" s="81"/>
      <c r="X630" s="81"/>
      <c r="Y630" s="1"/>
      <c r="Z630" s="1"/>
      <c r="AA630" s="1"/>
      <c r="AB630" s="1"/>
      <c r="AC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81"/>
      <c r="S631" s="81"/>
      <c r="T631" s="81"/>
      <c r="U631" s="81"/>
      <c r="V631" s="81"/>
      <c r="W631" s="81"/>
      <c r="X631" s="81"/>
      <c r="Y631" s="1"/>
      <c r="Z631" s="1"/>
      <c r="AA631" s="1"/>
      <c r="AB631" s="1"/>
      <c r="AC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81"/>
      <c r="S632" s="81"/>
      <c r="T632" s="81"/>
      <c r="U632" s="81"/>
      <c r="V632" s="81"/>
      <c r="W632" s="81"/>
      <c r="X632" s="81"/>
      <c r="Y632" s="1"/>
      <c r="Z632" s="1"/>
      <c r="AA632" s="1"/>
      <c r="AB632" s="1"/>
      <c r="AC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81"/>
      <c r="S633" s="81"/>
      <c r="T633" s="81"/>
      <c r="U633" s="81"/>
      <c r="V633" s="81"/>
      <c r="W633" s="81"/>
      <c r="X633" s="81"/>
      <c r="Y633" s="1"/>
      <c r="Z633" s="1"/>
      <c r="AA633" s="1"/>
      <c r="AB633" s="1"/>
      <c r="AC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81"/>
      <c r="S634" s="81"/>
      <c r="T634" s="81"/>
      <c r="U634" s="81"/>
      <c r="V634" s="81"/>
      <c r="W634" s="81"/>
      <c r="X634" s="81"/>
      <c r="Y634" s="1"/>
      <c r="Z634" s="1"/>
      <c r="AA634" s="1"/>
      <c r="AB634" s="1"/>
      <c r="AC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81"/>
      <c r="S635" s="81"/>
      <c r="T635" s="81"/>
      <c r="U635" s="81"/>
      <c r="V635" s="81"/>
      <c r="W635" s="81"/>
      <c r="X635" s="81"/>
      <c r="Y635" s="1"/>
      <c r="Z635" s="1"/>
      <c r="AA635" s="1"/>
      <c r="AB635" s="1"/>
      <c r="AC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81"/>
      <c r="S636" s="81"/>
      <c r="T636" s="81"/>
      <c r="U636" s="81"/>
      <c r="V636" s="81"/>
      <c r="W636" s="81"/>
      <c r="X636" s="81"/>
      <c r="Y636" s="1"/>
      <c r="Z636" s="1"/>
      <c r="AA636" s="1"/>
      <c r="AB636" s="1"/>
      <c r="AC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81"/>
      <c r="S637" s="81"/>
      <c r="T637" s="81"/>
      <c r="U637" s="81"/>
      <c r="V637" s="81"/>
      <c r="W637" s="81"/>
      <c r="X637" s="81"/>
      <c r="Y637" s="1"/>
      <c r="Z637" s="1"/>
      <c r="AA637" s="1"/>
      <c r="AB637" s="1"/>
      <c r="AC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81"/>
      <c r="S638" s="81"/>
      <c r="T638" s="81"/>
      <c r="U638" s="81"/>
      <c r="V638" s="81"/>
      <c r="W638" s="81"/>
      <c r="X638" s="81"/>
      <c r="Y638" s="1"/>
      <c r="Z638" s="1"/>
      <c r="AA638" s="1"/>
      <c r="AB638" s="1"/>
      <c r="AC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81"/>
      <c r="S639" s="81"/>
      <c r="T639" s="81"/>
      <c r="U639" s="81"/>
      <c r="V639" s="81"/>
      <c r="W639" s="81"/>
      <c r="X639" s="81"/>
      <c r="Y639" s="1"/>
      <c r="Z639" s="1"/>
      <c r="AA639" s="1"/>
      <c r="AB639" s="1"/>
      <c r="AC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81"/>
      <c r="S640" s="81"/>
      <c r="T640" s="81"/>
      <c r="U640" s="81"/>
      <c r="V640" s="81"/>
      <c r="W640" s="81"/>
      <c r="X640" s="81"/>
      <c r="Y640" s="1"/>
      <c r="Z640" s="1"/>
      <c r="AA640" s="1"/>
      <c r="AB640" s="1"/>
      <c r="AC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81"/>
      <c r="S641" s="81"/>
      <c r="T641" s="81"/>
      <c r="U641" s="81"/>
      <c r="V641" s="81"/>
      <c r="W641" s="81"/>
      <c r="X641" s="81"/>
      <c r="Y641" s="1"/>
      <c r="Z641" s="1"/>
      <c r="AA641" s="1"/>
      <c r="AB641" s="1"/>
      <c r="AC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81"/>
      <c r="S642" s="81"/>
      <c r="T642" s="81"/>
      <c r="U642" s="81"/>
      <c r="V642" s="81"/>
      <c r="W642" s="81"/>
      <c r="X642" s="81"/>
      <c r="Y642" s="1"/>
      <c r="Z642" s="1"/>
      <c r="AA642" s="1"/>
      <c r="AB642" s="1"/>
      <c r="AC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81"/>
      <c r="S643" s="81"/>
      <c r="T643" s="81"/>
      <c r="U643" s="81"/>
      <c r="V643" s="81"/>
      <c r="W643" s="81"/>
      <c r="X643" s="81"/>
      <c r="Y643" s="1"/>
      <c r="Z643" s="1"/>
      <c r="AA643" s="1"/>
      <c r="AB643" s="1"/>
      <c r="AC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81"/>
      <c r="S644" s="81"/>
      <c r="T644" s="81"/>
      <c r="U644" s="81"/>
      <c r="V644" s="81"/>
      <c r="W644" s="81"/>
      <c r="X644" s="81"/>
      <c r="Y644" s="1"/>
      <c r="Z644" s="1"/>
      <c r="AA644" s="1"/>
      <c r="AB644" s="1"/>
      <c r="AC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81"/>
      <c r="S645" s="81"/>
      <c r="T645" s="81"/>
      <c r="U645" s="81"/>
      <c r="V645" s="81"/>
      <c r="W645" s="81"/>
      <c r="X645" s="81"/>
      <c r="Y645" s="1"/>
      <c r="Z645" s="1"/>
      <c r="AA645" s="1"/>
      <c r="AB645" s="1"/>
      <c r="AC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81"/>
      <c r="S646" s="81"/>
      <c r="T646" s="81"/>
      <c r="U646" s="81"/>
      <c r="V646" s="81"/>
      <c r="W646" s="81"/>
      <c r="X646" s="81"/>
      <c r="Y646" s="1"/>
      <c r="Z646" s="1"/>
      <c r="AA646" s="1"/>
      <c r="AB646" s="1"/>
      <c r="AC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81"/>
      <c r="S647" s="81"/>
      <c r="T647" s="81"/>
      <c r="U647" s="81"/>
      <c r="V647" s="81"/>
      <c r="W647" s="81"/>
      <c r="X647" s="81"/>
      <c r="Y647" s="1"/>
      <c r="Z647" s="1"/>
      <c r="AA647" s="1"/>
      <c r="AB647" s="1"/>
      <c r="AC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81"/>
      <c r="S648" s="81"/>
      <c r="T648" s="81"/>
      <c r="U648" s="81"/>
      <c r="V648" s="81"/>
      <c r="W648" s="81"/>
      <c r="X648" s="81"/>
      <c r="Y648" s="1"/>
      <c r="Z648" s="1"/>
      <c r="AA648" s="1"/>
      <c r="AB648" s="1"/>
      <c r="AC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81"/>
      <c r="S649" s="81"/>
      <c r="T649" s="81"/>
      <c r="U649" s="81"/>
      <c r="V649" s="81"/>
      <c r="W649" s="81"/>
      <c r="X649" s="81"/>
      <c r="Y649" s="1"/>
      <c r="Z649" s="1"/>
      <c r="AA649" s="1"/>
      <c r="AB649" s="1"/>
      <c r="AC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81"/>
      <c r="S650" s="81"/>
      <c r="T650" s="81"/>
      <c r="U650" s="81"/>
      <c r="V650" s="81"/>
      <c r="W650" s="81"/>
      <c r="X650" s="81"/>
      <c r="Y650" s="1"/>
      <c r="Z650" s="1"/>
      <c r="AA650" s="1"/>
      <c r="AB650" s="1"/>
      <c r="AC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81"/>
      <c r="S651" s="81"/>
      <c r="T651" s="81"/>
      <c r="U651" s="81"/>
      <c r="V651" s="81"/>
      <c r="W651" s="81"/>
      <c r="X651" s="81"/>
      <c r="Y651" s="1"/>
      <c r="Z651" s="1"/>
      <c r="AA651" s="1"/>
      <c r="AB651" s="1"/>
      <c r="AC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81"/>
      <c r="S652" s="81"/>
      <c r="T652" s="81"/>
      <c r="U652" s="81"/>
      <c r="V652" s="81"/>
      <c r="W652" s="81"/>
      <c r="X652" s="81"/>
      <c r="Y652" s="1"/>
      <c r="Z652" s="1"/>
      <c r="AA652" s="1"/>
      <c r="AB652" s="1"/>
      <c r="AC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81"/>
      <c r="S653" s="81"/>
      <c r="T653" s="81"/>
      <c r="U653" s="81"/>
      <c r="V653" s="81"/>
      <c r="W653" s="81"/>
      <c r="X653" s="81"/>
      <c r="Y653" s="1"/>
      <c r="Z653" s="1"/>
      <c r="AA653" s="1"/>
      <c r="AB653" s="1"/>
      <c r="AC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81"/>
      <c r="S654" s="81"/>
      <c r="T654" s="81"/>
      <c r="U654" s="81"/>
      <c r="V654" s="81"/>
      <c r="W654" s="81"/>
      <c r="X654" s="81"/>
      <c r="Y654" s="1"/>
      <c r="Z654" s="1"/>
      <c r="AA654" s="1"/>
      <c r="AB654" s="1"/>
      <c r="AC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81"/>
      <c r="S655" s="81"/>
      <c r="T655" s="81"/>
      <c r="U655" s="81"/>
      <c r="V655" s="81"/>
      <c r="W655" s="81"/>
      <c r="X655" s="81"/>
      <c r="Y655" s="1"/>
      <c r="Z655" s="1"/>
      <c r="AA655" s="1"/>
      <c r="AB655" s="1"/>
      <c r="AC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81"/>
      <c r="S656" s="81"/>
      <c r="T656" s="81"/>
      <c r="U656" s="81"/>
      <c r="V656" s="81"/>
      <c r="W656" s="81"/>
      <c r="X656" s="81"/>
      <c r="Y656" s="1"/>
      <c r="Z656" s="1"/>
      <c r="AA656" s="1"/>
      <c r="AB656" s="1"/>
      <c r="AC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81"/>
      <c r="S657" s="81"/>
      <c r="T657" s="81"/>
      <c r="U657" s="81"/>
      <c r="V657" s="81"/>
      <c r="W657" s="81"/>
      <c r="X657" s="81"/>
      <c r="Y657" s="1"/>
      <c r="Z657" s="1"/>
      <c r="AA657" s="1"/>
      <c r="AB657" s="1"/>
      <c r="AC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81"/>
      <c r="S658" s="81"/>
      <c r="T658" s="81"/>
      <c r="U658" s="81"/>
      <c r="V658" s="81"/>
      <c r="W658" s="81"/>
      <c r="X658" s="81"/>
      <c r="Y658" s="1"/>
      <c r="Z658" s="1"/>
      <c r="AA658" s="1"/>
      <c r="AB658" s="1"/>
      <c r="AC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81"/>
      <c r="S659" s="81"/>
      <c r="T659" s="81"/>
      <c r="U659" s="81"/>
      <c r="V659" s="81"/>
      <c r="W659" s="81"/>
      <c r="X659" s="81"/>
      <c r="Y659" s="1"/>
      <c r="Z659" s="1"/>
      <c r="AA659" s="1"/>
      <c r="AB659" s="1"/>
      <c r="AC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81"/>
      <c r="S660" s="81"/>
      <c r="T660" s="81"/>
      <c r="U660" s="81"/>
      <c r="V660" s="81"/>
      <c r="W660" s="81"/>
      <c r="X660" s="81"/>
      <c r="Y660" s="1"/>
      <c r="Z660" s="1"/>
      <c r="AA660" s="1"/>
      <c r="AB660" s="1"/>
      <c r="AC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81"/>
      <c r="S661" s="81"/>
      <c r="T661" s="81"/>
      <c r="U661" s="81"/>
      <c r="V661" s="81"/>
      <c r="W661" s="81"/>
      <c r="X661" s="81"/>
      <c r="Y661" s="1"/>
      <c r="Z661" s="1"/>
      <c r="AA661" s="1"/>
      <c r="AB661" s="1"/>
      <c r="AC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81"/>
      <c r="S662" s="81"/>
      <c r="T662" s="81"/>
      <c r="U662" s="81"/>
      <c r="V662" s="81"/>
      <c r="W662" s="81"/>
      <c r="X662" s="81"/>
      <c r="Y662" s="1"/>
      <c r="Z662" s="1"/>
      <c r="AA662" s="1"/>
      <c r="AB662" s="1"/>
      <c r="AC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81"/>
      <c r="S663" s="81"/>
      <c r="T663" s="81"/>
      <c r="U663" s="81"/>
      <c r="V663" s="81"/>
      <c r="W663" s="81"/>
      <c r="X663" s="81"/>
      <c r="Y663" s="1"/>
      <c r="Z663" s="1"/>
      <c r="AA663" s="1"/>
      <c r="AB663" s="1"/>
      <c r="AC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81"/>
      <c r="S664" s="81"/>
      <c r="T664" s="81"/>
      <c r="U664" s="81"/>
      <c r="V664" s="81"/>
      <c r="W664" s="81"/>
      <c r="X664" s="81"/>
      <c r="Y664" s="1"/>
      <c r="Z664" s="1"/>
      <c r="AA664" s="1"/>
      <c r="AB664" s="1"/>
      <c r="AC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81"/>
      <c r="S665" s="81"/>
      <c r="T665" s="81"/>
      <c r="U665" s="81"/>
      <c r="V665" s="81"/>
      <c r="W665" s="81"/>
      <c r="X665" s="81"/>
      <c r="Y665" s="1"/>
      <c r="Z665" s="1"/>
      <c r="AA665" s="1"/>
      <c r="AB665" s="1"/>
      <c r="AC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81"/>
      <c r="S666" s="81"/>
      <c r="T666" s="81"/>
      <c r="U666" s="81"/>
      <c r="V666" s="81"/>
      <c r="W666" s="81"/>
      <c r="X666" s="81"/>
      <c r="Y666" s="1"/>
      <c r="Z666" s="1"/>
      <c r="AA666" s="1"/>
      <c r="AB666" s="1"/>
      <c r="AC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81"/>
      <c r="S667" s="81"/>
      <c r="T667" s="81"/>
      <c r="U667" s="81"/>
      <c r="V667" s="81"/>
      <c r="W667" s="81"/>
      <c r="X667" s="81"/>
      <c r="Y667" s="1"/>
      <c r="Z667" s="1"/>
      <c r="AA667" s="1"/>
      <c r="AB667" s="1"/>
      <c r="AC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81"/>
      <c r="S668" s="81"/>
      <c r="T668" s="81"/>
      <c r="U668" s="81"/>
      <c r="V668" s="81"/>
      <c r="W668" s="81"/>
      <c r="X668" s="81"/>
      <c r="Y668" s="1"/>
      <c r="Z668" s="1"/>
      <c r="AA668" s="1"/>
      <c r="AB668" s="1"/>
      <c r="AC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81"/>
      <c r="S669" s="81"/>
      <c r="T669" s="81"/>
      <c r="U669" s="81"/>
      <c r="V669" s="81"/>
      <c r="W669" s="81"/>
      <c r="X669" s="81"/>
      <c r="Y669" s="1"/>
      <c r="Z669" s="1"/>
      <c r="AA669" s="1"/>
      <c r="AB669" s="1"/>
      <c r="AC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81"/>
      <c r="S670" s="81"/>
      <c r="T670" s="81"/>
      <c r="U670" s="81"/>
      <c r="V670" s="81"/>
      <c r="W670" s="81"/>
      <c r="X670" s="81"/>
      <c r="Y670" s="1"/>
      <c r="Z670" s="1"/>
      <c r="AA670" s="1"/>
      <c r="AB670" s="1"/>
      <c r="AC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81"/>
      <c r="S671" s="81"/>
      <c r="T671" s="81"/>
      <c r="U671" s="81"/>
      <c r="V671" s="81"/>
      <c r="W671" s="81"/>
      <c r="X671" s="81"/>
      <c r="Y671" s="1"/>
      <c r="Z671" s="1"/>
      <c r="AA671" s="1"/>
      <c r="AB671" s="1"/>
      <c r="AC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81"/>
      <c r="S672" s="81"/>
      <c r="T672" s="81"/>
      <c r="U672" s="81"/>
      <c r="V672" s="81"/>
      <c r="W672" s="81"/>
      <c r="X672" s="81"/>
      <c r="Y672" s="1"/>
      <c r="Z672" s="1"/>
      <c r="AA672" s="1"/>
      <c r="AB672" s="1"/>
      <c r="AC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81"/>
      <c r="S673" s="81"/>
      <c r="T673" s="81"/>
      <c r="U673" s="81"/>
      <c r="V673" s="81"/>
      <c r="W673" s="81"/>
      <c r="X673" s="81"/>
      <c r="Y673" s="1"/>
      <c r="Z673" s="1"/>
      <c r="AA673" s="1"/>
      <c r="AB673" s="1"/>
      <c r="AC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81"/>
      <c r="S674" s="81"/>
      <c r="T674" s="81"/>
      <c r="U674" s="81"/>
      <c r="V674" s="81"/>
      <c r="W674" s="81"/>
      <c r="X674" s="81"/>
      <c r="Y674" s="1"/>
      <c r="Z674" s="1"/>
      <c r="AA674" s="1"/>
      <c r="AB674" s="1"/>
      <c r="AC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81"/>
      <c r="S675" s="81"/>
      <c r="T675" s="81"/>
      <c r="U675" s="81"/>
      <c r="V675" s="81"/>
      <c r="W675" s="81"/>
      <c r="X675" s="81"/>
      <c r="Y675" s="1"/>
      <c r="Z675" s="1"/>
      <c r="AA675" s="1"/>
      <c r="AB675" s="1"/>
      <c r="AC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81"/>
      <c r="S676" s="81"/>
      <c r="T676" s="81"/>
      <c r="U676" s="81"/>
      <c r="V676" s="81"/>
      <c r="W676" s="81"/>
      <c r="X676" s="81"/>
      <c r="Y676" s="1"/>
      <c r="Z676" s="1"/>
      <c r="AA676" s="1"/>
      <c r="AB676" s="1"/>
      <c r="AC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81"/>
      <c r="S677" s="81"/>
      <c r="T677" s="81"/>
      <c r="U677" s="81"/>
      <c r="V677" s="81"/>
      <c r="W677" s="81"/>
      <c r="X677" s="81"/>
      <c r="Y677" s="1"/>
      <c r="Z677" s="1"/>
      <c r="AA677" s="1"/>
      <c r="AB677" s="1"/>
      <c r="AC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81"/>
      <c r="S678" s="81"/>
      <c r="T678" s="81"/>
      <c r="U678" s="81"/>
      <c r="V678" s="81"/>
      <c r="W678" s="81"/>
      <c r="X678" s="81"/>
      <c r="Y678" s="1"/>
      <c r="Z678" s="1"/>
      <c r="AA678" s="1"/>
      <c r="AB678" s="1"/>
      <c r="AC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81"/>
      <c r="S679" s="81"/>
      <c r="T679" s="81"/>
      <c r="U679" s="81"/>
      <c r="V679" s="81"/>
      <c r="W679" s="81"/>
      <c r="X679" s="81"/>
      <c r="Y679" s="1"/>
      <c r="Z679" s="1"/>
      <c r="AA679" s="1"/>
      <c r="AB679" s="1"/>
      <c r="AC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81"/>
      <c r="S680" s="81"/>
      <c r="T680" s="81"/>
      <c r="U680" s="81"/>
      <c r="V680" s="81"/>
      <c r="W680" s="81"/>
      <c r="X680" s="81"/>
      <c r="Y680" s="1"/>
      <c r="Z680" s="1"/>
      <c r="AA680" s="1"/>
      <c r="AB680" s="1"/>
      <c r="AC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81"/>
      <c r="S681" s="81"/>
      <c r="T681" s="81"/>
      <c r="U681" s="81"/>
      <c r="V681" s="81"/>
      <c r="W681" s="81"/>
      <c r="X681" s="81"/>
      <c r="Y681" s="1"/>
      <c r="Z681" s="1"/>
      <c r="AA681" s="1"/>
      <c r="AB681" s="1"/>
      <c r="AC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81"/>
      <c r="S682" s="81"/>
      <c r="T682" s="81"/>
      <c r="U682" s="81"/>
      <c r="V682" s="81"/>
      <c r="W682" s="81"/>
      <c r="X682" s="81"/>
      <c r="Y682" s="1"/>
      <c r="Z682" s="1"/>
      <c r="AA682" s="1"/>
      <c r="AB682" s="1"/>
      <c r="AC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81"/>
      <c r="S683" s="81"/>
      <c r="T683" s="81"/>
      <c r="U683" s="81"/>
      <c r="V683" s="81"/>
      <c r="W683" s="81"/>
      <c r="X683" s="81"/>
      <c r="Y683" s="1"/>
      <c r="Z683" s="1"/>
      <c r="AA683" s="1"/>
      <c r="AB683" s="1"/>
      <c r="AC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81"/>
      <c r="S684" s="81"/>
      <c r="T684" s="81"/>
      <c r="U684" s="81"/>
      <c r="V684" s="81"/>
      <c r="W684" s="81"/>
      <c r="X684" s="81"/>
      <c r="Y684" s="1"/>
      <c r="Z684" s="1"/>
      <c r="AA684" s="1"/>
      <c r="AB684" s="1"/>
      <c r="AC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81"/>
      <c r="S685" s="81"/>
      <c r="T685" s="81"/>
      <c r="U685" s="81"/>
      <c r="V685" s="81"/>
      <c r="W685" s="81"/>
      <c r="X685" s="81"/>
      <c r="Y685" s="1"/>
      <c r="Z685" s="1"/>
      <c r="AA685" s="1"/>
      <c r="AB685" s="1"/>
      <c r="AC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81"/>
      <c r="S686" s="81"/>
      <c r="T686" s="81"/>
      <c r="U686" s="81"/>
      <c r="V686" s="81"/>
      <c r="W686" s="81"/>
      <c r="X686" s="81"/>
      <c r="Y686" s="1"/>
      <c r="Z686" s="1"/>
      <c r="AA686" s="1"/>
      <c r="AB686" s="1"/>
      <c r="AC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81"/>
      <c r="S687" s="81"/>
      <c r="T687" s="81"/>
      <c r="U687" s="81"/>
      <c r="V687" s="81"/>
      <c r="W687" s="81"/>
      <c r="X687" s="81"/>
      <c r="Y687" s="1"/>
      <c r="Z687" s="1"/>
      <c r="AA687" s="1"/>
      <c r="AB687" s="1"/>
      <c r="AC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81"/>
      <c r="S688" s="81"/>
      <c r="T688" s="81"/>
      <c r="U688" s="81"/>
      <c r="V688" s="81"/>
      <c r="W688" s="81"/>
      <c r="X688" s="81"/>
      <c r="Y688" s="1"/>
      <c r="Z688" s="1"/>
      <c r="AA688" s="1"/>
      <c r="AB688" s="1"/>
      <c r="AC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81"/>
      <c r="S689" s="81"/>
      <c r="T689" s="81"/>
      <c r="U689" s="81"/>
      <c r="V689" s="81"/>
      <c r="W689" s="81"/>
      <c r="X689" s="81"/>
      <c r="Y689" s="1"/>
      <c r="Z689" s="1"/>
      <c r="AA689" s="1"/>
      <c r="AB689" s="1"/>
      <c r="AC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81"/>
      <c r="S690" s="81"/>
      <c r="T690" s="81"/>
      <c r="U690" s="81"/>
      <c r="V690" s="81"/>
      <c r="W690" s="81"/>
      <c r="X690" s="81"/>
      <c r="Y690" s="1"/>
      <c r="Z690" s="1"/>
      <c r="AA690" s="1"/>
      <c r="AB690" s="1"/>
      <c r="AC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81"/>
      <c r="S691" s="81"/>
      <c r="T691" s="81"/>
      <c r="U691" s="81"/>
      <c r="V691" s="81"/>
      <c r="W691" s="81"/>
      <c r="X691" s="81"/>
      <c r="Y691" s="1"/>
      <c r="Z691" s="1"/>
      <c r="AA691" s="1"/>
      <c r="AB691" s="1"/>
      <c r="AC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81"/>
      <c r="S692" s="81"/>
      <c r="T692" s="81"/>
      <c r="U692" s="81"/>
      <c r="V692" s="81"/>
      <c r="W692" s="81"/>
      <c r="X692" s="81"/>
      <c r="Y692" s="1"/>
      <c r="Z692" s="1"/>
      <c r="AA692" s="1"/>
      <c r="AB692" s="1"/>
      <c r="AC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81"/>
      <c r="S693" s="81"/>
      <c r="T693" s="81"/>
      <c r="U693" s="81"/>
      <c r="V693" s="81"/>
      <c r="W693" s="81"/>
      <c r="X693" s="81"/>
      <c r="Y693" s="1"/>
      <c r="Z693" s="1"/>
      <c r="AA693" s="1"/>
      <c r="AB693" s="1"/>
      <c r="AC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81"/>
      <c r="S694" s="81"/>
      <c r="T694" s="81"/>
      <c r="U694" s="81"/>
      <c r="V694" s="81"/>
      <c r="W694" s="81"/>
      <c r="X694" s="81"/>
      <c r="Y694" s="1"/>
      <c r="Z694" s="1"/>
      <c r="AA694" s="1"/>
      <c r="AB694" s="1"/>
      <c r="AC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81"/>
      <c r="S695" s="81"/>
      <c r="T695" s="81"/>
      <c r="U695" s="81"/>
      <c r="V695" s="81"/>
      <c r="W695" s="81"/>
      <c r="X695" s="81"/>
      <c r="Y695" s="1"/>
      <c r="Z695" s="1"/>
      <c r="AA695" s="1"/>
      <c r="AB695" s="1"/>
      <c r="AC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81"/>
      <c r="S696" s="81"/>
      <c r="T696" s="81"/>
      <c r="U696" s="81"/>
      <c r="V696" s="81"/>
      <c r="W696" s="81"/>
      <c r="X696" s="81"/>
      <c r="Y696" s="1"/>
      <c r="Z696" s="1"/>
      <c r="AA696" s="1"/>
      <c r="AB696" s="1"/>
      <c r="AC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81"/>
      <c r="S697" s="81"/>
      <c r="T697" s="81"/>
      <c r="U697" s="81"/>
      <c r="V697" s="81"/>
      <c r="W697" s="81"/>
      <c r="X697" s="81"/>
      <c r="Y697" s="1"/>
      <c r="Z697" s="1"/>
      <c r="AA697" s="1"/>
      <c r="AB697" s="1"/>
      <c r="AC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81"/>
      <c r="S698" s="81"/>
      <c r="T698" s="81"/>
      <c r="U698" s="81"/>
      <c r="V698" s="81"/>
      <c r="W698" s="81"/>
      <c r="X698" s="81"/>
      <c r="Y698" s="1"/>
      <c r="Z698" s="1"/>
      <c r="AA698" s="1"/>
      <c r="AB698" s="1"/>
      <c r="AC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81"/>
      <c r="S699" s="81"/>
      <c r="T699" s="81"/>
      <c r="U699" s="81"/>
      <c r="V699" s="81"/>
      <c r="W699" s="81"/>
      <c r="X699" s="81"/>
      <c r="Y699" s="1"/>
      <c r="Z699" s="1"/>
      <c r="AA699" s="1"/>
      <c r="AB699" s="1"/>
      <c r="AC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81"/>
      <c r="S700" s="81"/>
      <c r="T700" s="81"/>
      <c r="U700" s="81"/>
      <c r="V700" s="81"/>
      <c r="W700" s="81"/>
      <c r="X700" s="81"/>
      <c r="Y700" s="1"/>
      <c r="Z700" s="1"/>
      <c r="AA700" s="1"/>
      <c r="AB700" s="1"/>
      <c r="AC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81"/>
      <c r="S701" s="81"/>
      <c r="T701" s="81"/>
      <c r="U701" s="81"/>
      <c r="V701" s="81"/>
      <c r="W701" s="81"/>
      <c r="X701" s="81"/>
      <c r="Y701" s="1"/>
      <c r="Z701" s="1"/>
      <c r="AA701" s="1"/>
      <c r="AB701" s="1"/>
      <c r="AC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81"/>
      <c r="S702" s="81"/>
      <c r="T702" s="81"/>
      <c r="U702" s="81"/>
      <c r="V702" s="81"/>
      <c r="W702" s="81"/>
      <c r="X702" s="81"/>
      <c r="Y702" s="1"/>
      <c r="Z702" s="1"/>
      <c r="AA702" s="1"/>
      <c r="AB702" s="1"/>
      <c r="AC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81"/>
      <c r="S703" s="81"/>
      <c r="T703" s="81"/>
      <c r="U703" s="81"/>
      <c r="V703" s="81"/>
      <c r="W703" s="81"/>
      <c r="X703" s="81"/>
      <c r="Y703" s="1"/>
      <c r="Z703" s="1"/>
      <c r="AA703" s="1"/>
      <c r="AB703" s="1"/>
      <c r="AC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81"/>
      <c r="S704" s="81"/>
      <c r="T704" s="81"/>
      <c r="U704" s="81"/>
      <c r="V704" s="81"/>
      <c r="W704" s="81"/>
      <c r="X704" s="81"/>
      <c r="Y704" s="1"/>
      <c r="Z704" s="1"/>
      <c r="AA704" s="1"/>
      <c r="AB704" s="1"/>
      <c r="AC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81"/>
      <c r="S705" s="81"/>
      <c r="T705" s="81"/>
      <c r="U705" s="81"/>
      <c r="V705" s="81"/>
      <c r="W705" s="81"/>
      <c r="X705" s="81"/>
      <c r="Y705" s="1"/>
      <c r="Z705" s="1"/>
      <c r="AA705" s="1"/>
      <c r="AB705" s="1"/>
      <c r="AC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81"/>
      <c r="S706" s="81"/>
      <c r="T706" s="81"/>
      <c r="U706" s="81"/>
      <c r="V706" s="81"/>
      <c r="W706" s="81"/>
      <c r="X706" s="81"/>
      <c r="Y706" s="1"/>
      <c r="Z706" s="1"/>
      <c r="AA706" s="1"/>
      <c r="AB706" s="1"/>
      <c r="AC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81"/>
      <c r="S707" s="81"/>
      <c r="T707" s="81"/>
      <c r="U707" s="81"/>
      <c r="V707" s="81"/>
      <c r="W707" s="81"/>
      <c r="X707" s="81"/>
      <c r="Y707" s="1"/>
      <c r="Z707" s="1"/>
      <c r="AA707" s="1"/>
      <c r="AB707" s="1"/>
      <c r="AC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81"/>
      <c r="S708" s="81"/>
      <c r="T708" s="81"/>
      <c r="U708" s="81"/>
      <c r="V708" s="81"/>
      <c r="W708" s="81"/>
      <c r="X708" s="81"/>
      <c r="Y708" s="1"/>
      <c r="Z708" s="1"/>
      <c r="AA708" s="1"/>
      <c r="AB708" s="1"/>
      <c r="AC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81"/>
      <c r="S709" s="81"/>
      <c r="T709" s="81"/>
      <c r="U709" s="81"/>
      <c r="V709" s="81"/>
      <c r="W709" s="81"/>
      <c r="X709" s="81"/>
      <c r="Y709" s="1"/>
      <c r="Z709" s="1"/>
      <c r="AA709" s="1"/>
      <c r="AB709" s="1"/>
      <c r="AC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81"/>
      <c r="S710" s="81"/>
      <c r="T710" s="81"/>
      <c r="U710" s="81"/>
      <c r="V710" s="81"/>
      <c r="W710" s="81"/>
      <c r="X710" s="81"/>
      <c r="Y710" s="1"/>
      <c r="Z710" s="1"/>
      <c r="AA710" s="1"/>
      <c r="AB710" s="1"/>
      <c r="AC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81"/>
      <c r="S711" s="81"/>
      <c r="T711" s="81"/>
      <c r="U711" s="81"/>
      <c r="V711" s="81"/>
      <c r="W711" s="81"/>
      <c r="X711" s="81"/>
      <c r="Y711" s="1"/>
      <c r="Z711" s="1"/>
      <c r="AA711" s="1"/>
      <c r="AB711" s="1"/>
      <c r="AC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81"/>
      <c r="S712" s="81"/>
      <c r="T712" s="81"/>
      <c r="U712" s="81"/>
      <c r="V712" s="81"/>
      <c r="W712" s="81"/>
      <c r="X712" s="81"/>
      <c r="Y712" s="1"/>
      <c r="Z712" s="1"/>
      <c r="AA712" s="1"/>
      <c r="AB712" s="1"/>
      <c r="AC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81"/>
      <c r="S713" s="81"/>
      <c r="T713" s="81"/>
      <c r="U713" s="81"/>
      <c r="V713" s="81"/>
      <c r="W713" s="81"/>
      <c r="X713" s="81"/>
      <c r="Y713" s="1"/>
      <c r="Z713" s="1"/>
      <c r="AA713" s="1"/>
      <c r="AB713" s="1"/>
      <c r="AC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81"/>
      <c r="S714" s="81"/>
      <c r="T714" s="81"/>
      <c r="U714" s="81"/>
      <c r="V714" s="81"/>
      <c r="W714" s="81"/>
      <c r="X714" s="81"/>
      <c r="Y714" s="1"/>
      <c r="Z714" s="1"/>
      <c r="AA714" s="1"/>
      <c r="AB714" s="1"/>
      <c r="AC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81"/>
      <c r="S715" s="81"/>
      <c r="T715" s="81"/>
      <c r="U715" s="81"/>
      <c r="V715" s="81"/>
      <c r="W715" s="81"/>
      <c r="X715" s="81"/>
      <c r="Y715" s="1"/>
      <c r="Z715" s="1"/>
      <c r="AA715" s="1"/>
      <c r="AB715" s="1"/>
      <c r="AC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81"/>
      <c r="S716" s="81"/>
      <c r="T716" s="81"/>
      <c r="U716" s="81"/>
      <c r="V716" s="81"/>
      <c r="W716" s="81"/>
      <c r="X716" s="81"/>
      <c r="Y716" s="1"/>
      <c r="Z716" s="1"/>
      <c r="AA716" s="1"/>
      <c r="AB716" s="1"/>
      <c r="AC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81"/>
      <c r="S717" s="81"/>
      <c r="T717" s="81"/>
      <c r="U717" s="81"/>
      <c r="V717" s="81"/>
      <c r="W717" s="81"/>
      <c r="X717" s="81"/>
      <c r="Y717" s="1"/>
      <c r="Z717" s="1"/>
      <c r="AA717" s="1"/>
      <c r="AB717" s="1"/>
      <c r="AC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81"/>
      <c r="S718" s="81"/>
      <c r="T718" s="81"/>
      <c r="U718" s="81"/>
      <c r="V718" s="81"/>
      <c r="W718" s="81"/>
      <c r="X718" s="81"/>
      <c r="Y718" s="1"/>
      <c r="Z718" s="1"/>
      <c r="AA718" s="1"/>
      <c r="AB718" s="1"/>
      <c r="AC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81"/>
      <c r="S719" s="81"/>
      <c r="T719" s="81"/>
      <c r="U719" s="81"/>
      <c r="V719" s="81"/>
      <c r="W719" s="81"/>
      <c r="X719" s="81"/>
      <c r="Y719" s="1"/>
      <c r="Z719" s="1"/>
      <c r="AA719" s="1"/>
      <c r="AB719" s="1"/>
      <c r="AC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81"/>
      <c r="S720" s="81"/>
      <c r="T720" s="81"/>
      <c r="U720" s="81"/>
      <c r="V720" s="81"/>
      <c r="W720" s="81"/>
      <c r="X720" s="81"/>
      <c r="Y720" s="1"/>
      <c r="Z720" s="1"/>
      <c r="AA720" s="1"/>
      <c r="AB720" s="1"/>
      <c r="AC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81"/>
      <c r="S721" s="81"/>
      <c r="T721" s="81"/>
      <c r="U721" s="81"/>
      <c r="V721" s="81"/>
      <c r="W721" s="81"/>
      <c r="X721" s="81"/>
      <c r="Y721" s="1"/>
      <c r="Z721" s="1"/>
      <c r="AA721" s="1"/>
      <c r="AB721" s="1"/>
      <c r="AC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81"/>
      <c r="S722" s="81"/>
      <c r="T722" s="81"/>
      <c r="U722" s="81"/>
      <c r="V722" s="81"/>
      <c r="W722" s="81"/>
      <c r="X722" s="81"/>
      <c r="Y722" s="1"/>
      <c r="Z722" s="1"/>
      <c r="AA722" s="1"/>
      <c r="AB722" s="1"/>
      <c r="AC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81"/>
      <c r="S723" s="81"/>
      <c r="T723" s="81"/>
      <c r="U723" s="81"/>
      <c r="V723" s="81"/>
      <c r="W723" s="81"/>
      <c r="X723" s="81"/>
      <c r="Y723" s="1"/>
      <c r="Z723" s="1"/>
      <c r="AA723" s="1"/>
      <c r="AB723" s="1"/>
      <c r="AC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81"/>
      <c r="S724" s="81"/>
      <c r="T724" s="81"/>
      <c r="U724" s="81"/>
      <c r="V724" s="81"/>
      <c r="W724" s="81"/>
      <c r="X724" s="81"/>
      <c r="Y724" s="1"/>
      <c r="Z724" s="1"/>
      <c r="AA724" s="1"/>
      <c r="AB724" s="1"/>
      <c r="AC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81"/>
      <c r="S725" s="81"/>
      <c r="T725" s="81"/>
      <c r="U725" s="81"/>
      <c r="V725" s="81"/>
      <c r="W725" s="81"/>
      <c r="X725" s="81"/>
      <c r="Y725" s="1"/>
      <c r="Z725" s="1"/>
      <c r="AA725" s="1"/>
      <c r="AB725" s="1"/>
      <c r="AC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81"/>
      <c r="S726" s="81"/>
      <c r="T726" s="81"/>
      <c r="U726" s="81"/>
      <c r="V726" s="81"/>
      <c r="W726" s="81"/>
      <c r="X726" s="81"/>
      <c r="Y726" s="1"/>
      <c r="Z726" s="1"/>
      <c r="AA726" s="1"/>
      <c r="AB726" s="1"/>
      <c r="AC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81"/>
      <c r="S727" s="81"/>
      <c r="T727" s="81"/>
      <c r="U727" s="81"/>
      <c r="V727" s="81"/>
      <c r="W727" s="81"/>
      <c r="X727" s="81"/>
      <c r="Y727" s="1"/>
      <c r="Z727" s="1"/>
      <c r="AA727" s="1"/>
      <c r="AB727" s="1"/>
      <c r="AC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81"/>
      <c r="S728" s="81"/>
      <c r="T728" s="81"/>
      <c r="U728" s="81"/>
      <c r="V728" s="81"/>
      <c r="W728" s="81"/>
      <c r="X728" s="81"/>
      <c r="Y728" s="1"/>
      <c r="Z728" s="1"/>
      <c r="AA728" s="1"/>
      <c r="AB728" s="1"/>
      <c r="AC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81"/>
      <c r="S729" s="81"/>
      <c r="T729" s="81"/>
      <c r="U729" s="81"/>
      <c r="V729" s="81"/>
      <c r="W729" s="81"/>
      <c r="X729" s="81"/>
      <c r="Y729" s="1"/>
      <c r="Z729" s="1"/>
      <c r="AA729" s="1"/>
      <c r="AB729" s="1"/>
      <c r="AC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81"/>
      <c r="S730" s="81"/>
      <c r="T730" s="81"/>
      <c r="U730" s="81"/>
      <c r="V730" s="81"/>
      <c r="W730" s="81"/>
      <c r="X730" s="81"/>
      <c r="Y730" s="1"/>
      <c r="Z730" s="1"/>
      <c r="AA730" s="1"/>
      <c r="AB730" s="1"/>
      <c r="AC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81"/>
      <c r="S731" s="81"/>
      <c r="T731" s="81"/>
      <c r="U731" s="81"/>
      <c r="V731" s="81"/>
      <c r="W731" s="81"/>
      <c r="X731" s="81"/>
      <c r="Y731" s="1"/>
      <c r="Z731" s="1"/>
      <c r="AA731" s="1"/>
      <c r="AB731" s="1"/>
      <c r="AC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81"/>
      <c r="S732" s="81"/>
      <c r="T732" s="81"/>
      <c r="U732" s="81"/>
      <c r="V732" s="81"/>
      <c r="W732" s="81"/>
      <c r="X732" s="81"/>
      <c r="Y732" s="1"/>
      <c r="Z732" s="1"/>
      <c r="AA732" s="1"/>
      <c r="AB732" s="1"/>
      <c r="AC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81"/>
      <c r="S733" s="81"/>
      <c r="T733" s="81"/>
      <c r="U733" s="81"/>
      <c r="V733" s="81"/>
      <c r="W733" s="81"/>
      <c r="X733" s="81"/>
      <c r="Y733" s="1"/>
      <c r="Z733" s="1"/>
      <c r="AA733" s="1"/>
      <c r="AB733" s="1"/>
      <c r="AC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81"/>
      <c r="S734" s="81"/>
      <c r="T734" s="81"/>
      <c r="U734" s="81"/>
      <c r="V734" s="81"/>
      <c r="W734" s="81"/>
      <c r="X734" s="81"/>
      <c r="Y734" s="1"/>
      <c r="Z734" s="1"/>
      <c r="AA734" s="1"/>
      <c r="AB734" s="1"/>
      <c r="AC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81"/>
      <c r="S735" s="81"/>
      <c r="T735" s="81"/>
      <c r="U735" s="81"/>
      <c r="V735" s="81"/>
      <c r="W735" s="81"/>
      <c r="X735" s="81"/>
      <c r="Y735" s="1"/>
      <c r="Z735" s="1"/>
      <c r="AA735" s="1"/>
      <c r="AB735" s="1"/>
      <c r="AC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81"/>
      <c r="S736" s="81"/>
      <c r="T736" s="81"/>
      <c r="U736" s="81"/>
      <c r="V736" s="81"/>
      <c r="W736" s="81"/>
      <c r="X736" s="81"/>
      <c r="Y736" s="1"/>
      <c r="Z736" s="1"/>
      <c r="AA736" s="1"/>
      <c r="AB736" s="1"/>
      <c r="AC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81"/>
      <c r="S737" s="81"/>
      <c r="T737" s="81"/>
      <c r="U737" s="81"/>
      <c r="V737" s="81"/>
      <c r="W737" s="81"/>
      <c r="X737" s="81"/>
      <c r="Y737" s="1"/>
      <c r="Z737" s="1"/>
      <c r="AA737" s="1"/>
      <c r="AB737" s="1"/>
      <c r="AC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81"/>
      <c r="S738" s="81"/>
      <c r="T738" s="81"/>
      <c r="U738" s="81"/>
      <c r="V738" s="81"/>
      <c r="W738" s="81"/>
      <c r="X738" s="81"/>
      <c r="Y738" s="1"/>
      <c r="Z738" s="1"/>
      <c r="AA738" s="1"/>
      <c r="AB738" s="1"/>
      <c r="AC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81"/>
      <c r="S739" s="81"/>
      <c r="T739" s="81"/>
      <c r="U739" s="81"/>
      <c r="V739" s="81"/>
      <c r="W739" s="81"/>
      <c r="X739" s="81"/>
      <c r="Y739" s="1"/>
      <c r="Z739" s="1"/>
      <c r="AA739" s="1"/>
      <c r="AB739" s="1"/>
      <c r="AC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81"/>
      <c r="S740" s="81"/>
      <c r="T740" s="81"/>
      <c r="U740" s="81"/>
      <c r="V740" s="81"/>
      <c r="W740" s="81"/>
      <c r="X740" s="81"/>
      <c r="Y740" s="1"/>
      <c r="Z740" s="1"/>
      <c r="AA740" s="1"/>
      <c r="AB740" s="1"/>
      <c r="AC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81"/>
      <c r="S741" s="81"/>
      <c r="T741" s="81"/>
      <c r="U741" s="81"/>
      <c r="V741" s="81"/>
      <c r="W741" s="81"/>
      <c r="X741" s="81"/>
      <c r="Y741" s="1"/>
      <c r="Z741" s="1"/>
      <c r="AA741" s="1"/>
      <c r="AB741" s="1"/>
      <c r="AC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81"/>
      <c r="S742" s="81"/>
      <c r="T742" s="81"/>
      <c r="U742" s="81"/>
      <c r="V742" s="81"/>
      <c r="W742" s="81"/>
      <c r="X742" s="81"/>
      <c r="Y742" s="1"/>
      <c r="Z742" s="1"/>
      <c r="AA742" s="1"/>
      <c r="AB742" s="1"/>
      <c r="AC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81"/>
      <c r="S743" s="81"/>
      <c r="T743" s="81"/>
      <c r="U743" s="81"/>
      <c r="V743" s="81"/>
      <c r="W743" s="81"/>
      <c r="X743" s="81"/>
      <c r="Y743" s="1"/>
      <c r="Z743" s="1"/>
      <c r="AA743" s="1"/>
      <c r="AB743" s="1"/>
      <c r="AC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81"/>
      <c r="S744" s="81"/>
      <c r="T744" s="81"/>
      <c r="U744" s="81"/>
      <c r="V744" s="81"/>
      <c r="W744" s="81"/>
      <c r="X744" s="81"/>
      <c r="Y744" s="1"/>
      <c r="Z744" s="1"/>
      <c r="AA744" s="1"/>
      <c r="AB744" s="1"/>
      <c r="AC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81"/>
      <c r="S745" s="81"/>
      <c r="T745" s="81"/>
      <c r="U745" s="81"/>
      <c r="V745" s="81"/>
      <c r="W745" s="81"/>
      <c r="X745" s="81"/>
      <c r="Y745" s="1"/>
      <c r="Z745" s="1"/>
      <c r="AA745" s="1"/>
      <c r="AB745" s="1"/>
      <c r="AC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81"/>
      <c r="S746" s="81"/>
      <c r="T746" s="81"/>
      <c r="U746" s="81"/>
      <c r="V746" s="81"/>
      <c r="W746" s="81"/>
      <c r="X746" s="81"/>
      <c r="Y746" s="1"/>
      <c r="Z746" s="1"/>
      <c r="AA746" s="1"/>
      <c r="AB746" s="1"/>
      <c r="AC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81"/>
      <c r="S747" s="81"/>
      <c r="T747" s="81"/>
      <c r="U747" s="81"/>
      <c r="V747" s="81"/>
      <c r="W747" s="81"/>
      <c r="X747" s="81"/>
      <c r="Y747" s="1"/>
      <c r="Z747" s="1"/>
      <c r="AA747" s="1"/>
      <c r="AB747" s="1"/>
      <c r="AC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81"/>
      <c r="S748" s="81"/>
      <c r="T748" s="81"/>
      <c r="U748" s="81"/>
      <c r="V748" s="81"/>
      <c r="W748" s="81"/>
      <c r="X748" s="81"/>
      <c r="Y748" s="1"/>
      <c r="Z748" s="1"/>
      <c r="AA748" s="1"/>
      <c r="AB748" s="1"/>
      <c r="AC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81"/>
      <c r="S749" s="81"/>
      <c r="T749" s="81"/>
      <c r="U749" s="81"/>
      <c r="V749" s="81"/>
      <c r="W749" s="81"/>
      <c r="X749" s="81"/>
      <c r="Y749" s="1"/>
      <c r="Z749" s="1"/>
      <c r="AA749" s="1"/>
      <c r="AB749" s="1"/>
      <c r="AC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81"/>
      <c r="S750" s="81"/>
      <c r="T750" s="81"/>
      <c r="U750" s="81"/>
      <c r="V750" s="81"/>
      <c r="W750" s="81"/>
      <c r="X750" s="81"/>
      <c r="Y750" s="1"/>
      <c r="Z750" s="1"/>
      <c r="AA750" s="1"/>
      <c r="AB750" s="1"/>
      <c r="AC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81"/>
      <c r="S751" s="81"/>
      <c r="T751" s="81"/>
      <c r="U751" s="81"/>
      <c r="V751" s="81"/>
      <c r="W751" s="81"/>
      <c r="X751" s="81"/>
      <c r="Y751" s="1"/>
      <c r="Z751" s="1"/>
      <c r="AA751" s="1"/>
      <c r="AB751" s="1"/>
      <c r="AC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81"/>
      <c r="S752" s="81"/>
      <c r="T752" s="81"/>
      <c r="U752" s="81"/>
      <c r="V752" s="81"/>
      <c r="W752" s="81"/>
      <c r="X752" s="81"/>
      <c r="Y752" s="1"/>
      <c r="Z752" s="1"/>
      <c r="AA752" s="1"/>
      <c r="AB752" s="1"/>
      <c r="AC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81"/>
      <c r="S753" s="81"/>
      <c r="T753" s="81"/>
      <c r="U753" s="81"/>
      <c r="V753" s="81"/>
      <c r="W753" s="81"/>
      <c r="X753" s="81"/>
      <c r="Y753" s="1"/>
      <c r="Z753" s="1"/>
      <c r="AA753" s="1"/>
      <c r="AB753" s="1"/>
      <c r="AC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81"/>
      <c r="S754" s="81"/>
      <c r="T754" s="81"/>
      <c r="U754" s="81"/>
      <c r="V754" s="81"/>
      <c r="W754" s="81"/>
      <c r="X754" s="81"/>
      <c r="Y754" s="1"/>
      <c r="Z754" s="1"/>
      <c r="AA754" s="1"/>
      <c r="AB754" s="1"/>
      <c r="AC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81"/>
      <c r="S755" s="81"/>
      <c r="T755" s="81"/>
      <c r="U755" s="81"/>
      <c r="V755" s="81"/>
      <c r="W755" s="81"/>
      <c r="X755" s="81"/>
      <c r="Y755" s="1"/>
      <c r="Z755" s="1"/>
      <c r="AA755" s="1"/>
      <c r="AB755" s="1"/>
      <c r="AC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81"/>
      <c r="S756" s="81"/>
      <c r="T756" s="81"/>
      <c r="U756" s="81"/>
      <c r="V756" s="81"/>
      <c r="W756" s="81"/>
      <c r="X756" s="81"/>
      <c r="Y756" s="1"/>
      <c r="Z756" s="1"/>
      <c r="AA756" s="1"/>
      <c r="AB756" s="1"/>
      <c r="AC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81"/>
      <c r="S757" s="81"/>
      <c r="T757" s="81"/>
      <c r="U757" s="81"/>
      <c r="V757" s="81"/>
      <c r="W757" s="81"/>
      <c r="X757" s="81"/>
      <c r="Y757" s="1"/>
      <c r="Z757" s="1"/>
      <c r="AA757" s="1"/>
      <c r="AB757" s="1"/>
      <c r="AC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81"/>
      <c r="S758" s="81"/>
      <c r="T758" s="81"/>
      <c r="U758" s="81"/>
      <c r="V758" s="81"/>
      <c r="W758" s="81"/>
      <c r="X758" s="81"/>
      <c r="Y758" s="1"/>
      <c r="Z758" s="1"/>
      <c r="AA758" s="1"/>
      <c r="AB758" s="1"/>
      <c r="AC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81"/>
      <c r="S759" s="81"/>
      <c r="T759" s="81"/>
      <c r="U759" s="81"/>
      <c r="V759" s="81"/>
      <c r="W759" s="81"/>
      <c r="X759" s="81"/>
      <c r="Y759" s="1"/>
      <c r="Z759" s="1"/>
      <c r="AA759" s="1"/>
      <c r="AB759" s="1"/>
      <c r="AC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81"/>
      <c r="S760" s="81"/>
      <c r="T760" s="81"/>
      <c r="U760" s="81"/>
      <c r="V760" s="81"/>
      <c r="W760" s="81"/>
      <c r="X760" s="81"/>
      <c r="Y760" s="1"/>
      <c r="Z760" s="1"/>
      <c r="AA760" s="1"/>
      <c r="AB760" s="1"/>
      <c r="AC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81"/>
      <c r="S761" s="81"/>
      <c r="T761" s="81"/>
      <c r="U761" s="81"/>
      <c r="V761" s="81"/>
      <c r="W761" s="81"/>
      <c r="X761" s="81"/>
      <c r="Y761" s="1"/>
      <c r="Z761" s="1"/>
      <c r="AA761" s="1"/>
      <c r="AB761" s="1"/>
      <c r="AC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81"/>
      <c r="S762" s="81"/>
      <c r="T762" s="81"/>
      <c r="U762" s="81"/>
      <c r="V762" s="81"/>
      <c r="W762" s="81"/>
      <c r="X762" s="81"/>
      <c r="Y762" s="1"/>
      <c r="Z762" s="1"/>
      <c r="AA762" s="1"/>
      <c r="AB762" s="1"/>
      <c r="AC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81"/>
      <c r="S763" s="81"/>
      <c r="T763" s="81"/>
      <c r="U763" s="81"/>
      <c r="V763" s="81"/>
      <c r="W763" s="81"/>
      <c r="X763" s="81"/>
      <c r="Y763" s="1"/>
      <c r="Z763" s="1"/>
      <c r="AA763" s="1"/>
      <c r="AB763" s="1"/>
      <c r="AC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81"/>
      <c r="S764" s="81"/>
      <c r="T764" s="81"/>
      <c r="U764" s="81"/>
      <c r="V764" s="81"/>
      <c r="W764" s="81"/>
      <c r="X764" s="81"/>
      <c r="Y764" s="1"/>
      <c r="Z764" s="1"/>
      <c r="AA764" s="1"/>
      <c r="AB764" s="1"/>
      <c r="AC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81"/>
      <c r="S765" s="81"/>
      <c r="T765" s="81"/>
      <c r="U765" s="81"/>
      <c r="V765" s="81"/>
      <c r="W765" s="81"/>
      <c r="X765" s="81"/>
      <c r="Y765" s="1"/>
      <c r="Z765" s="1"/>
      <c r="AA765" s="1"/>
      <c r="AB765" s="1"/>
      <c r="AC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81"/>
      <c r="S766" s="81"/>
      <c r="T766" s="81"/>
      <c r="U766" s="81"/>
      <c r="V766" s="81"/>
      <c r="W766" s="81"/>
      <c r="X766" s="81"/>
      <c r="Y766" s="1"/>
      <c r="Z766" s="1"/>
      <c r="AA766" s="1"/>
      <c r="AB766" s="1"/>
      <c r="AC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81"/>
      <c r="S767" s="81"/>
      <c r="T767" s="81"/>
      <c r="U767" s="81"/>
      <c r="V767" s="81"/>
      <c r="W767" s="81"/>
      <c r="X767" s="81"/>
      <c r="Y767" s="1"/>
      <c r="Z767" s="1"/>
      <c r="AA767" s="1"/>
      <c r="AB767" s="1"/>
      <c r="AC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81"/>
      <c r="S768" s="81"/>
      <c r="T768" s="81"/>
      <c r="U768" s="81"/>
      <c r="V768" s="81"/>
      <c r="W768" s="81"/>
      <c r="X768" s="81"/>
      <c r="Y768" s="1"/>
      <c r="Z768" s="1"/>
      <c r="AA768" s="1"/>
      <c r="AB768" s="1"/>
      <c r="AC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81"/>
      <c r="S769" s="81"/>
      <c r="T769" s="81"/>
      <c r="U769" s="81"/>
      <c r="V769" s="81"/>
      <c r="W769" s="81"/>
      <c r="X769" s="81"/>
      <c r="Y769" s="1"/>
      <c r="Z769" s="1"/>
      <c r="AA769" s="1"/>
      <c r="AB769" s="1"/>
      <c r="AC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81"/>
      <c r="S770" s="81"/>
      <c r="T770" s="81"/>
      <c r="U770" s="81"/>
      <c r="V770" s="81"/>
      <c r="W770" s="81"/>
      <c r="X770" s="81"/>
      <c r="Y770" s="1"/>
      <c r="Z770" s="1"/>
      <c r="AA770" s="1"/>
      <c r="AB770" s="1"/>
      <c r="AC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81"/>
      <c r="S771" s="81"/>
      <c r="T771" s="81"/>
      <c r="U771" s="81"/>
      <c r="V771" s="81"/>
      <c r="W771" s="81"/>
      <c r="X771" s="81"/>
      <c r="Y771" s="1"/>
      <c r="Z771" s="1"/>
      <c r="AA771" s="1"/>
      <c r="AB771" s="1"/>
      <c r="AC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81"/>
      <c r="S772" s="81"/>
      <c r="T772" s="81"/>
      <c r="U772" s="81"/>
      <c r="V772" s="81"/>
      <c r="W772" s="81"/>
      <c r="X772" s="81"/>
      <c r="Y772" s="1"/>
      <c r="Z772" s="1"/>
      <c r="AA772" s="1"/>
      <c r="AB772" s="1"/>
      <c r="AC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81"/>
      <c r="S773" s="81"/>
      <c r="T773" s="81"/>
      <c r="U773" s="81"/>
      <c r="V773" s="81"/>
      <c r="W773" s="81"/>
      <c r="X773" s="81"/>
      <c r="Y773" s="1"/>
      <c r="Z773" s="1"/>
      <c r="AA773" s="1"/>
      <c r="AB773" s="1"/>
      <c r="AC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81"/>
      <c r="S774" s="81"/>
      <c r="T774" s="81"/>
      <c r="U774" s="81"/>
      <c r="V774" s="81"/>
      <c r="W774" s="81"/>
      <c r="X774" s="81"/>
      <c r="Y774" s="1"/>
      <c r="Z774" s="1"/>
      <c r="AA774" s="1"/>
      <c r="AB774" s="1"/>
      <c r="AC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81"/>
      <c r="S775" s="81"/>
      <c r="T775" s="81"/>
      <c r="U775" s="81"/>
      <c r="V775" s="81"/>
      <c r="W775" s="81"/>
      <c r="X775" s="81"/>
      <c r="Y775" s="1"/>
      <c r="Z775" s="1"/>
      <c r="AA775" s="1"/>
      <c r="AB775" s="1"/>
      <c r="AC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81"/>
      <c r="S776" s="81"/>
      <c r="T776" s="81"/>
      <c r="U776" s="81"/>
      <c r="V776" s="81"/>
      <c r="W776" s="81"/>
      <c r="X776" s="81"/>
      <c r="Y776" s="1"/>
      <c r="Z776" s="1"/>
      <c r="AA776" s="1"/>
      <c r="AB776" s="1"/>
      <c r="AC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81"/>
      <c r="S777" s="81"/>
      <c r="T777" s="81"/>
      <c r="U777" s="81"/>
      <c r="V777" s="81"/>
      <c r="W777" s="81"/>
      <c r="X777" s="81"/>
      <c r="Y777" s="1"/>
      <c r="Z777" s="1"/>
      <c r="AA777" s="1"/>
      <c r="AB777" s="1"/>
      <c r="AC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81"/>
      <c r="S778" s="81"/>
      <c r="T778" s="81"/>
      <c r="U778" s="81"/>
      <c r="V778" s="81"/>
      <c r="W778" s="81"/>
      <c r="X778" s="81"/>
      <c r="Y778" s="1"/>
      <c r="Z778" s="1"/>
      <c r="AA778" s="1"/>
      <c r="AB778" s="1"/>
      <c r="AC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81"/>
      <c r="S779" s="81"/>
      <c r="T779" s="81"/>
      <c r="U779" s="81"/>
      <c r="V779" s="81"/>
      <c r="W779" s="81"/>
      <c r="X779" s="81"/>
      <c r="Y779" s="1"/>
      <c r="Z779" s="1"/>
      <c r="AA779" s="1"/>
      <c r="AB779" s="1"/>
      <c r="AC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81"/>
      <c r="S780" s="81"/>
      <c r="T780" s="81"/>
      <c r="U780" s="81"/>
      <c r="V780" s="81"/>
      <c r="W780" s="81"/>
      <c r="X780" s="81"/>
      <c r="Y780" s="1"/>
      <c r="Z780" s="1"/>
      <c r="AA780" s="1"/>
      <c r="AB780" s="1"/>
      <c r="AC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81"/>
      <c r="S781" s="81"/>
      <c r="T781" s="81"/>
      <c r="U781" s="81"/>
      <c r="V781" s="81"/>
      <c r="W781" s="81"/>
      <c r="X781" s="81"/>
      <c r="Y781" s="1"/>
      <c r="Z781" s="1"/>
      <c r="AA781" s="1"/>
      <c r="AB781" s="1"/>
      <c r="AC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81"/>
      <c r="S782" s="81"/>
      <c r="T782" s="81"/>
      <c r="U782" s="81"/>
      <c r="V782" s="81"/>
      <c r="W782" s="81"/>
      <c r="X782" s="81"/>
      <c r="Y782" s="1"/>
      <c r="Z782" s="1"/>
      <c r="AA782" s="1"/>
      <c r="AB782" s="1"/>
      <c r="AC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81"/>
      <c r="S783" s="81"/>
      <c r="T783" s="81"/>
      <c r="U783" s="81"/>
      <c r="V783" s="81"/>
      <c r="W783" s="81"/>
      <c r="X783" s="81"/>
      <c r="Y783" s="1"/>
      <c r="Z783" s="1"/>
      <c r="AA783" s="1"/>
      <c r="AB783" s="1"/>
      <c r="AC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81"/>
      <c r="S784" s="81"/>
      <c r="T784" s="81"/>
      <c r="U784" s="81"/>
      <c r="V784" s="81"/>
      <c r="W784" s="81"/>
      <c r="X784" s="81"/>
      <c r="Y784" s="1"/>
      <c r="Z784" s="1"/>
      <c r="AA784" s="1"/>
      <c r="AB784" s="1"/>
      <c r="AC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81"/>
      <c r="S785" s="81"/>
      <c r="T785" s="81"/>
      <c r="U785" s="81"/>
      <c r="V785" s="81"/>
      <c r="W785" s="81"/>
      <c r="X785" s="81"/>
      <c r="Y785" s="1"/>
      <c r="Z785" s="1"/>
      <c r="AA785" s="1"/>
      <c r="AB785" s="1"/>
      <c r="AC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81"/>
      <c r="S786" s="81"/>
      <c r="T786" s="81"/>
      <c r="U786" s="81"/>
      <c r="V786" s="81"/>
      <c r="W786" s="81"/>
      <c r="X786" s="81"/>
      <c r="Y786" s="1"/>
      <c r="Z786" s="1"/>
      <c r="AA786" s="1"/>
      <c r="AB786" s="1"/>
      <c r="AC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81"/>
      <c r="S787" s="81"/>
      <c r="T787" s="81"/>
      <c r="U787" s="81"/>
      <c r="V787" s="81"/>
      <c r="W787" s="81"/>
      <c r="X787" s="81"/>
      <c r="Y787" s="1"/>
      <c r="Z787" s="1"/>
      <c r="AA787" s="1"/>
      <c r="AB787" s="1"/>
      <c r="AC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81"/>
      <c r="S788" s="81"/>
      <c r="T788" s="81"/>
      <c r="U788" s="81"/>
      <c r="V788" s="81"/>
      <c r="W788" s="81"/>
      <c r="X788" s="81"/>
      <c r="Y788" s="1"/>
      <c r="Z788" s="1"/>
      <c r="AA788" s="1"/>
      <c r="AB788" s="1"/>
      <c r="AC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81"/>
      <c r="S789" s="81"/>
      <c r="T789" s="81"/>
      <c r="U789" s="81"/>
      <c r="V789" s="81"/>
      <c r="W789" s="81"/>
      <c r="X789" s="81"/>
      <c r="Y789" s="1"/>
      <c r="Z789" s="1"/>
      <c r="AA789" s="1"/>
      <c r="AB789" s="1"/>
      <c r="AC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81"/>
      <c r="S790" s="81"/>
      <c r="T790" s="81"/>
      <c r="U790" s="81"/>
      <c r="V790" s="81"/>
      <c r="W790" s="81"/>
      <c r="X790" s="81"/>
      <c r="Y790" s="1"/>
      <c r="Z790" s="1"/>
      <c r="AA790" s="1"/>
      <c r="AB790" s="1"/>
      <c r="AC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81"/>
      <c r="S791" s="81"/>
      <c r="T791" s="81"/>
      <c r="U791" s="81"/>
      <c r="V791" s="81"/>
      <c r="W791" s="81"/>
      <c r="X791" s="81"/>
      <c r="Y791" s="1"/>
      <c r="Z791" s="1"/>
      <c r="AA791" s="1"/>
      <c r="AB791" s="1"/>
      <c r="AC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81"/>
      <c r="S792" s="81"/>
      <c r="T792" s="81"/>
      <c r="U792" s="81"/>
      <c r="V792" s="81"/>
      <c r="W792" s="81"/>
      <c r="X792" s="81"/>
      <c r="Y792" s="1"/>
      <c r="Z792" s="1"/>
      <c r="AA792" s="1"/>
      <c r="AB792" s="1"/>
      <c r="AC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81"/>
      <c r="S793" s="81"/>
      <c r="T793" s="81"/>
      <c r="U793" s="81"/>
      <c r="V793" s="81"/>
      <c r="W793" s="81"/>
      <c r="X793" s="81"/>
      <c r="Y793" s="1"/>
      <c r="Z793" s="1"/>
      <c r="AA793" s="1"/>
      <c r="AB793" s="1"/>
      <c r="AC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81"/>
      <c r="S794" s="81"/>
      <c r="T794" s="81"/>
      <c r="U794" s="81"/>
      <c r="V794" s="81"/>
      <c r="W794" s="81"/>
      <c r="X794" s="81"/>
      <c r="Y794" s="1"/>
      <c r="Z794" s="1"/>
      <c r="AA794" s="1"/>
      <c r="AB794" s="1"/>
      <c r="AC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81"/>
      <c r="S795" s="81"/>
      <c r="T795" s="81"/>
      <c r="U795" s="81"/>
      <c r="V795" s="81"/>
      <c r="W795" s="81"/>
      <c r="X795" s="81"/>
      <c r="Y795" s="1"/>
      <c r="Z795" s="1"/>
      <c r="AA795" s="1"/>
      <c r="AB795" s="1"/>
      <c r="AC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81"/>
      <c r="S796" s="81"/>
      <c r="T796" s="81"/>
      <c r="U796" s="81"/>
      <c r="V796" s="81"/>
      <c r="W796" s="81"/>
      <c r="X796" s="81"/>
      <c r="Y796" s="1"/>
      <c r="Z796" s="1"/>
      <c r="AA796" s="1"/>
      <c r="AB796" s="1"/>
      <c r="AC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81"/>
      <c r="S797" s="81"/>
      <c r="T797" s="81"/>
      <c r="U797" s="81"/>
      <c r="V797" s="81"/>
      <c r="W797" s="81"/>
      <c r="X797" s="81"/>
      <c r="Y797" s="1"/>
      <c r="Z797" s="1"/>
      <c r="AA797" s="1"/>
      <c r="AB797" s="1"/>
      <c r="AC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81"/>
      <c r="S798" s="81"/>
      <c r="T798" s="81"/>
      <c r="U798" s="81"/>
      <c r="V798" s="81"/>
      <c r="W798" s="81"/>
      <c r="X798" s="81"/>
      <c r="Y798" s="1"/>
      <c r="Z798" s="1"/>
      <c r="AA798" s="1"/>
      <c r="AB798" s="1"/>
      <c r="AC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81"/>
      <c r="S799" s="81"/>
      <c r="T799" s="81"/>
      <c r="U799" s="81"/>
      <c r="V799" s="81"/>
      <c r="W799" s="81"/>
      <c r="X799" s="81"/>
      <c r="Y799" s="1"/>
      <c r="Z799" s="1"/>
      <c r="AA799" s="1"/>
      <c r="AB799" s="1"/>
      <c r="AC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81"/>
      <c r="S800" s="81"/>
      <c r="T800" s="81"/>
      <c r="U800" s="81"/>
      <c r="V800" s="81"/>
      <c r="W800" s="81"/>
      <c r="X800" s="81"/>
      <c r="Y800" s="1"/>
      <c r="Z800" s="1"/>
      <c r="AA800" s="1"/>
      <c r="AB800" s="1"/>
      <c r="AC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81"/>
      <c r="S801" s="81"/>
      <c r="T801" s="81"/>
      <c r="U801" s="81"/>
      <c r="V801" s="81"/>
      <c r="W801" s="81"/>
      <c r="X801" s="81"/>
      <c r="Y801" s="1"/>
      <c r="Z801" s="1"/>
      <c r="AA801" s="1"/>
      <c r="AB801" s="1"/>
      <c r="AC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81"/>
      <c r="S802" s="81"/>
      <c r="T802" s="81"/>
      <c r="U802" s="81"/>
      <c r="V802" s="81"/>
      <c r="W802" s="81"/>
      <c r="X802" s="81"/>
      <c r="Y802" s="1"/>
      <c r="Z802" s="1"/>
      <c r="AA802" s="1"/>
      <c r="AB802" s="1"/>
      <c r="AC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81"/>
      <c r="S803" s="81"/>
      <c r="T803" s="81"/>
      <c r="U803" s="81"/>
      <c r="V803" s="81"/>
      <c r="W803" s="81"/>
      <c r="X803" s="81"/>
      <c r="Y803" s="1"/>
      <c r="Z803" s="1"/>
      <c r="AA803" s="1"/>
      <c r="AB803" s="1"/>
      <c r="AC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81"/>
      <c r="S804" s="81"/>
      <c r="T804" s="81"/>
      <c r="U804" s="81"/>
      <c r="V804" s="81"/>
      <c r="W804" s="81"/>
      <c r="X804" s="81"/>
      <c r="Y804" s="1"/>
      <c r="Z804" s="1"/>
      <c r="AA804" s="1"/>
      <c r="AB804" s="1"/>
      <c r="AC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81"/>
      <c r="S805" s="81"/>
      <c r="T805" s="81"/>
      <c r="U805" s="81"/>
      <c r="V805" s="81"/>
      <c r="W805" s="81"/>
      <c r="X805" s="81"/>
      <c r="Y805" s="1"/>
      <c r="Z805" s="1"/>
      <c r="AA805" s="1"/>
      <c r="AB805" s="1"/>
      <c r="AC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81"/>
      <c r="S806" s="81"/>
      <c r="T806" s="81"/>
      <c r="U806" s="81"/>
      <c r="V806" s="81"/>
      <c r="W806" s="81"/>
      <c r="X806" s="81"/>
      <c r="Y806" s="1"/>
      <c r="Z806" s="1"/>
      <c r="AA806" s="1"/>
      <c r="AB806" s="1"/>
      <c r="AC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81"/>
      <c r="S807" s="81"/>
      <c r="T807" s="81"/>
      <c r="U807" s="81"/>
      <c r="V807" s="81"/>
      <c r="W807" s="81"/>
      <c r="X807" s="81"/>
      <c r="Y807" s="1"/>
      <c r="Z807" s="1"/>
      <c r="AA807" s="1"/>
      <c r="AB807" s="1"/>
      <c r="AC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81"/>
      <c r="S808" s="81"/>
      <c r="T808" s="81"/>
      <c r="U808" s="81"/>
      <c r="V808" s="81"/>
      <c r="W808" s="81"/>
      <c r="X808" s="81"/>
      <c r="Y808" s="1"/>
      <c r="Z808" s="1"/>
      <c r="AA808" s="1"/>
      <c r="AB808" s="1"/>
      <c r="AC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81"/>
      <c r="S809" s="81"/>
      <c r="T809" s="81"/>
      <c r="U809" s="81"/>
      <c r="V809" s="81"/>
      <c r="W809" s="81"/>
      <c r="X809" s="81"/>
      <c r="Y809" s="1"/>
      <c r="Z809" s="1"/>
      <c r="AA809" s="1"/>
      <c r="AB809" s="1"/>
      <c r="AC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81"/>
      <c r="S810" s="81"/>
      <c r="T810" s="81"/>
      <c r="U810" s="81"/>
      <c r="V810" s="81"/>
      <c r="W810" s="81"/>
      <c r="X810" s="81"/>
      <c r="Y810" s="1"/>
      <c r="Z810" s="1"/>
      <c r="AA810" s="1"/>
      <c r="AB810" s="1"/>
      <c r="AC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81"/>
      <c r="S811" s="81"/>
      <c r="T811" s="81"/>
      <c r="U811" s="81"/>
      <c r="V811" s="81"/>
      <c r="W811" s="81"/>
      <c r="X811" s="81"/>
      <c r="Y811" s="1"/>
      <c r="Z811" s="1"/>
      <c r="AA811" s="1"/>
      <c r="AB811" s="1"/>
      <c r="AC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81"/>
      <c r="S812" s="81"/>
      <c r="T812" s="81"/>
      <c r="U812" s="81"/>
      <c r="V812" s="81"/>
      <c r="W812" s="81"/>
      <c r="X812" s="81"/>
      <c r="Y812" s="1"/>
      <c r="Z812" s="1"/>
      <c r="AA812" s="1"/>
      <c r="AB812" s="1"/>
      <c r="AC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81"/>
      <c r="S813" s="81"/>
      <c r="T813" s="81"/>
      <c r="U813" s="81"/>
      <c r="V813" s="81"/>
      <c r="W813" s="81"/>
      <c r="X813" s="81"/>
      <c r="Y813" s="1"/>
      <c r="Z813" s="1"/>
      <c r="AA813" s="1"/>
      <c r="AB813" s="1"/>
      <c r="AC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81"/>
      <c r="S814" s="81"/>
      <c r="T814" s="81"/>
      <c r="U814" s="81"/>
      <c r="V814" s="81"/>
      <c r="W814" s="81"/>
      <c r="X814" s="81"/>
      <c r="Y814" s="1"/>
      <c r="Z814" s="1"/>
      <c r="AA814" s="1"/>
      <c r="AB814" s="1"/>
      <c r="AC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81"/>
      <c r="S815" s="81"/>
      <c r="T815" s="81"/>
      <c r="U815" s="81"/>
      <c r="V815" s="81"/>
      <c r="W815" s="81"/>
      <c r="X815" s="81"/>
      <c r="Y815" s="1"/>
      <c r="Z815" s="1"/>
      <c r="AA815" s="1"/>
      <c r="AB815" s="1"/>
      <c r="AC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81"/>
      <c r="S816" s="81"/>
      <c r="T816" s="81"/>
      <c r="U816" s="81"/>
      <c r="V816" s="81"/>
      <c r="W816" s="81"/>
      <c r="X816" s="81"/>
      <c r="Y816" s="1"/>
      <c r="Z816" s="1"/>
      <c r="AA816" s="1"/>
      <c r="AB816" s="1"/>
      <c r="AC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81"/>
      <c r="S817" s="81"/>
      <c r="T817" s="81"/>
      <c r="U817" s="81"/>
      <c r="V817" s="81"/>
      <c r="W817" s="81"/>
      <c r="X817" s="81"/>
      <c r="Y817" s="1"/>
      <c r="Z817" s="1"/>
      <c r="AA817" s="1"/>
      <c r="AB817" s="1"/>
      <c r="AC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81"/>
      <c r="S818" s="81"/>
      <c r="T818" s="81"/>
      <c r="U818" s="81"/>
      <c r="V818" s="81"/>
      <c r="W818" s="81"/>
      <c r="X818" s="81"/>
      <c r="Y818" s="1"/>
      <c r="Z818" s="1"/>
      <c r="AA818" s="1"/>
      <c r="AB818" s="1"/>
      <c r="AC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81"/>
      <c r="S819" s="81"/>
      <c r="T819" s="81"/>
      <c r="U819" s="81"/>
      <c r="V819" s="81"/>
      <c r="W819" s="81"/>
      <c r="X819" s="81"/>
      <c r="Y819" s="1"/>
      <c r="Z819" s="1"/>
      <c r="AA819" s="1"/>
      <c r="AB819" s="1"/>
      <c r="AC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81"/>
      <c r="S820" s="81"/>
      <c r="T820" s="81"/>
      <c r="U820" s="81"/>
      <c r="V820" s="81"/>
      <c r="W820" s="81"/>
      <c r="X820" s="81"/>
      <c r="Y820" s="1"/>
      <c r="Z820" s="1"/>
      <c r="AA820" s="1"/>
      <c r="AB820" s="1"/>
      <c r="AC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81"/>
      <c r="S821" s="81"/>
      <c r="T821" s="81"/>
      <c r="U821" s="81"/>
      <c r="V821" s="81"/>
      <c r="W821" s="81"/>
      <c r="X821" s="81"/>
      <c r="Y821" s="1"/>
      <c r="Z821" s="1"/>
      <c r="AA821" s="1"/>
      <c r="AB821" s="1"/>
      <c r="AC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81"/>
      <c r="S822" s="81"/>
      <c r="T822" s="81"/>
      <c r="U822" s="81"/>
      <c r="V822" s="81"/>
      <c r="W822" s="81"/>
      <c r="X822" s="81"/>
      <c r="Y822" s="1"/>
      <c r="Z822" s="1"/>
      <c r="AA822" s="1"/>
      <c r="AB822" s="1"/>
      <c r="AC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81"/>
      <c r="S823" s="81"/>
      <c r="T823" s="81"/>
      <c r="U823" s="81"/>
      <c r="V823" s="81"/>
      <c r="W823" s="81"/>
      <c r="X823" s="81"/>
      <c r="Y823" s="1"/>
      <c r="Z823" s="1"/>
      <c r="AA823" s="1"/>
      <c r="AB823" s="1"/>
      <c r="AC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81"/>
      <c r="S824" s="81"/>
      <c r="T824" s="81"/>
      <c r="U824" s="81"/>
      <c r="V824" s="81"/>
      <c r="W824" s="81"/>
      <c r="X824" s="81"/>
      <c r="Y824" s="1"/>
      <c r="Z824" s="1"/>
      <c r="AA824" s="1"/>
      <c r="AB824" s="1"/>
      <c r="AC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81"/>
      <c r="S825" s="81"/>
      <c r="T825" s="81"/>
      <c r="U825" s="81"/>
      <c r="V825" s="81"/>
      <c r="W825" s="81"/>
      <c r="X825" s="81"/>
      <c r="Y825" s="1"/>
      <c r="Z825" s="1"/>
      <c r="AA825" s="1"/>
      <c r="AB825" s="1"/>
      <c r="AC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81"/>
      <c r="S826" s="81"/>
      <c r="T826" s="81"/>
      <c r="U826" s="81"/>
      <c r="V826" s="81"/>
      <c r="W826" s="81"/>
      <c r="X826" s="81"/>
      <c r="Y826" s="1"/>
      <c r="Z826" s="1"/>
      <c r="AA826" s="1"/>
      <c r="AB826" s="1"/>
      <c r="AC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81"/>
      <c r="S827" s="81"/>
      <c r="T827" s="81"/>
      <c r="U827" s="81"/>
      <c r="V827" s="81"/>
      <c r="W827" s="81"/>
      <c r="X827" s="81"/>
      <c r="Y827" s="1"/>
      <c r="Z827" s="1"/>
      <c r="AA827" s="1"/>
      <c r="AB827" s="1"/>
      <c r="AC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81"/>
      <c r="S828" s="81"/>
      <c r="T828" s="81"/>
      <c r="U828" s="81"/>
      <c r="V828" s="81"/>
      <c r="W828" s="81"/>
      <c r="X828" s="81"/>
      <c r="Y828" s="1"/>
      <c r="Z828" s="1"/>
      <c r="AA828" s="1"/>
      <c r="AB828" s="1"/>
      <c r="AC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81"/>
      <c r="S829" s="81"/>
      <c r="T829" s="81"/>
      <c r="U829" s="81"/>
      <c r="V829" s="81"/>
      <c r="W829" s="81"/>
      <c r="X829" s="81"/>
      <c r="Y829" s="1"/>
      <c r="Z829" s="1"/>
      <c r="AA829" s="1"/>
      <c r="AB829" s="1"/>
      <c r="AC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81"/>
      <c r="S830" s="81"/>
      <c r="T830" s="81"/>
      <c r="U830" s="81"/>
      <c r="V830" s="81"/>
      <c r="W830" s="81"/>
      <c r="X830" s="81"/>
      <c r="Y830" s="1"/>
      <c r="Z830" s="1"/>
      <c r="AA830" s="1"/>
      <c r="AB830" s="1"/>
      <c r="AC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81"/>
      <c r="S831" s="81"/>
      <c r="T831" s="81"/>
      <c r="U831" s="81"/>
      <c r="V831" s="81"/>
      <c r="W831" s="81"/>
      <c r="X831" s="81"/>
      <c r="Y831" s="1"/>
      <c r="Z831" s="1"/>
      <c r="AA831" s="1"/>
      <c r="AB831" s="1"/>
      <c r="AC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81"/>
      <c r="S832" s="81"/>
      <c r="T832" s="81"/>
      <c r="U832" s="81"/>
      <c r="V832" s="81"/>
      <c r="W832" s="81"/>
      <c r="X832" s="81"/>
      <c r="Y832" s="1"/>
      <c r="Z832" s="1"/>
      <c r="AA832" s="1"/>
      <c r="AB832" s="1"/>
      <c r="AC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81"/>
      <c r="S833" s="81"/>
      <c r="T833" s="81"/>
      <c r="U833" s="81"/>
      <c r="V833" s="81"/>
      <c r="W833" s="81"/>
      <c r="X833" s="81"/>
      <c r="Y833" s="1"/>
      <c r="Z833" s="1"/>
      <c r="AA833" s="1"/>
      <c r="AB833" s="1"/>
      <c r="AC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81"/>
      <c r="S834" s="81"/>
      <c r="T834" s="81"/>
      <c r="U834" s="81"/>
      <c r="V834" s="81"/>
      <c r="W834" s="81"/>
      <c r="X834" s="81"/>
      <c r="Y834" s="1"/>
      <c r="Z834" s="1"/>
      <c r="AA834" s="1"/>
      <c r="AB834" s="1"/>
      <c r="AC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81"/>
      <c r="S835" s="81"/>
      <c r="T835" s="81"/>
      <c r="U835" s="81"/>
      <c r="V835" s="81"/>
      <c r="W835" s="81"/>
      <c r="X835" s="81"/>
      <c r="Y835" s="1"/>
      <c r="Z835" s="1"/>
      <c r="AA835" s="1"/>
      <c r="AB835" s="1"/>
      <c r="AC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81"/>
      <c r="S836" s="81"/>
      <c r="T836" s="81"/>
      <c r="U836" s="81"/>
      <c r="V836" s="81"/>
      <c r="W836" s="81"/>
      <c r="X836" s="81"/>
      <c r="Y836" s="1"/>
      <c r="Z836" s="1"/>
      <c r="AA836" s="1"/>
      <c r="AB836" s="1"/>
      <c r="AC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81"/>
      <c r="S837" s="81"/>
      <c r="T837" s="81"/>
      <c r="U837" s="81"/>
      <c r="V837" s="81"/>
      <c r="W837" s="81"/>
      <c r="X837" s="81"/>
      <c r="Y837" s="1"/>
      <c r="Z837" s="1"/>
      <c r="AA837" s="1"/>
      <c r="AB837" s="1"/>
      <c r="AC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81"/>
      <c r="S838" s="81"/>
      <c r="T838" s="81"/>
      <c r="U838" s="81"/>
      <c r="V838" s="81"/>
      <c r="W838" s="81"/>
      <c r="X838" s="81"/>
      <c r="Y838" s="1"/>
      <c r="Z838" s="1"/>
      <c r="AA838" s="1"/>
      <c r="AB838" s="1"/>
      <c r="AC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81"/>
      <c r="S839" s="81"/>
      <c r="T839" s="81"/>
      <c r="U839" s="81"/>
      <c r="V839" s="81"/>
      <c r="W839" s="81"/>
      <c r="X839" s="81"/>
      <c r="Y839" s="1"/>
      <c r="Z839" s="1"/>
      <c r="AA839" s="1"/>
      <c r="AB839" s="1"/>
      <c r="AC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81"/>
      <c r="S840" s="81"/>
      <c r="T840" s="81"/>
      <c r="U840" s="81"/>
      <c r="V840" s="81"/>
      <c r="W840" s="81"/>
      <c r="X840" s="81"/>
      <c r="Y840" s="1"/>
      <c r="Z840" s="1"/>
      <c r="AA840" s="1"/>
      <c r="AB840" s="1"/>
      <c r="AC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81"/>
      <c r="S841" s="81"/>
      <c r="T841" s="81"/>
      <c r="U841" s="81"/>
      <c r="V841" s="81"/>
      <c r="W841" s="81"/>
      <c r="X841" s="81"/>
      <c r="Y841" s="1"/>
      <c r="Z841" s="1"/>
      <c r="AA841" s="1"/>
      <c r="AB841" s="1"/>
      <c r="AC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81"/>
      <c r="S842" s="81"/>
      <c r="T842" s="81"/>
      <c r="U842" s="81"/>
      <c r="V842" s="81"/>
      <c r="W842" s="81"/>
      <c r="X842" s="81"/>
      <c r="Y842" s="1"/>
      <c r="Z842" s="1"/>
      <c r="AA842" s="1"/>
      <c r="AB842" s="1"/>
      <c r="AC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81"/>
      <c r="S843" s="81"/>
      <c r="T843" s="81"/>
      <c r="U843" s="81"/>
      <c r="V843" s="81"/>
      <c r="W843" s="81"/>
      <c r="X843" s="81"/>
      <c r="Y843" s="1"/>
      <c r="Z843" s="1"/>
      <c r="AA843" s="1"/>
      <c r="AB843" s="1"/>
      <c r="AC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81"/>
      <c r="S844" s="81"/>
      <c r="T844" s="81"/>
      <c r="U844" s="81"/>
      <c r="V844" s="81"/>
      <c r="W844" s="81"/>
      <c r="X844" s="81"/>
      <c r="Y844" s="1"/>
      <c r="Z844" s="1"/>
      <c r="AA844" s="1"/>
      <c r="AB844" s="1"/>
      <c r="AC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81"/>
      <c r="S845" s="81"/>
      <c r="T845" s="81"/>
      <c r="U845" s="81"/>
      <c r="V845" s="81"/>
      <c r="W845" s="81"/>
      <c r="X845" s="81"/>
      <c r="Y845" s="1"/>
      <c r="Z845" s="1"/>
      <c r="AA845" s="1"/>
      <c r="AB845" s="1"/>
      <c r="AC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81"/>
      <c r="S846" s="81"/>
      <c r="T846" s="81"/>
      <c r="U846" s="81"/>
      <c r="V846" s="81"/>
      <c r="W846" s="81"/>
      <c r="X846" s="81"/>
      <c r="Y846" s="1"/>
      <c r="Z846" s="1"/>
      <c r="AA846" s="1"/>
      <c r="AB846" s="1"/>
      <c r="AC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81"/>
      <c r="S847" s="81"/>
      <c r="T847" s="81"/>
      <c r="U847" s="81"/>
      <c r="V847" s="81"/>
      <c r="W847" s="81"/>
      <c r="X847" s="81"/>
      <c r="Y847" s="1"/>
      <c r="Z847" s="1"/>
      <c r="AA847" s="1"/>
      <c r="AB847" s="1"/>
      <c r="AC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81"/>
      <c r="S848" s="81"/>
      <c r="T848" s="81"/>
      <c r="U848" s="81"/>
      <c r="V848" s="81"/>
      <c r="W848" s="81"/>
      <c r="X848" s="81"/>
      <c r="Y848" s="1"/>
      <c r="Z848" s="1"/>
      <c r="AA848" s="1"/>
      <c r="AB848" s="1"/>
      <c r="AC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81"/>
      <c r="S849" s="81"/>
      <c r="T849" s="81"/>
      <c r="U849" s="81"/>
      <c r="V849" s="81"/>
      <c r="W849" s="81"/>
      <c r="X849" s="81"/>
      <c r="Y849" s="1"/>
      <c r="Z849" s="1"/>
      <c r="AA849" s="1"/>
      <c r="AB849" s="1"/>
      <c r="AC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81"/>
      <c r="S850" s="81"/>
      <c r="T850" s="81"/>
      <c r="U850" s="81"/>
      <c r="V850" s="81"/>
      <c r="W850" s="81"/>
      <c r="X850" s="81"/>
      <c r="Y850" s="1"/>
      <c r="Z850" s="1"/>
      <c r="AA850" s="1"/>
      <c r="AB850" s="1"/>
      <c r="AC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81"/>
      <c r="S851" s="81"/>
      <c r="T851" s="81"/>
      <c r="U851" s="81"/>
      <c r="V851" s="81"/>
      <c r="W851" s="81"/>
      <c r="X851" s="81"/>
      <c r="Y851" s="1"/>
      <c r="Z851" s="1"/>
      <c r="AA851" s="1"/>
      <c r="AB851" s="1"/>
      <c r="AC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81"/>
      <c r="S852" s="81"/>
      <c r="T852" s="81"/>
      <c r="U852" s="81"/>
      <c r="V852" s="81"/>
      <c r="W852" s="81"/>
      <c r="X852" s="81"/>
      <c r="Y852" s="1"/>
      <c r="Z852" s="1"/>
      <c r="AA852" s="1"/>
      <c r="AB852" s="1"/>
      <c r="AC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81"/>
      <c r="S853" s="81"/>
      <c r="T853" s="81"/>
      <c r="U853" s="81"/>
      <c r="V853" s="81"/>
      <c r="W853" s="81"/>
      <c r="X853" s="81"/>
      <c r="Y853" s="1"/>
      <c r="Z853" s="1"/>
      <c r="AA853" s="1"/>
      <c r="AB853" s="1"/>
      <c r="AC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81"/>
      <c r="S854" s="81"/>
      <c r="T854" s="81"/>
      <c r="U854" s="81"/>
      <c r="V854" s="81"/>
      <c r="W854" s="81"/>
      <c r="X854" s="81"/>
      <c r="Y854" s="1"/>
      <c r="Z854" s="1"/>
      <c r="AA854" s="1"/>
      <c r="AB854" s="1"/>
      <c r="AC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81"/>
      <c r="S855" s="81"/>
      <c r="T855" s="81"/>
      <c r="U855" s="81"/>
      <c r="V855" s="81"/>
      <c r="W855" s="81"/>
      <c r="X855" s="81"/>
      <c r="Y855" s="1"/>
      <c r="Z855" s="1"/>
      <c r="AA855" s="1"/>
      <c r="AB855" s="1"/>
      <c r="AC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81"/>
      <c r="S856" s="81"/>
      <c r="T856" s="81"/>
      <c r="U856" s="81"/>
      <c r="V856" s="81"/>
      <c r="W856" s="81"/>
      <c r="X856" s="81"/>
      <c r="Y856" s="1"/>
      <c r="Z856" s="1"/>
      <c r="AA856" s="1"/>
      <c r="AB856" s="1"/>
      <c r="AC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81"/>
      <c r="S857" s="81"/>
      <c r="T857" s="81"/>
      <c r="U857" s="81"/>
      <c r="V857" s="81"/>
      <c r="W857" s="81"/>
      <c r="X857" s="81"/>
      <c r="Y857" s="1"/>
      <c r="Z857" s="1"/>
      <c r="AA857" s="1"/>
      <c r="AB857" s="1"/>
      <c r="AC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81"/>
      <c r="S858" s="81"/>
      <c r="T858" s="81"/>
      <c r="U858" s="81"/>
      <c r="V858" s="81"/>
      <c r="W858" s="81"/>
      <c r="X858" s="81"/>
      <c r="Y858" s="1"/>
      <c r="Z858" s="1"/>
      <c r="AA858" s="1"/>
      <c r="AB858" s="1"/>
      <c r="AC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81"/>
      <c r="S859" s="81"/>
      <c r="T859" s="81"/>
      <c r="U859" s="81"/>
      <c r="V859" s="81"/>
      <c r="W859" s="81"/>
      <c r="X859" s="81"/>
      <c r="Y859" s="1"/>
      <c r="Z859" s="1"/>
      <c r="AA859" s="1"/>
      <c r="AB859" s="1"/>
      <c r="AC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81"/>
      <c r="S860" s="81"/>
      <c r="T860" s="81"/>
      <c r="U860" s="81"/>
      <c r="V860" s="81"/>
      <c r="W860" s="81"/>
      <c r="X860" s="81"/>
      <c r="Y860" s="1"/>
      <c r="Z860" s="1"/>
      <c r="AA860" s="1"/>
      <c r="AB860" s="1"/>
      <c r="AC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81"/>
      <c r="S861" s="81"/>
      <c r="T861" s="81"/>
      <c r="U861" s="81"/>
      <c r="V861" s="81"/>
      <c r="W861" s="81"/>
      <c r="X861" s="81"/>
      <c r="Y861" s="1"/>
      <c r="Z861" s="1"/>
      <c r="AA861" s="1"/>
      <c r="AB861" s="1"/>
      <c r="AC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81"/>
      <c r="S862" s="81"/>
      <c r="T862" s="81"/>
      <c r="U862" s="81"/>
      <c r="V862" s="81"/>
      <c r="W862" s="81"/>
      <c r="X862" s="81"/>
      <c r="Y862" s="1"/>
      <c r="Z862" s="1"/>
      <c r="AA862" s="1"/>
      <c r="AB862" s="1"/>
      <c r="AC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81"/>
      <c r="S863" s="81"/>
      <c r="T863" s="81"/>
      <c r="U863" s="81"/>
      <c r="V863" s="81"/>
      <c r="W863" s="81"/>
      <c r="X863" s="81"/>
      <c r="Y863" s="1"/>
      <c r="Z863" s="1"/>
      <c r="AA863" s="1"/>
      <c r="AB863" s="1"/>
      <c r="AC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81"/>
      <c r="S864" s="81"/>
      <c r="T864" s="81"/>
      <c r="U864" s="81"/>
      <c r="V864" s="81"/>
      <c r="W864" s="81"/>
      <c r="X864" s="81"/>
      <c r="Y864" s="1"/>
      <c r="Z864" s="1"/>
      <c r="AA864" s="1"/>
      <c r="AB864" s="1"/>
      <c r="AC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81"/>
      <c r="S865" s="81"/>
      <c r="T865" s="81"/>
      <c r="U865" s="81"/>
      <c r="V865" s="81"/>
      <c r="W865" s="81"/>
      <c r="X865" s="81"/>
      <c r="Y865" s="1"/>
      <c r="Z865" s="1"/>
      <c r="AA865" s="1"/>
      <c r="AB865" s="1"/>
      <c r="AC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81"/>
      <c r="S866" s="81"/>
      <c r="T866" s="81"/>
      <c r="U866" s="81"/>
      <c r="V866" s="81"/>
      <c r="W866" s="81"/>
      <c r="X866" s="81"/>
      <c r="Y866" s="1"/>
      <c r="Z866" s="1"/>
      <c r="AA866" s="1"/>
      <c r="AB866" s="1"/>
      <c r="AC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81"/>
      <c r="S867" s="81"/>
      <c r="T867" s="81"/>
      <c r="U867" s="81"/>
      <c r="V867" s="81"/>
      <c r="W867" s="81"/>
      <c r="X867" s="81"/>
      <c r="Y867" s="1"/>
      <c r="Z867" s="1"/>
      <c r="AA867" s="1"/>
      <c r="AB867" s="1"/>
      <c r="AC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81"/>
      <c r="S868" s="81"/>
      <c r="T868" s="81"/>
      <c r="U868" s="81"/>
      <c r="V868" s="81"/>
      <c r="W868" s="81"/>
      <c r="X868" s="81"/>
      <c r="Y868" s="1"/>
      <c r="Z868" s="1"/>
      <c r="AA868" s="1"/>
      <c r="AB868" s="1"/>
      <c r="AC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81"/>
      <c r="S869" s="81"/>
      <c r="T869" s="81"/>
      <c r="U869" s="81"/>
      <c r="V869" s="81"/>
      <c r="W869" s="81"/>
      <c r="X869" s="81"/>
      <c r="Y869" s="1"/>
      <c r="Z869" s="1"/>
      <c r="AA869" s="1"/>
      <c r="AB869" s="1"/>
      <c r="AC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81"/>
      <c r="S870" s="81"/>
      <c r="T870" s="81"/>
      <c r="U870" s="81"/>
      <c r="V870" s="81"/>
      <c r="W870" s="81"/>
      <c r="X870" s="81"/>
      <c r="Y870" s="1"/>
      <c r="Z870" s="1"/>
      <c r="AA870" s="1"/>
      <c r="AB870" s="1"/>
      <c r="AC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81"/>
      <c r="S871" s="81"/>
      <c r="T871" s="81"/>
      <c r="U871" s="81"/>
      <c r="V871" s="81"/>
      <c r="W871" s="81"/>
      <c r="X871" s="81"/>
      <c r="Y871" s="1"/>
      <c r="Z871" s="1"/>
      <c r="AA871" s="1"/>
      <c r="AB871" s="1"/>
      <c r="AC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81"/>
      <c r="S872" s="81"/>
      <c r="T872" s="81"/>
      <c r="U872" s="81"/>
      <c r="V872" s="81"/>
      <c r="W872" s="81"/>
      <c r="X872" s="81"/>
      <c r="Y872" s="1"/>
      <c r="Z872" s="1"/>
      <c r="AA872" s="1"/>
      <c r="AB872" s="1"/>
      <c r="AC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81"/>
      <c r="S873" s="81"/>
      <c r="T873" s="81"/>
      <c r="U873" s="81"/>
      <c r="V873" s="81"/>
      <c r="W873" s="81"/>
      <c r="X873" s="81"/>
      <c r="Y873" s="1"/>
      <c r="Z873" s="1"/>
      <c r="AA873" s="1"/>
      <c r="AB873" s="1"/>
      <c r="AC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81"/>
      <c r="S874" s="81"/>
      <c r="T874" s="81"/>
      <c r="U874" s="81"/>
      <c r="V874" s="81"/>
      <c r="W874" s="81"/>
      <c r="X874" s="81"/>
      <c r="Y874" s="1"/>
      <c r="Z874" s="1"/>
      <c r="AA874" s="1"/>
      <c r="AB874" s="1"/>
      <c r="AC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81"/>
      <c r="S875" s="81"/>
      <c r="T875" s="81"/>
      <c r="U875" s="81"/>
      <c r="V875" s="81"/>
      <c r="W875" s="81"/>
      <c r="X875" s="81"/>
      <c r="Y875" s="1"/>
      <c r="Z875" s="1"/>
      <c r="AA875" s="1"/>
      <c r="AB875" s="1"/>
      <c r="AC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81"/>
      <c r="S876" s="81"/>
      <c r="T876" s="81"/>
      <c r="U876" s="81"/>
      <c r="V876" s="81"/>
      <c r="W876" s="81"/>
      <c r="X876" s="81"/>
      <c r="Y876" s="1"/>
      <c r="Z876" s="1"/>
      <c r="AA876" s="1"/>
      <c r="AB876" s="1"/>
      <c r="AC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81"/>
      <c r="S877" s="81"/>
      <c r="T877" s="81"/>
      <c r="U877" s="81"/>
      <c r="V877" s="81"/>
      <c r="W877" s="81"/>
      <c r="X877" s="81"/>
      <c r="Y877" s="1"/>
      <c r="Z877" s="1"/>
      <c r="AA877" s="1"/>
      <c r="AB877" s="1"/>
      <c r="AC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81"/>
      <c r="S878" s="81"/>
      <c r="T878" s="81"/>
      <c r="U878" s="81"/>
      <c r="V878" s="81"/>
      <c r="W878" s="81"/>
      <c r="X878" s="81"/>
      <c r="Y878" s="1"/>
      <c r="Z878" s="1"/>
      <c r="AA878" s="1"/>
      <c r="AB878" s="1"/>
      <c r="AC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81"/>
      <c r="S879" s="81"/>
      <c r="T879" s="81"/>
      <c r="U879" s="81"/>
      <c r="V879" s="81"/>
      <c r="W879" s="81"/>
      <c r="X879" s="81"/>
      <c r="Y879" s="1"/>
      <c r="Z879" s="1"/>
      <c r="AA879" s="1"/>
      <c r="AB879" s="1"/>
      <c r="AC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81"/>
      <c r="S880" s="81"/>
      <c r="T880" s="81"/>
      <c r="U880" s="81"/>
      <c r="V880" s="81"/>
      <c r="W880" s="81"/>
      <c r="X880" s="81"/>
      <c r="Y880" s="1"/>
      <c r="Z880" s="1"/>
      <c r="AA880" s="1"/>
      <c r="AB880" s="1"/>
      <c r="AC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81"/>
      <c r="S881" s="81"/>
      <c r="T881" s="81"/>
      <c r="U881" s="81"/>
      <c r="V881" s="81"/>
      <c r="W881" s="81"/>
      <c r="X881" s="81"/>
      <c r="Y881" s="1"/>
      <c r="Z881" s="1"/>
      <c r="AA881" s="1"/>
      <c r="AB881" s="1"/>
      <c r="AC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81"/>
      <c r="S882" s="81"/>
      <c r="T882" s="81"/>
      <c r="U882" s="81"/>
      <c r="V882" s="81"/>
      <c r="W882" s="81"/>
      <c r="X882" s="81"/>
      <c r="Y882" s="1"/>
      <c r="Z882" s="1"/>
      <c r="AA882" s="1"/>
      <c r="AB882" s="1"/>
      <c r="AC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81"/>
      <c r="S883" s="81"/>
      <c r="T883" s="81"/>
      <c r="U883" s="81"/>
      <c r="V883" s="81"/>
      <c r="W883" s="81"/>
      <c r="X883" s="81"/>
      <c r="Y883" s="1"/>
      <c r="Z883" s="1"/>
      <c r="AA883" s="1"/>
      <c r="AB883" s="1"/>
      <c r="AC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81"/>
      <c r="S884" s="81"/>
      <c r="T884" s="81"/>
      <c r="U884" s="81"/>
      <c r="V884" s="81"/>
      <c r="W884" s="81"/>
      <c r="X884" s="81"/>
      <c r="Y884" s="1"/>
      <c r="Z884" s="1"/>
      <c r="AA884" s="1"/>
      <c r="AB884" s="1"/>
      <c r="AC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81"/>
      <c r="S885" s="81"/>
      <c r="T885" s="81"/>
      <c r="U885" s="81"/>
      <c r="V885" s="81"/>
      <c r="W885" s="81"/>
      <c r="X885" s="81"/>
      <c r="Y885" s="1"/>
      <c r="Z885" s="1"/>
      <c r="AA885" s="1"/>
      <c r="AB885" s="1"/>
      <c r="AC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81"/>
      <c r="S886" s="81"/>
      <c r="T886" s="81"/>
      <c r="U886" s="81"/>
      <c r="V886" s="81"/>
      <c r="W886" s="81"/>
      <c r="X886" s="81"/>
      <c r="Y886" s="1"/>
      <c r="Z886" s="1"/>
      <c r="AA886" s="1"/>
      <c r="AB886" s="1"/>
      <c r="AC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81"/>
      <c r="S887" s="81"/>
      <c r="T887" s="81"/>
      <c r="U887" s="81"/>
      <c r="V887" s="81"/>
      <c r="W887" s="81"/>
      <c r="X887" s="81"/>
      <c r="Y887" s="1"/>
      <c r="Z887" s="1"/>
      <c r="AA887" s="1"/>
      <c r="AB887" s="1"/>
      <c r="AC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81"/>
      <c r="S888" s="81"/>
      <c r="T888" s="81"/>
      <c r="U888" s="81"/>
      <c r="V888" s="81"/>
      <c r="W888" s="81"/>
      <c r="X888" s="81"/>
      <c r="Y888" s="1"/>
      <c r="Z888" s="1"/>
      <c r="AA888" s="1"/>
      <c r="AB888" s="1"/>
      <c r="AC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81"/>
      <c r="S889" s="81"/>
      <c r="T889" s="81"/>
      <c r="U889" s="81"/>
      <c r="V889" s="81"/>
      <c r="W889" s="81"/>
      <c r="X889" s="81"/>
      <c r="Y889" s="1"/>
      <c r="Z889" s="1"/>
      <c r="AA889" s="1"/>
      <c r="AB889" s="1"/>
      <c r="AC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81"/>
      <c r="S890" s="81"/>
      <c r="T890" s="81"/>
      <c r="U890" s="81"/>
      <c r="V890" s="81"/>
      <c r="W890" s="81"/>
      <c r="X890" s="81"/>
      <c r="Y890" s="1"/>
      <c r="Z890" s="1"/>
      <c r="AA890" s="1"/>
      <c r="AB890" s="1"/>
      <c r="AC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81"/>
      <c r="S891" s="81"/>
      <c r="T891" s="81"/>
      <c r="U891" s="81"/>
      <c r="V891" s="81"/>
      <c r="W891" s="81"/>
      <c r="X891" s="81"/>
      <c r="Y891" s="1"/>
      <c r="Z891" s="1"/>
      <c r="AA891" s="1"/>
      <c r="AB891" s="1"/>
      <c r="AC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81"/>
      <c r="S892" s="81"/>
      <c r="T892" s="81"/>
      <c r="U892" s="81"/>
      <c r="V892" s="81"/>
      <c r="W892" s="81"/>
      <c r="X892" s="81"/>
      <c r="Y892" s="1"/>
      <c r="Z892" s="1"/>
      <c r="AA892" s="1"/>
      <c r="AB892" s="1"/>
      <c r="AC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81"/>
      <c r="S893" s="81"/>
      <c r="T893" s="81"/>
      <c r="U893" s="81"/>
      <c r="V893" s="81"/>
      <c r="W893" s="81"/>
      <c r="X893" s="81"/>
      <c r="Y893" s="1"/>
      <c r="Z893" s="1"/>
      <c r="AA893" s="1"/>
      <c r="AB893" s="1"/>
      <c r="AC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81"/>
      <c r="S894" s="81"/>
      <c r="T894" s="81"/>
      <c r="U894" s="81"/>
      <c r="V894" s="81"/>
      <c r="W894" s="81"/>
      <c r="X894" s="81"/>
      <c r="Y894" s="1"/>
      <c r="Z894" s="1"/>
      <c r="AA894" s="1"/>
      <c r="AB894" s="1"/>
      <c r="AC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81"/>
      <c r="S895" s="81"/>
      <c r="T895" s="81"/>
      <c r="U895" s="81"/>
      <c r="V895" s="81"/>
      <c r="W895" s="81"/>
      <c r="X895" s="81"/>
      <c r="Y895" s="1"/>
      <c r="Z895" s="1"/>
      <c r="AA895" s="1"/>
      <c r="AB895" s="1"/>
      <c r="AC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81"/>
      <c r="S896" s="81"/>
      <c r="T896" s="81"/>
      <c r="U896" s="81"/>
      <c r="V896" s="81"/>
      <c r="W896" s="81"/>
      <c r="X896" s="81"/>
      <c r="Y896" s="1"/>
      <c r="Z896" s="1"/>
      <c r="AA896" s="1"/>
      <c r="AB896" s="1"/>
      <c r="AC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81"/>
      <c r="S897" s="81"/>
      <c r="T897" s="81"/>
      <c r="U897" s="81"/>
      <c r="V897" s="81"/>
      <c r="W897" s="81"/>
      <c r="X897" s="81"/>
      <c r="Y897" s="1"/>
      <c r="Z897" s="1"/>
      <c r="AA897" s="1"/>
      <c r="AB897" s="1"/>
      <c r="AC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81"/>
      <c r="S898" s="81"/>
      <c r="T898" s="81"/>
      <c r="U898" s="81"/>
      <c r="V898" s="81"/>
      <c r="W898" s="81"/>
      <c r="X898" s="81"/>
      <c r="Y898" s="1"/>
      <c r="Z898" s="1"/>
      <c r="AA898" s="1"/>
      <c r="AB898" s="1"/>
      <c r="AC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81"/>
      <c r="S899" s="81"/>
      <c r="T899" s="81"/>
      <c r="U899" s="81"/>
      <c r="V899" s="81"/>
      <c r="W899" s="81"/>
      <c r="X899" s="81"/>
      <c r="Y899" s="1"/>
      <c r="Z899" s="1"/>
      <c r="AA899" s="1"/>
      <c r="AB899" s="1"/>
      <c r="AC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81"/>
      <c r="S900" s="81"/>
      <c r="T900" s="81"/>
      <c r="U900" s="81"/>
      <c r="V900" s="81"/>
      <c r="W900" s="81"/>
      <c r="X900" s="81"/>
      <c r="Y900" s="1"/>
      <c r="Z900" s="1"/>
      <c r="AA900" s="1"/>
      <c r="AB900" s="1"/>
      <c r="AC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81"/>
      <c r="S901" s="81"/>
      <c r="T901" s="81"/>
      <c r="U901" s="81"/>
      <c r="V901" s="81"/>
      <c r="W901" s="81"/>
      <c r="X901" s="81"/>
      <c r="Y901" s="1"/>
      <c r="Z901" s="1"/>
      <c r="AA901" s="1"/>
      <c r="AB901" s="1"/>
      <c r="AC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81"/>
      <c r="S902" s="81"/>
      <c r="T902" s="81"/>
      <c r="U902" s="81"/>
      <c r="V902" s="81"/>
      <c r="W902" s="81"/>
      <c r="X902" s="81"/>
      <c r="Y902" s="1"/>
      <c r="Z902" s="1"/>
      <c r="AA902" s="1"/>
      <c r="AB902" s="1"/>
      <c r="AC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81"/>
      <c r="S903" s="81"/>
      <c r="T903" s="81"/>
      <c r="U903" s="81"/>
      <c r="V903" s="81"/>
      <c r="W903" s="81"/>
      <c r="X903" s="81"/>
      <c r="Y903" s="1"/>
      <c r="Z903" s="1"/>
      <c r="AA903" s="1"/>
      <c r="AB903" s="1"/>
      <c r="AC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81"/>
      <c r="S904" s="81"/>
      <c r="T904" s="81"/>
      <c r="U904" s="81"/>
      <c r="V904" s="81"/>
      <c r="W904" s="81"/>
      <c r="X904" s="81"/>
      <c r="Y904" s="1"/>
      <c r="Z904" s="1"/>
      <c r="AA904" s="1"/>
      <c r="AB904" s="1"/>
      <c r="AC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81"/>
      <c r="S905" s="81"/>
      <c r="T905" s="81"/>
      <c r="U905" s="81"/>
      <c r="V905" s="81"/>
      <c r="W905" s="81"/>
      <c r="X905" s="81"/>
      <c r="Y905" s="1"/>
      <c r="Z905" s="1"/>
      <c r="AA905" s="1"/>
      <c r="AB905" s="1"/>
      <c r="AC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81"/>
      <c r="S906" s="81"/>
      <c r="T906" s="81"/>
      <c r="U906" s="81"/>
      <c r="V906" s="81"/>
      <c r="W906" s="81"/>
      <c r="X906" s="81"/>
      <c r="Y906" s="1"/>
      <c r="Z906" s="1"/>
      <c r="AA906" s="1"/>
      <c r="AB906" s="1"/>
      <c r="AC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81"/>
      <c r="S907" s="81"/>
      <c r="T907" s="81"/>
      <c r="U907" s="81"/>
      <c r="V907" s="81"/>
      <c r="W907" s="81"/>
      <c r="X907" s="81"/>
      <c r="Y907" s="1"/>
      <c r="Z907" s="1"/>
      <c r="AA907" s="1"/>
      <c r="AB907" s="1"/>
      <c r="AC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81"/>
      <c r="S908" s="81"/>
      <c r="T908" s="81"/>
      <c r="U908" s="81"/>
      <c r="V908" s="81"/>
      <c r="W908" s="81"/>
      <c r="X908" s="81"/>
      <c r="Y908" s="1"/>
      <c r="Z908" s="1"/>
      <c r="AA908" s="1"/>
      <c r="AB908" s="1"/>
      <c r="AC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81"/>
      <c r="S909" s="81"/>
      <c r="T909" s="81"/>
      <c r="U909" s="81"/>
      <c r="V909" s="81"/>
      <c r="W909" s="81"/>
      <c r="X909" s="81"/>
      <c r="Y909" s="1"/>
      <c r="Z909" s="1"/>
      <c r="AA909" s="1"/>
      <c r="AB909" s="1"/>
      <c r="AC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81"/>
      <c r="S910" s="81"/>
      <c r="T910" s="81"/>
      <c r="U910" s="81"/>
      <c r="V910" s="81"/>
      <c r="W910" s="81"/>
      <c r="X910" s="81"/>
      <c r="Y910" s="1"/>
      <c r="Z910" s="1"/>
      <c r="AA910" s="1"/>
      <c r="AB910" s="1"/>
      <c r="AC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81"/>
      <c r="S911" s="81"/>
      <c r="T911" s="81"/>
      <c r="U911" s="81"/>
      <c r="V911" s="81"/>
      <c r="W911" s="81"/>
      <c r="X911" s="81"/>
      <c r="Y911" s="1"/>
      <c r="Z911" s="1"/>
      <c r="AA911" s="1"/>
      <c r="AB911" s="1"/>
      <c r="AC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81"/>
      <c r="S912" s="81"/>
      <c r="T912" s="81"/>
      <c r="U912" s="81"/>
      <c r="V912" s="81"/>
      <c r="W912" s="81"/>
      <c r="X912" s="81"/>
      <c r="Y912" s="1"/>
      <c r="Z912" s="1"/>
      <c r="AA912" s="1"/>
      <c r="AB912" s="1"/>
      <c r="AC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81"/>
      <c r="S913" s="81"/>
      <c r="T913" s="81"/>
      <c r="U913" s="81"/>
      <c r="V913" s="81"/>
      <c r="W913" s="81"/>
      <c r="X913" s="81"/>
      <c r="Y913" s="1"/>
      <c r="Z913" s="1"/>
      <c r="AA913" s="1"/>
      <c r="AB913" s="1"/>
      <c r="AC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81"/>
      <c r="S914" s="81"/>
      <c r="T914" s="81"/>
      <c r="U914" s="81"/>
      <c r="V914" s="81"/>
      <c r="W914" s="81"/>
      <c r="X914" s="81"/>
      <c r="Y914" s="1"/>
      <c r="Z914" s="1"/>
      <c r="AA914" s="1"/>
      <c r="AB914" s="1"/>
      <c r="AC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81"/>
      <c r="S915" s="81"/>
      <c r="T915" s="81"/>
      <c r="U915" s="81"/>
      <c r="V915" s="81"/>
      <c r="W915" s="81"/>
      <c r="X915" s="81"/>
      <c r="Y915" s="1"/>
      <c r="Z915" s="1"/>
      <c r="AA915" s="1"/>
      <c r="AB915" s="1"/>
      <c r="AC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81"/>
      <c r="S916" s="81"/>
      <c r="T916" s="81"/>
      <c r="U916" s="81"/>
      <c r="V916" s="81"/>
      <c r="W916" s="81"/>
      <c r="X916" s="81"/>
      <c r="Y916" s="1"/>
      <c r="Z916" s="1"/>
      <c r="AA916" s="1"/>
      <c r="AB916" s="1"/>
      <c r="AC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81"/>
      <c r="S917" s="81"/>
      <c r="T917" s="81"/>
      <c r="U917" s="81"/>
      <c r="V917" s="81"/>
      <c r="W917" s="81"/>
      <c r="X917" s="81"/>
      <c r="Y917" s="1"/>
      <c r="Z917" s="1"/>
      <c r="AA917" s="1"/>
      <c r="AB917" s="1"/>
      <c r="AC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81"/>
      <c r="S918" s="81"/>
      <c r="T918" s="81"/>
      <c r="U918" s="81"/>
      <c r="V918" s="81"/>
      <c r="W918" s="81"/>
      <c r="X918" s="81"/>
      <c r="Y918" s="1"/>
      <c r="Z918" s="1"/>
      <c r="AA918" s="1"/>
      <c r="AB918" s="1"/>
      <c r="AC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81"/>
      <c r="S919" s="81"/>
      <c r="T919" s="81"/>
      <c r="U919" s="81"/>
      <c r="V919" s="81"/>
      <c r="W919" s="81"/>
      <c r="X919" s="81"/>
      <c r="Y919" s="1"/>
      <c r="Z919" s="1"/>
      <c r="AA919" s="1"/>
      <c r="AB919" s="1"/>
      <c r="AC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81"/>
      <c r="S920" s="81"/>
      <c r="T920" s="81"/>
      <c r="U920" s="81"/>
      <c r="V920" s="81"/>
      <c r="W920" s="81"/>
      <c r="X920" s="81"/>
      <c r="Y920" s="1"/>
      <c r="Z920" s="1"/>
      <c r="AA920" s="1"/>
      <c r="AB920" s="1"/>
      <c r="AC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81"/>
      <c r="S921" s="81"/>
      <c r="T921" s="81"/>
      <c r="U921" s="81"/>
      <c r="V921" s="81"/>
      <c r="W921" s="81"/>
      <c r="X921" s="81"/>
      <c r="Y921" s="1"/>
      <c r="Z921" s="1"/>
      <c r="AA921" s="1"/>
      <c r="AB921" s="1"/>
      <c r="AC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81"/>
      <c r="S922" s="81"/>
      <c r="T922" s="81"/>
      <c r="U922" s="81"/>
      <c r="V922" s="81"/>
      <c r="W922" s="81"/>
      <c r="X922" s="81"/>
      <c r="Y922" s="1"/>
      <c r="Z922" s="1"/>
      <c r="AA922" s="1"/>
      <c r="AB922" s="1"/>
      <c r="AC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81"/>
      <c r="S923" s="81"/>
      <c r="T923" s="81"/>
      <c r="U923" s="81"/>
      <c r="V923" s="81"/>
      <c r="W923" s="81"/>
      <c r="X923" s="81"/>
      <c r="Y923" s="1"/>
      <c r="Z923" s="1"/>
      <c r="AA923" s="1"/>
      <c r="AB923" s="1"/>
      <c r="AC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81"/>
      <c r="S924" s="81"/>
      <c r="T924" s="81"/>
      <c r="U924" s="81"/>
      <c r="V924" s="81"/>
      <c r="W924" s="81"/>
      <c r="X924" s="81"/>
      <c r="Y924" s="1"/>
      <c r="Z924" s="1"/>
      <c r="AA924" s="1"/>
      <c r="AB924" s="1"/>
      <c r="AC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81"/>
      <c r="S925" s="81"/>
      <c r="T925" s="81"/>
      <c r="U925" s="81"/>
      <c r="V925" s="81"/>
      <c r="W925" s="81"/>
      <c r="X925" s="81"/>
      <c r="Y925" s="1"/>
      <c r="Z925" s="1"/>
      <c r="AA925" s="1"/>
      <c r="AB925" s="1"/>
      <c r="AC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81"/>
      <c r="S926" s="81"/>
      <c r="T926" s="81"/>
      <c r="U926" s="81"/>
      <c r="V926" s="81"/>
      <c r="W926" s="81"/>
      <c r="X926" s="81"/>
      <c r="Y926" s="1"/>
      <c r="Z926" s="1"/>
      <c r="AA926" s="1"/>
      <c r="AB926" s="1"/>
      <c r="AC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81"/>
      <c r="S927" s="81"/>
      <c r="T927" s="81"/>
      <c r="U927" s="81"/>
      <c r="V927" s="81"/>
      <c r="W927" s="81"/>
      <c r="X927" s="81"/>
      <c r="Y927" s="1"/>
      <c r="Z927" s="1"/>
      <c r="AA927" s="1"/>
      <c r="AB927" s="1"/>
      <c r="AC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81"/>
      <c r="S928" s="81"/>
      <c r="T928" s="81"/>
      <c r="U928" s="81"/>
      <c r="V928" s="81"/>
      <c r="W928" s="81"/>
      <c r="X928" s="81"/>
      <c r="Y928" s="1"/>
      <c r="Z928" s="1"/>
      <c r="AA928" s="1"/>
      <c r="AB928" s="1"/>
      <c r="AC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81"/>
      <c r="S929" s="81"/>
      <c r="T929" s="81"/>
      <c r="U929" s="81"/>
      <c r="V929" s="81"/>
      <c r="W929" s="81"/>
      <c r="X929" s="81"/>
      <c r="Y929" s="1"/>
      <c r="Z929" s="1"/>
      <c r="AA929" s="1"/>
      <c r="AB929" s="1"/>
      <c r="AC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81"/>
      <c r="S930" s="81"/>
      <c r="T930" s="81"/>
      <c r="U930" s="81"/>
      <c r="V930" s="81"/>
      <c r="W930" s="81"/>
      <c r="X930" s="81"/>
      <c r="Y930" s="1"/>
      <c r="Z930" s="1"/>
      <c r="AA930" s="1"/>
      <c r="AB930" s="1"/>
      <c r="AC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81"/>
      <c r="S931" s="81"/>
      <c r="T931" s="81"/>
      <c r="U931" s="81"/>
      <c r="V931" s="81"/>
      <c r="W931" s="81"/>
      <c r="X931" s="81"/>
      <c r="Y931" s="1"/>
      <c r="Z931" s="1"/>
      <c r="AA931" s="1"/>
      <c r="AB931" s="1"/>
      <c r="AC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81"/>
      <c r="S932" s="81"/>
      <c r="T932" s="81"/>
      <c r="U932" s="81"/>
      <c r="V932" s="81"/>
      <c r="W932" s="81"/>
      <c r="X932" s="81"/>
      <c r="Y932" s="1"/>
      <c r="Z932" s="1"/>
      <c r="AA932" s="1"/>
      <c r="AB932" s="1"/>
      <c r="AC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81"/>
      <c r="S933" s="81"/>
      <c r="T933" s="81"/>
      <c r="U933" s="81"/>
      <c r="V933" s="81"/>
      <c r="W933" s="81"/>
      <c r="X933" s="81"/>
      <c r="Y933" s="1"/>
      <c r="Z933" s="1"/>
      <c r="AA933" s="1"/>
      <c r="AB933" s="1"/>
      <c r="AC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81"/>
      <c r="S934" s="81"/>
      <c r="T934" s="81"/>
      <c r="U934" s="81"/>
      <c r="V934" s="81"/>
      <c r="W934" s="81"/>
      <c r="X934" s="81"/>
      <c r="Y934" s="1"/>
      <c r="Z934" s="1"/>
      <c r="AA934" s="1"/>
      <c r="AB934" s="1"/>
      <c r="AC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81"/>
      <c r="S935" s="81"/>
      <c r="T935" s="81"/>
      <c r="U935" s="81"/>
      <c r="V935" s="81"/>
      <c r="W935" s="81"/>
      <c r="X935" s="81"/>
      <c r="Y935" s="1"/>
      <c r="Z935" s="1"/>
      <c r="AA935" s="1"/>
      <c r="AB935" s="1"/>
      <c r="AC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81"/>
      <c r="S936" s="81"/>
      <c r="T936" s="81"/>
      <c r="U936" s="81"/>
      <c r="V936" s="81"/>
      <c r="W936" s="81"/>
      <c r="X936" s="81"/>
      <c r="Y936" s="1"/>
      <c r="Z936" s="1"/>
      <c r="AA936" s="1"/>
      <c r="AB936" s="1"/>
      <c r="AC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81"/>
      <c r="S937" s="81"/>
      <c r="T937" s="81"/>
      <c r="U937" s="81"/>
      <c r="V937" s="81"/>
      <c r="W937" s="81"/>
      <c r="X937" s="81"/>
      <c r="Y937" s="1"/>
      <c r="Z937" s="1"/>
      <c r="AA937" s="1"/>
      <c r="AB937" s="1"/>
      <c r="AC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81"/>
      <c r="S938" s="81"/>
      <c r="T938" s="81"/>
      <c r="U938" s="81"/>
      <c r="V938" s="81"/>
      <c r="W938" s="81"/>
      <c r="X938" s="81"/>
      <c r="Y938" s="1"/>
      <c r="Z938" s="1"/>
      <c r="AA938" s="1"/>
      <c r="AB938" s="1"/>
      <c r="AC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81"/>
      <c r="S939" s="81"/>
      <c r="T939" s="81"/>
      <c r="U939" s="81"/>
      <c r="V939" s="81"/>
      <c r="W939" s="81"/>
      <c r="X939" s="81"/>
      <c r="Y939" s="1"/>
      <c r="Z939" s="1"/>
      <c r="AA939" s="1"/>
      <c r="AB939" s="1"/>
      <c r="AC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81"/>
      <c r="S940" s="81"/>
      <c r="T940" s="81"/>
      <c r="U940" s="81"/>
      <c r="V940" s="81"/>
      <c r="W940" s="81"/>
      <c r="X940" s="81"/>
      <c r="Y940" s="1"/>
      <c r="Z940" s="1"/>
      <c r="AA940" s="1"/>
      <c r="AB940" s="1"/>
      <c r="AC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81"/>
      <c r="S941" s="81"/>
      <c r="T941" s="81"/>
      <c r="U941" s="81"/>
      <c r="V941" s="81"/>
      <c r="W941" s="81"/>
      <c r="X941" s="81"/>
      <c r="Y941" s="1"/>
      <c r="Z941" s="1"/>
      <c r="AA941" s="1"/>
      <c r="AB941" s="1"/>
      <c r="AC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81"/>
      <c r="S942" s="81"/>
      <c r="T942" s="81"/>
      <c r="U942" s="81"/>
      <c r="V942" s="81"/>
      <c r="W942" s="81"/>
      <c r="X942" s="81"/>
      <c r="Y942" s="1"/>
      <c r="Z942" s="1"/>
      <c r="AA942" s="1"/>
      <c r="AB942" s="1"/>
      <c r="AC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81"/>
      <c r="S943" s="81"/>
      <c r="T943" s="81"/>
      <c r="U943" s="81"/>
      <c r="V943" s="81"/>
      <c r="W943" s="81"/>
      <c r="X943" s="81"/>
      <c r="Y943" s="1"/>
      <c r="Z943" s="1"/>
      <c r="AA943" s="1"/>
      <c r="AB943" s="1"/>
      <c r="AC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81"/>
      <c r="S944" s="81"/>
      <c r="T944" s="81"/>
      <c r="U944" s="81"/>
      <c r="V944" s="81"/>
      <c r="W944" s="81"/>
      <c r="X944" s="81"/>
      <c r="Y944" s="1"/>
      <c r="Z944" s="1"/>
      <c r="AA944" s="1"/>
      <c r="AB944" s="1"/>
      <c r="AC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81"/>
      <c r="S945" s="81"/>
      <c r="T945" s="81"/>
      <c r="U945" s="81"/>
      <c r="V945" s="81"/>
      <c r="W945" s="81"/>
      <c r="X945" s="81"/>
      <c r="Y945" s="1"/>
      <c r="Z945" s="1"/>
      <c r="AA945" s="1"/>
      <c r="AB945" s="1"/>
      <c r="AC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81"/>
      <c r="S946" s="81"/>
      <c r="T946" s="81"/>
      <c r="U946" s="81"/>
      <c r="V946" s="81"/>
      <c r="W946" s="81"/>
      <c r="X946" s="81"/>
      <c r="Y946" s="1"/>
      <c r="Z946" s="1"/>
      <c r="AA946" s="1"/>
      <c r="AB946" s="1"/>
      <c r="AC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81"/>
      <c r="S947" s="81"/>
      <c r="T947" s="81"/>
      <c r="U947" s="81"/>
      <c r="V947" s="81"/>
      <c r="W947" s="81"/>
      <c r="X947" s="81"/>
      <c r="Y947" s="1"/>
      <c r="Z947" s="1"/>
      <c r="AA947" s="1"/>
      <c r="AB947" s="1"/>
      <c r="AC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81"/>
      <c r="S948" s="81"/>
      <c r="T948" s="81"/>
      <c r="U948" s="81"/>
      <c r="V948" s="81"/>
      <c r="W948" s="81"/>
      <c r="X948" s="81"/>
      <c r="Y948" s="1"/>
      <c r="Z948" s="1"/>
      <c r="AA948" s="1"/>
      <c r="AB948" s="1"/>
      <c r="AC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81"/>
      <c r="S949" s="81"/>
      <c r="T949" s="81"/>
      <c r="U949" s="81"/>
      <c r="V949" s="81"/>
      <c r="W949" s="81"/>
      <c r="X949" s="81"/>
      <c r="Y949" s="1"/>
      <c r="Z949" s="1"/>
      <c r="AA949" s="1"/>
      <c r="AB949" s="1"/>
      <c r="AC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81"/>
      <c r="S950" s="81"/>
      <c r="T950" s="81"/>
      <c r="U950" s="81"/>
      <c r="V950" s="81"/>
      <c r="W950" s="81"/>
      <c r="X950" s="81"/>
      <c r="Y950" s="1"/>
      <c r="Z950" s="1"/>
      <c r="AA950" s="1"/>
      <c r="AB950" s="1"/>
      <c r="AC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81"/>
      <c r="S951" s="81"/>
      <c r="T951" s="81"/>
      <c r="U951" s="81"/>
      <c r="V951" s="81"/>
      <c r="W951" s="81"/>
      <c r="X951" s="81"/>
      <c r="Y951" s="1"/>
      <c r="Z951" s="1"/>
      <c r="AA951" s="1"/>
      <c r="AB951" s="1"/>
      <c r="AC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81"/>
      <c r="S952" s="81"/>
      <c r="T952" s="81"/>
      <c r="U952" s="81"/>
      <c r="V952" s="81"/>
      <c r="W952" s="81"/>
      <c r="X952" s="81"/>
      <c r="Y952" s="1"/>
      <c r="Z952" s="1"/>
      <c r="AA952" s="1"/>
      <c r="AB952" s="1"/>
      <c r="AC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81"/>
      <c r="S953" s="81"/>
      <c r="T953" s="81"/>
      <c r="U953" s="81"/>
      <c r="V953" s="81"/>
      <c r="W953" s="81"/>
      <c r="X953" s="81"/>
      <c r="Y953" s="1"/>
      <c r="Z953" s="1"/>
      <c r="AA953" s="1"/>
      <c r="AB953" s="1"/>
      <c r="AC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81"/>
      <c r="S954" s="81"/>
      <c r="T954" s="81"/>
      <c r="U954" s="81"/>
      <c r="V954" s="81"/>
      <c r="W954" s="81"/>
      <c r="X954" s="81"/>
      <c r="Y954" s="1"/>
      <c r="Z954" s="1"/>
      <c r="AA954" s="1"/>
      <c r="AB954" s="1"/>
      <c r="AC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81"/>
      <c r="S955" s="81"/>
      <c r="T955" s="81"/>
      <c r="U955" s="81"/>
      <c r="V955" s="81"/>
      <c r="W955" s="81"/>
      <c r="X955" s="81"/>
      <c r="Y955" s="1"/>
      <c r="Z955" s="1"/>
      <c r="AA955" s="1"/>
      <c r="AB955" s="1"/>
      <c r="AC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81"/>
      <c r="S956" s="81"/>
      <c r="T956" s="81"/>
      <c r="U956" s="81"/>
      <c r="V956" s="81"/>
      <c r="W956" s="81"/>
      <c r="X956" s="81"/>
      <c r="Y956" s="1"/>
      <c r="Z956" s="1"/>
      <c r="AA956" s="1"/>
      <c r="AB956" s="1"/>
      <c r="AC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81"/>
      <c r="S957" s="81"/>
      <c r="T957" s="81"/>
      <c r="U957" s="81"/>
      <c r="V957" s="81"/>
      <c r="W957" s="81"/>
      <c r="X957" s="81"/>
      <c r="Y957" s="1"/>
      <c r="Z957" s="1"/>
      <c r="AA957" s="1"/>
      <c r="AB957" s="1"/>
      <c r="AC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81"/>
      <c r="S958" s="81"/>
      <c r="T958" s="81"/>
      <c r="U958" s="81"/>
      <c r="V958" s="81"/>
      <c r="W958" s="81"/>
      <c r="X958" s="81"/>
      <c r="Y958" s="1"/>
      <c r="Z958" s="1"/>
      <c r="AA958" s="1"/>
      <c r="AB958" s="1"/>
      <c r="AC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81"/>
      <c r="S959" s="81"/>
      <c r="T959" s="81"/>
      <c r="U959" s="81"/>
      <c r="V959" s="81"/>
      <c r="W959" s="81"/>
      <c r="X959" s="81"/>
      <c r="Y959" s="1"/>
      <c r="Z959" s="1"/>
      <c r="AA959" s="1"/>
      <c r="AB959" s="1"/>
      <c r="AC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81"/>
      <c r="S960" s="81"/>
      <c r="T960" s="81"/>
      <c r="U960" s="81"/>
      <c r="V960" s="81"/>
      <c r="W960" s="81"/>
      <c r="X960" s="81"/>
      <c r="Y960" s="1"/>
      <c r="Z960" s="1"/>
      <c r="AA960" s="1"/>
      <c r="AB960" s="1"/>
      <c r="AC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81"/>
      <c r="S961" s="81"/>
      <c r="T961" s="81"/>
      <c r="U961" s="81"/>
      <c r="V961" s="81"/>
      <c r="W961" s="81"/>
      <c r="X961" s="81"/>
      <c r="Y961" s="1"/>
      <c r="Z961" s="1"/>
      <c r="AA961" s="1"/>
      <c r="AB961" s="1"/>
      <c r="AC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81"/>
      <c r="S962" s="81"/>
      <c r="T962" s="81"/>
      <c r="U962" s="81"/>
      <c r="V962" s="81"/>
      <c r="W962" s="81"/>
      <c r="X962" s="81"/>
      <c r="Y962" s="1"/>
      <c r="Z962" s="1"/>
      <c r="AA962" s="1"/>
      <c r="AB962" s="1"/>
      <c r="AC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81"/>
      <c r="S963" s="81"/>
      <c r="T963" s="81"/>
      <c r="U963" s="81"/>
      <c r="V963" s="81"/>
      <c r="W963" s="81"/>
      <c r="X963" s="81"/>
      <c r="Y963" s="1"/>
      <c r="Z963" s="1"/>
      <c r="AA963" s="1"/>
      <c r="AB963" s="1"/>
      <c r="AC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81"/>
      <c r="S964" s="81"/>
      <c r="T964" s="81"/>
      <c r="U964" s="81"/>
      <c r="V964" s="81"/>
      <c r="W964" s="81"/>
      <c r="X964" s="81"/>
      <c r="Y964" s="1"/>
      <c r="Z964" s="1"/>
      <c r="AA964" s="1"/>
      <c r="AB964" s="1"/>
      <c r="AC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81"/>
      <c r="S965" s="81"/>
      <c r="T965" s="81"/>
      <c r="U965" s="81"/>
      <c r="V965" s="81"/>
      <c r="W965" s="81"/>
      <c r="X965" s="81"/>
      <c r="Y965" s="1"/>
      <c r="Z965" s="1"/>
      <c r="AA965" s="1"/>
      <c r="AB965" s="1"/>
      <c r="AC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81"/>
      <c r="S966" s="81"/>
      <c r="T966" s="81"/>
      <c r="U966" s="81"/>
      <c r="V966" s="81"/>
      <c r="W966" s="81"/>
      <c r="X966" s="81"/>
      <c r="Y966" s="1"/>
      <c r="Z966" s="1"/>
      <c r="AA966" s="1"/>
      <c r="AB966" s="1"/>
      <c r="AC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81"/>
      <c r="S967" s="81"/>
      <c r="T967" s="81"/>
      <c r="U967" s="81"/>
      <c r="V967" s="81"/>
      <c r="W967" s="81"/>
      <c r="X967" s="81"/>
      <c r="Y967" s="1"/>
      <c r="Z967" s="1"/>
      <c r="AA967" s="1"/>
      <c r="AB967" s="1"/>
      <c r="AC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81"/>
      <c r="S968" s="81"/>
      <c r="T968" s="81"/>
      <c r="U968" s="81"/>
      <c r="V968" s="81"/>
      <c r="W968" s="81"/>
      <c r="X968" s="81"/>
      <c r="Y968" s="1"/>
      <c r="Z968" s="1"/>
      <c r="AA968" s="1"/>
      <c r="AB968" s="1"/>
      <c r="AC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81"/>
      <c r="S969" s="81"/>
      <c r="T969" s="81"/>
      <c r="U969" s="81"/>
      <c r="V969" s="81"/>
      <c r="W969" s="81"/>
      <c r="X969" s="81"/>
      <c r="Y969" s="1"/>
      <c r="Z969" s="1"/>
      <c r="AA969" s="1"/>
      <c r="AB969" s="1"/>
      <c r="AC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81"/>
      <c r="S970" s="81"/>
      <c r="T970" s="81"/>
      <c r="U970" s="81"/>
      <c r="V970" s="81"/>
      <c r="W970" s="81"/>
      <c r="X970" s="81"/>
      <c r="Y970" s="1"/>
      <c r="Z970" s="1"/>
      <c r="AA970" s="1"/>
      <c r="AB970" s="1"/>
      <c r="AC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81"/>
      <c r="S971" s="81"/>
      <c r="T971" s="81"/>
      <c r="U971" s="81"/>
      <c r="V971" s="81"/>
      <c r="W971" s="81"/>
      <c r="X971" s="81"/>
      <c r="Y971" s="1"/>
      <c r="Z971" s="1"/>
      <c r="AA971" s="1"/>
      <c r="AB971" s="1"/>
      <c r="AC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81"/>
      <c r="S972" s="81"/>
      <c r="T972" s="81"/>
      <c r="U972" s="81"/>
      <c r="V972" s="81"/>
      <c r="W972" s="81"/>
      <c r="X972" s="81"/>
      <c r="Y972" s="1"/>
      <c r="Z972" s="1"/>
      <c r="AA972" s="1"/>
      <c r="AB972" s="1"/>
      <c r="AC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81"/>
      <c r="S973" s="81"/>
      <c r="T973" s="81"/>
      <c r="U973" s="81"/>
      <c r="V973" s="81"/>
      <c r="W973" s="81"/>
      <c r="X973" s="81"/>
      <c r="Y973" s="1"/>
      <c r="Z973" s="1"/>
      <c r="AA973" s="1"/>
      <c r="AB973" s="1"/>
      <c r="AC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81"/>
      <c r="S974" s="81"/>
      <c r="T974" s="81"/>
      <c r="U974" s="81"/>
      <c r="V974" s="81"/>
      <c r="W974" s="81"/>
      <c r="X974" s="81"/>
      <c r="Y974" s="1"/>
      <c r="Z974" s="1"/>
      <c r="AA974" s="1"/>
      <c r="AB974" s="1"/>
      <c r="AC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81"/>
      <c r="S975" s="81"/>
      <c r="T975" s="81"/>
      <c r="U975" s="81"/>
      <c r="V975" s="81"/>
      <c r="W975" s="81"/>
      <c r="X975" s="81"/>
      <c r="Y975" s="1"/>
      <c r="Z975" s="1"/>
      <c r="AA975" s="1"/>
      <c r="AB975" s="1"/>
      <c r="AC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81"/>
      <c r="S976" s="81"/>
      <c r="T976" s="81"/>
      <c r="U976" s="81"/>
      <c r="V976" s="81"/>
      <c r="W976" s="81"/>
      <c r="X976" s="81"/>
      <c r="Y976" s="1"/>
      <c r="Z976" s="1"/>
      <c r="AA976" s="1"/>
      <c r="AB976" s="1"/>
      <c r="AC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81"/>
      <c r="S977" s="81"/>
      <c r="T977" s="81"/>
      <c r="U977" s="81"/>
      <c r="V977" s="81"/>
      <c r="W977" s="81"/>
      <c r="X977" s="81"/>
      <c r="Y977" s="1"/>
      <c r="Z977" s="1"/>
      <c r="AA977" s="1"/>
      <c r="AB977" s="1"/>
      <c r="AC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81"/>
      <c r="S978" s="81"/>
      <c r="T978" s="81"/>
      <c r="U978" s="81"/>
      <c r="V978" s="81"/>
      <c r="W978" s="81"/>
      <c r="X978" s="81"/>
      <c r="Y978" s="1"/>
      <c r="Z978" s="1"/>
      <c r="AA978" s="1"/>
      <c r="AB978" s="1"/>
      <c r="AC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81"/>
      <c r="S979" s="81"/>
      <c r="T979" s="81"/>
      <c r="U979" s="81"/>
      <c r="V979" s="81"/>
      <c r="W979" s="81"/>
      <c r="X979" s="81"/>
      <c r="Y979" s="1"/>
      <c r="Z979" s="1"/>
      <c r="AA979" s="1"/>
      <c r="AB979" s="1"/>
      <c r="AC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81"/>
      <c r="S980" s="81"/>
      <c r="T980" s="81"/>
      <c r="U980" s="81"/>
      <c r="V980" s="81"/>
      <c r="W980" s="81"/>
      <c r="X980" s="81"/>
      <c r="Y980" s="1"/>
      <c r="Z980" s="1"/>
      <c r="AA980" s="1"/>
      <c r="AB980" s="1"/>
      <c r="AC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81"/>
      <c r="S981" s="81"/>
      <c r="T981" s="81"/>
      <c r="U981" s="81"/>
      <c r="V981" s="81"/>
      <c r="W981" s="81"/>
      <c r="X981" s="81"/>
      <c r="Y981" s="1"/>
      <c r="Z981" s="1"/>
      <c r="AA981" s="1"/>
      <c r="AB981" s="1"/>
      <c r="AC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81"/>
      <c r="S982" s="81"/>
      <c r="T982" s="81"/>
      <c r="U982" s="81"/>
      <c r="V982" s="81"/>
      <c r="W982" s="81"/>
      <c r="X982" s="81"/>
      <c r="Y982" s="1"/>
      <c r="Z982" s="1"/>
      <c r="AA982" s="1"/>
      <c r="AB982" s="1"/>
      <c r="AC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81"/>
      <c r="S983" s="81"/>
      <c r="T983" s="81"/>
      <c r="U983" s="81"/>
      <c r="V983" s="81"/>
      <c r="W983" s="81"/>
      <c r="X983" s="81"/>
      <c r="Y983" s="1"/>
      <c r="Z983" s="1"/>
      <c r="AA983" s="1"/>
      <c r="AB983" s="1"/>
      <c r="AC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81"/>
      <c r="S984" s="81"/>
      <c r="T984" s="81"/>
      <c r="U984" s="81"/>
      <c r="V984" s="81"/>
      <c r="W984" s="81"/>
      <c r="X984" s="81"/>
      <c r="Y984" s="1"/>
      <c r="Z984" s="1"/>
      <c r="AA984" s="1"/>
      <c r="AB984" s="1"/>
      <c r="AC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81"/>
      <c r="S985" s="81"/>
      <c r="T985" s="81"/>
      <c r="U985" s="81"/>
      <c r="V985" s="81"/>
      <c r="W985" s="81"/>
      <c r="X985" s="81"/>
      <c r="Y985" s="1"/>
      <c r="Z985" s="1"/>
      <c r="AA985" s="1"/>
      <c r="AB985" s="1"/>
      <c r="AC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81"/>
      <c r="S986" s="81"/>
      <c r="T986" s="81"/>
      <c r="U986" s="81"/>
      <c r="V986" s="81"/>
      <c r="W986" s="81"/>
      <c r="X986" s="81"/>
      <c r="Y986" s="1"/>
      <c r="Z986" s="1"/>
      <c r="AA986" s="1"/>
      <c r="AB986" s="1"/>
      <c r="AC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81"/>
      <c r="S987" s="81"/>
      <c r="T987" s="81"/>
      <c r="U987" s="81"/>
      <c r="V987" s="81"/>
      <c r="W987" s="81"/>
      <c r="X987" s="81"/>
      <c r="Y987" s="1"/>
      <c r="Z987" s="1"/>
      <c r="AA987" s="1"/>
      <c r="AB987" s="1"/>
      <c r="AC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81"/>
      <c r="S988" s="81"/>
      <c r="T988" s="81"/>
      <c r="U988" s="81"/>
      <c r="V988" s="81"/>
      <c r="W988" s="81"/>
      <c r="X988" s="81"/>
      <c r="Y988" s="1"/>
      <c r="Z988" s="1"/>
      <c r="AA988" s="1"/>
      <c r="AB988" s="1"/>
      <c r="AC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81"/>
      <c r="S989" s="81"/>
      <c r="T989" s="81"/>
      <c r="U989" s="81"/>
      <c r="V989" s="81"/>
      <c r="W989" s="81"/>
      <c r="X989" s="81"/>
      <c r="Y989" s="1"/>
      <c r="Z989" s="1"/>
      <c r="AA989" s="1"/>
      <c r="AB989" s="1"/>
      <c r="AC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81"/>
      <c r="S990" s="81"/>
      <c r="T990" s="81"/>
      <c r="U990" s="81"/>
      <c r="V990" s="81"/>
      <c r="W990" s="81"/>
      <c r="X990" s="81"/>
      <c r="Y990" s="1"/>
      <c r="Z990" s="1"/>
      <c r="AA990" s="1"/>
      <c r="AB990" s="1"/>
      <c r="AC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81"/>
      <c r="S991" s="81"/>
      <c r="T991" s="81"/>
      <c r="U991" s="81"/>
      <c r="V991" s="81"/>
      <c r="W991" s="81"/>
      <c r="X991" s="81"/>
      <c r="Y991" s="1"/>
      <c r="Z991" s="1"/>
      <c r="AA991" s="1"/>
      <c r="AB991" s="1"/>
      <c r="AC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81"/>
      <c r="S992" s="81"/>
      <c r="T992" s="81"/>
      <c r="U992" s="81"/>
      <c r="V992" s="81"/>
      <c r="W992" s="81"/>
      <c r="X992" s="81"/>
      <c r="Y992" s="1"/>
      <c r="Z992" s="1"/>
      <c r="AA992" s="1"/>
      <c r="AB992" s="1"/>
      <c r="AC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81"/>
      <c r="S993" s="81"/>
      <c r="T993" s="81"/>
      <c r="U993" s="81"/>
      <c r="V993" s="81"/>
      <c r="W993" s="81"/>
      <c r="X993" s="81"/>
      <c r="Y993" s="1"/>
      <c r="Z993" s="1"/>
      <c r="AA993" s="1"/>
      <c r="AB993" s="1"/>
      <c r="AC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81"/>
      <c r="S994" s="81"/>
      <c r="T994" s="81"/>
      <c r="U994" s="81"/>
      <c r="V994" s="81"/>
      <c r="W994" s="81"/>
      <c r="X994" s="81"/>
      <c r="Y994" s="1"/>
      <c r="Z994" s="1"/>
      <c r="AA994" s="1"/>
      <c r="AB994" s="1"/>
      <c r="AC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81"/>
      <c r="S995" s="81"/>
      <c r="T995" s="81"/>
      <c r="U995" s="81"/>
      <c r="V995" s="81"/>
      <c r="W995" s="81"/>
      <c r="X995" s="81"/>
      <c r="Y995" s="1"/>
      <c r="Z995" s="1"/>
      <c r="AA995" s="1"/>
      <c r="AB995" s="1"/>
      <c r="AC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81"/>
      <c r="S996" s="81"/>
      <c r="T996" s="81"/>
      <c r="U996" s="81"/>
      <c r="V996" s="81"/>
      <c r="W996" s="81"/>
      <c r="X996" s="81"/>
      <c r="Y996" s="1"/>
      <c r="Z996" s="1"/>
      <c r="AA996" s="1"/>
      <c r="AB996" s="1"/>
      <c r="AC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81"/>
      <c r="S997" s="81"/>
      <c r="T997" s="81"/>
      <c r="U997" s="81"/>
      <c r="V997" s="81"/>
      <c r="W997" s="81"/>
      <c r="X997" s="81"/>
      <c r="Y997" s="1"/>
      <c r="Z997" s="1"/>
      <c r="AA997" s="1"/>
      <c r="AB997" s="1"/>
      <c r="AC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81"/>
      <c r="S998" s="81"/>
      <c r="T998" s="81"/>
      <c r="U998" s="81"/>
      <c r="V998" s="81"/>
      <c r="W998" s="81"/>
      <c r="X998" s="81"/>
      <c r="Y998" s="1"/>
      <c r="Z998" s="1"/>
      <c r="AA998" s="1"/>
      <c r="AB998" s="1"/>
      <c r="AC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81"/>
      <c r="S999" s="81"/>
      <c r="T999" s="81"/>
      <c r="U999" s="81"/>
      <c r="V999" s="81"/>
      <c r="W999" s="81"/>
      <c r="X999" s="81"/>
      <c r="Y999" s="1"/>
      <c r="Z999" s="1"/>
      <c r="AA999" s="1"/>
      <c r="AB999" s="1"/>
      <c r="AC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81"/>
      <c r="S1000" s="81"/>
      <c r="T1000" s="81"/>
      <c r="U1000" s="81"/>
      <c r="V1000" s="81"/>
      <c r="W1000" s="81"/>
      <c r="X1000" s="81"/>
      <c r="Y1000" s="1"/>
      <c r="Z1000" s="1"/>
      <c r="AA1000" s="1"/>
      <c r="AB1000" s="1"/>
      <c r="AC1000" s="1"/>
    </row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4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4"/>
  <legacyDrawing r:id="rId5"/>
  <tableParts count="3">
    <tablePart r:id="rId9"/>
    <tablePart r:id="rId10"/>
    <tablePart r:id="rId11"/>
  </tableParts>
</worksheet>
</file>