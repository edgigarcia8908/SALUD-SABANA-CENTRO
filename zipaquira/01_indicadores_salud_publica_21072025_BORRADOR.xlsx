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  <sheet state="visible" name="CAJICA" sheetId="2" r:id="rId5"/>
    <sheet state="visible" name="COTA" sheetId="3" r:id="rId6"/>
    <sheet state="visible" name="CHIA" sheetId="4" r:id="rId7"/>
    <sheet state="visible" name="ZIPAQUIRA" sheetId="5" r:id="rId8"/>
    <sheet state="visible" name="TABIO" sheetId="6" r:id="rId9"/>
    <sheet state="visible" name="TOCANCIPA" sheetId="7" r:id="rId10"/>
    <sheet state="visible" name="SOPO" sheetId="8" r:id="rId11"/>
    <sheet state="visible" name="TENJO" sheetId="9" r:id="rId12"/>
    <sheet state="visible" name="NEMOCON" sheetId="10" r:id="rId13"/>
    <sheet state="visible" name="COGUA" sheetId="11" r:id="rId14"/>
    <sheet state="visible" name="GACHANCIPA" sheetId="12" r:id="rId15"/>
  </sheets>
  <definedNames>
    <definedName name="Consolidado">CONSOLIDADO!$C$13:$H$27</definedName>
  </definedNames>
  <calcPr/>
  <extLst>
    <ext uri="GoogleSheetsCustomDataVersion2">
      <go:sheetsCustomData xmlns:go="http://customooxmlschemas.google.com/" r:id="rId16" roundtripDataChecksum="wYvZzQ7t1Q1fCiqeoKAVyNnr3GwUoGWnzS8v9DGDOe0="/>
    </ext>
  </extLst>
</workbook>
</file>

<file path=xl/sharedStrings.xml><?xml version="1.0" encoding="utf-8"?>
<sst xmlns="http://schemas.openxmlformats.org/spreadsheetml/2006/main" count="2377" uniqueCount="148">
  <si>
    <t>MATRIZ DE INDICADORES SALUD PÚBLICA</t>
  </si>
  <si>
    <t>Fuente de datos: ASIS municipal, oficina de epidemiología o vigilancia en salud publica de cada municipio.</t>
  </si>
  <si>
    <t>RECOMENDACIONES.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</si>
  <si>
    <t>INDICADOR</t>
  </si>
  <si>
    <t>CASOS 2020</t>
  </si>
  <si>
    <t>VALOR DEL INDICADOR 2020 CORTE 31/12/2020</t>
  </si>
  <si>
    <t>CASOS 2021</t>
  </si>
  <si>
    <t xml:space="preserve">VALOR DEL INDICADOR 2021 corte 31/12/2021 mortalidad </t>
  </si>
  <si>
    <t>CASOS 2022</t>
  </si>
  <si>
    <t xml:space="preserve">VALOR DEL INDICADOR 2022 </t>
  </si>
  <si>
    <t>CASOS 2023</t>
  </si>
  <si>
    <t>VALOR DEL INDICADOR 2023  31-12-2023</t>
  </si>
  <si>
    <t>CASOS 2024</t>
  </si>
  <si>
    <t>VALOR DEL INDICADOR 2024 preliminar  31-12-2024</t>
  </si>
  <si>
    <t>CASOS 2025</t>
  </si>
  <si>
    <t>VALOR DEL INDICADOR 2024 preliminar  24-06-2025</t>
  </si>
  <si>
    <t>VALOR  PROMEDIO INDICADOR CUATRENIO ANTERIOR</t>
  </si>
  <si>
    <t>VALOR  PROMEDIO CASOS CUATRENIO ANTERIOR</t>
  </si>
  <si>
    <t>VALOR  PROMEDIO INDICADOR PERIODO 2024-2025</t>
  </si>
  <si>
    <t>VALOR  PROMEDIO CASOS PERIODO ACTUAL 2024-2025</t>
  </si>
  <si>
    <t>FUENTE</t>
  </si>
  <si>
    <t>TASA DE MORTALIDAD</t>
  </si>
  <si>
    <t>DANE</t>
  </si>
  <si>
    <t>TASA DE NATALIDAD</t>
  </si>
  <si>
    <t xml:space="preserve">RUAF </t>
  </si>
  <si>
    <t>RANGO EDAD</t>
  </si>
  <si>
    <t>AÑO 2020</t>
  </si>
  <si>
    <t>AÑO 2021</t>
  </si>
  <si>
    <t>AÑO 2022</t>
  </si>
  <si>
    <t>AÑO 2023</t>
  </si>
  <si>
    <t>AÑO 2024</t>
  </si>
  <si>
    <t>AÑO 2025</t>
  </si>
  <si>
    <t>RAZON DE MORTALIDAD MATERNA</t>
  </si>
  <si>
    <t>DANE - RUAF</t>
  </si>
  <si>
    <t>RAZON DE MORTALIDAD FETAL</t>
  </si>
  <si>
    <t>POBLACION TOTAL</t>
  </si>
  <si>
    <t>RAZON DE MORTALIDAD PERINATAL</t>
  </si>
  <si>
    <t>DANE - SIVIGILA</t>
  </si>
  <si>
    <t>POBLACION TOTAL CABECERA</t>
  </si>
  <si>
    <t>TASA DE MORTALIDAD POR DESNUTRICION &lt; 5 AÑOS</t>
  </si>
  <si>
    <t>POBLACION TOTAL RURAL DISPERSA</t>
  </si>
  <si>
    <t>TASA DE MORTALIDAD BRUTA POR CAUSA EXTERNA</t>
  </si>
  <si>
    <t>POBLACION MASCULINA</t>
  </si>
  <si>
    <t>TASA DE MORTALIDAD POR IRA &lt; 5 AÑOS</t>
  </si>
  <si>
    <t>POBLACION FEMENINA</t>
  </si>
  <si>
    <t>TASA DE MORTALIDAD POR EDA &lt; 5 AÑOS</t>
  </si>
  <si>
    <t>NACIMIENTOS</t>
  </si>
  <si>
    <t>TASA BRUTA DE VIOLENCIA INTRAFAMILIAR</t>
  </si>
  <si>
    <t>SIVIGILA</t>
  </si>
  <si>
    <t>DEFUNCIONES</t>
  </si>
  <si>
    <t>TASA DE VIOLENCIA DE GENERO FEMENINA</t>
  </si>
  <si>
    <t>POBLACION MENOR 1 AÑO</t>
  </si>
  <si>
    <t>TASA DE MORTALIDAD INFANTIL</t>
  </si>
  <si>
    <t>POBLACION MENOR 5 AÑOS</t>
  </si>
  <si>
    <t>TASA DE MORTALIDAD INFANTIL &lt; 5 AÑOS</t>
  </si>
  <si>
    <t>POBLACION MAYOR 15 AÑOS</t>
  </si>
  <si>
    <t>PROPORCION DE BAJO PESO AL NACER</t>
  </si>
  <si>
    <t>POBLACION MENOR 19 AÑOS</t>
  </si>
  <si>
    <t>PROPORCION DE BAJO PESO AL NACER A TERMINO</t>
  </si>
  <si>
    <t>POBLACION MENOR 65 AÑOS</t>
  </si>
  <si>
    <t>TASA DE DESNUTRICION AGUDA &lt; 5 AÑOS</t>
  </si>
  <si>
    <t>POBLACION 20 A 65</t>
  </si>
  <si>
    <t>PROPORCION DE EMBARAZO EN ADOLESCENTE</t>
  </si>
  <si>
    <t>RUAF</t>
  </si>
  <si>
    <t>POBLACION MUJERES 10 A 14</t>
  </si>
  <si>
    <t>TASA DE FECUNDIDAD 10 A 14 AÑOS</t>
  </si>
  <si>
    <t>POBLACION MUJERES 15 A 19</t>
  </si>
  <si>
    <t>TASA DE FECUNDIDAD 15 A 19 AÑOS</t>
  </si>
  <si>
    <t>POBLACION MUJERES EN EDAD FERTIL</t>
  </si>
  <si>
    <t>TASA DE MORTALIDAD POR ACCIDENTE DE TRANSITO</t>
  </si>
  <si>
    <t>POBLACION 0 A 5 AÑOS</t>
  </si>
  <si>
    <t>TASA DE MORTALIDAD POR SUICIDIO</t>
  </si>
  <si>
    <t>POBLACION 6 A 11 AÑOS</t>
  </si>
  <si>
    <t>TASA DE MORTALIDAD POR HOMICIDIO</t>
  </si>
  <si>
    <t>POBLACION 12 A 17 AÑOS</t>
  </si>
  <si>
    <t>TASA DE INTENCION SUICIDA</t>
  </si>
  <si>
    <t>POBLACION 18 A 28 AÑOS</t>
  </si>
  <si>
    <t>TASA DE MORTALIDAD PREMATURA (&lt;65 AÑOS)</t>
  </si>
  <si>
    <t>POBLACION ADULTO MAYOR</t>
  </si>
  <si>
    <t>TASA DE MORTALIDAD POR CANCER DE CUELLO UTERINO</t>
  </si>
  <si>
    <t>TASA DE MORTALIDAD POR CANCER DE MAMA</t>
  </si>
  <si>
    <t>TASA DE MORTALIDAD POR CANCER DE PROSTATA</t>
  </si>
  <si>
    <t>MOMENTO CURSO DE VIDA</t>
  </si>
  <si>
    <t>TASA DE MORTALIDAD POR ENFERMEDADES TRASMISIBLES</t>
  </si>
  <si>
    <t xml:space="preserve">POBLACION PRIMERA INFANCIA </t>
  </si>
  <si>
    <t>TASA DE MORTALIDAD POR VIH</t>
  </si>
  <si>
    <t xml:space="preserve">POBLACIÓN INFANCIA </t>
  </si>
  <si>
    <t xml:space="preserve">PORCENTAJE DE PREVALENCIA VIH </t>
  </si>
  <si>
    <t>POBLACION ADOLESCENCIA</t>
  </si>
  <si>
    <t>TASA DE MORBILIDAD POR IRA</t>
  </si>
  <si>
    <t>POBLACIÓN JUVENTUD</t>
  </si>
  <si>
    <t>TASA DE MORBILIDAD POR EDA</t>
  </si>
  <si>
    <t>POBLACIÓN ADULTEZ</t>
  </si>
  <si>
    <t>RAZON DE MORBILIDAD MATERNA EXTREMA</t>
  </si>
  <si>
    <t>POBLACIÓN VEJEZ</t>
  </si>
  <si>
    <t>TASA DE SIFILIS GESTACIONAL</t>
  </si>
  <si>
    <t>TASA DE SIFILIS CONGENITA</t>
  </si>
  <si>
    <t>TASA DE ENFERMEDAD TRASMITIDA POR ALIMENTOS</t>
  </si>
  <si>
    <t>TASA DE VIOLENCIA INTRAFAMILIAR Y DE GENERO INFANTIL NNAJ (0 a 19 años)</t>
  </si>
  <si>
    <t>TASA DE VIOLENCIA SEXUAL</t>
  </si>
  <si>
    <t>TASA DE APAPTVR</t>
  </si>
  <si>
    <t>TASA DE VARICELA</t>
  </si>
  <si>
    <t>TASA DE VIOLENCIA DE PAREJA</t>
  </si>
  <si>
    <t>MORTALIDAD CARDIOCIRCULATORIA</t>
  </si>
  <si>
    <t>COBERTURA DE ATENCION INSTITUCIONAL DEL PARTO POR MEDICO</t>
  </si>
  <si>
    <t>DANE RUAF</t>
  </si>
  <si>
    <t>ATENCION DE PARTO CON 4 O MAS CONTROLES</t>
  </si>
  <si>
    <t>TASA DE ENFERMEDADES HUERFANAS</t>
  </si>
  <si>
    <t>TASA DE MORTALIDAD ENFERMEDAD HIPERTENSIVA</t>
  </si>
  <si>
    <t xml:space="preserve">TASA DE MORTALIDAD POR DIABETES </t>
  </si>
  <si>
    <t>INCIDENCIA DE LA HEPATITIS B</t>
  </si>
  <si>
    <t>TASA DE INCIDENCIA DE MALARIA</t>
  </si>
  <si>
    <t>TASA DE INCIDENCIA DE TUBERCULOSIS</t>
  </si>
  <si>
    <t>TASA DE MORTALIDAD POR CANCER INFANTIL</t>
  </si>
  <si>
    <t>TASA DE MORTALIDAD PREMATURA POR DIABETES</t>
  </si>
  <si>
    <t>TASA DE MORTALIDAD PREMATURA POR CANCER</t>
  </si>
  <si>
    <t>TASA DE LETALIDAD POR DENGUE</t>
  </si>
  <si>
    <t>PORCENTAJE DE TRASMISION MATERNO INFANTIL DE HEPATITIS B</t>
  </si>
  <si>
    <t>TASA DE MORTALIDAD POR CANCER</t>
  </si>
  <si>
    <t>TASA DE MORTALIDAD POR TUBERCULOSIS</t>
  </si>
  <si>
    <t>TASA DE INCIDENCIA DE CANCER INFANTIL (MENOR DE 19 AÑOS)</t>
  </si>
  <si>
    <t>TASA DE EDA HASTA 5 AÑOS</t>
  </si>
  <si>
    <t>TASA DE IRA HASTA 5 AÑOS</t>
  </si>
  <si>
    <t>TASA DE VIOLENCIA DE PAREJA EN POBLACION A Y J</t>
  </si>
  <si>
    <t>TASA DE MORTALIDAD POR CAUSA EXTERNA EN NNAJ</t>
  </si>
  <si>
    <t>DANE - EEVV</t>
  </si>
  <si>
    <t>TASA DE INTENCION SUICIDA EN NNAJ</t>
  </si>
  <si>
    <t>TASA DE VIOLENCIA SEXUAL EN NNAJ</t>
  </si>
  <si>
    <t>TASA DE ENFERMEDADS HUERFANAS EN NNAJ</t>
  </si>
  <si>
    <t>TASA DE INCIDENCIA DE CANCER DE MAMA</t>
  </si>
  <si>
    <t>TASA DE INCIDENCIA DE CANCER DE CERVIX</t>
  </si>
  <si>
    <t>TASA DE MORTALIDAD POR CANCER DE ESTOMAGO</t>
  </si>
  <si>
    <t>MATRIZ DE INDICADRORES SALUD PÚBLICA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</si>
  <si>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</si>
  <si>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VALOR DEL INDICADOR 2025 preliminar  24-06-2025</t>
  </si>
  <si>
    <t>Columna1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</si>
  <si>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</si>
  <si>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</si>
  <si>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</si>
  <si>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AÑO 2026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</si>
  <si>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</si>
  <si>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t>MATRIZ DE PRIORIZACIÓN DE NECESIDADES EN SALUD PUBLICA</t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</si>
  <si>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</si>
  <si>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</si>
  <si>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</si>
  <si>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</si>
  <si>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</si>
  <si>
    <r>
      <rPr>
        <rFont val="Calibri"/>
        <b/>
        <color theme="1"/>
        <sz val="11.0"/>
      </rPr>
      <t>RECOMENDACIONES.</t>
    </r>
    <r>
      <rPr>
        <rFont val="Calibri"/>
        <color theme="1"/>
        <sz val="11.0"/>
      </rPr>
      <t xml:space="preserve"> TODOS LOS VALORES ESTAN FORMULADOS, Y SON FORMULACION ESTANDAR INTERNACIONAL. LA FUENTE DE POBLACION DE REFERENCIA ES DANE AJUSTE COVID 2021. EN ALGUNOS INDICADORES DEBE SUMAR MUERTES FETALES A NACIMIENTOS PARA AJUSTAR DENOMINADOR. LAS FUENTES UTILIZADAS SON LAS MAS RELEVANTES, SI POSEE OTRA FUENTE DE INFORMACION INCLUYALA Y MODIFIQUE LA FUENTE.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</si>
</sst>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sz val="20.0"/>
      <color theme="1"/>
      <name val="Calibri"/>
    </font>
    <font/>
    <font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0.0"/>
      <color theme="1"/>
      <name val="Calibri"/>
    </font>
    <font>
      <sz val="10.0"/>
      <color theme="1"/>
      <name val="Arial Narrow"/>
    </font>
    <font>
      <b/>
      <sz val="8.0"/>
      <color theme="1"/>
      <name val="Arial"/>
    </font>
    <font>
      <b/>
      <sz val="9.0"/>
      <color theme="1"/>
      <name val="Calibri"/>
    </font>
    <font>
      <sz val="9.0"/>
      <color theme="1"/>
      <name val="Arial Narrow"/>
    </font>
    <font>
      <sz val="9.0"/>
      <color theme="1"/>
      <name val="Quattrocento Sans"/>
    </font>
    <font>
      <sz val="10.0"/>
      <color rgb="FF000000"/>
      <name val="Arial Narrow"/>
    </font>
    <font>
      <b/>
      <sz val="10.0"/>
      <color theme="1"/>
      <name val="Arial"/>
    </font>
    <font>
      <sz val="10.0"/>
      <color theme="1"/>
      <name val="Calibri"/>
    </font>
    <font>
      <sz val="11.0"/>
      <color rgb="FF000000"/>
      <name val="Calibri"/>
    </font>
    <font>
      <b/>
      <sz val="11.0"/>
      <color theme="1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wrapText="1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6" numFmtId="1" xfId="0" applyAlignment="1" applyBorder="1" applyFont="1" applyNumberFormat="1">
      <alignment horizontal="center" shrinkToFit="0" vertical="center" wrapText="1"/>
    </xf>
    <xf borderId="9" fillId="0" fontId="6" numFmtId="2" xfId="0" applyAlignment="1" applyBorder="1" applyFont="1" applyNumberForma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8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8" fillId="0" fontId="9" numFmtId="0" xfId="0" applyAlignment="1" applyBorder="1" applyFont="1">
      <alignment horizontal="center" shrinkToFit="0" vertical="center" wrapText="1"/>
    </xf>
    <xf borderId="9" fillId="0" fontId="10" numFmtId="3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14" fillId="2" fontId="5" numFmtId="0" xfId="0" applyAlignment="1" applyBorder="1" applyFill="1" applyFont="1">
      <alignment horizontal="center" shrinkToFit="0" vertical="center" wrapText="1"/>
    </xf>
    <xf borderId="0" fillId="0" fontId="10" numFmtId="3" xfId="0" applyAlignment="1" applyFont="1" applyNumberFormat="1">
      <alignment horizontal="center"/>
    </xf>
    <xf borderId="9" fillId="0" fontId="6" numFmtId="2" xfId="0" applyAlignment="1" applyBorder="1" applyFont="1" applyNumberFormat="1">
      <alignment horizontal="center" shrinkToFit="0" wrapText="1"/>
    </xf>
    <xf borderId="15" fillId="0" fontId="9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 vertical="center"/>
    </xf>
    <xf borderId="9" fillId="0" fontId="1" numFmtId="3" xfId="0" applyAlignment="1" applyBorder="1" applyFont="1" applyNumberFormat="1">
      <alignment horizontal="center"/>
    </xf>
    <xf borderId="9" fillId="0" fontId="6" numFmtId="164" xfId="0" applyAlignment="1" applyBorder="1" applyFont="1" applyNumberFormat="1">
      <alignment horizontal="center" shrinkToFit="0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9" fillId="0" fontId="1" numFmtId="1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 shrinkToFit="0" wrapText="1"/>
    </xf>
    <xf borderId="15" fillId="0" fontId="5" numFmtId="0" xfId="0" applyAlignment="1" applyBorder="1" applyFont="1">
      <alignment horizontal="center" shrinkToFit="0" vertical="center" wrapText="1"/>
    </xf>
    <xf borderId="16" fillId="0" fontId="6" numFmtId="2" xfId="0" applyAlignment="1" applyBorder="1" applyFont="1" applyNumberFormat="1">
      <alignment horizontal="center" shrinkToFit="0" wrapText="1"/>
    </xf>
    <xf borderId="16" fillId="0" fontId="6" numFmtId="2" xfId="0" applyAlignment="1" applyBorder="1" applyFont="1" applyNumberFormat="1">
      <alignment horizontal="center" shrinkToFit="0" vertical="center" wrapText="1"/>
    </xf>
    <xf borderId="17" fillId="0" fontId="6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" numFmtId="2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wrapText="1"/>
    </xf>
    <xf borderId="13" fillId="0" fontId="12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vertical="center" wrapText="1"/>
    </xf>
    <xf borderId="9" fillId="0" fontId="13" numFmtId="3" xfId="0" applyAlignment="1" applyBorder="1" applyFont="1" applyNumberFormat="1">
      <alignment horizontal="center" shrinkToFit="0" wrapText="1"/>
    </xf>
    <xf borderId="9" fillId="0" fontId="4" numFmtId="3" xfId="0" applyAlignment="1" applyBorder="1" applyFont="1" applyNumberFormat="1">
      <alignment horizontal="center" shrinkToFit="0" wrapText="1"/>
    </xf>
    <xf borderId="10" fillId="0" fontId="4" numFmtId="3" xfId="0" applyAlignment="1" applyBorder="1" applyFont="1" applyNumberFormat="1">
      <alignment horizontal="center" shrinkToFit="0" wrapText="1"/>
    </xf>
    <xf borderId="9" fillId="2" fontId="6" numFmtId="2" xfId="0" applyAlignment="1" applyBorder="1" applyFont="1" applyNumberFormat="1">
      <alignment horizontal="center" shrinkToFit="0" vertical="center" wrapText="1"/>
    </xf>
    <xf borderId="9" fillId="0" fontId="14" numFmtId="3" xfId="0" applyAlignment="1" applyBorder="1" applyFont="1" applyNumberFormat="1">
      <alignment horizontal="center" shrinkToFit="0" wrapText="1"/>
    </xf>
    <xf borderId="9" fillId="0" fontId="6" numFmtId="1" xfId="0" applyAlignment="1" applyBorder="1" applyFont="1" applyNumberFormat="1">
      <alignment horizontal="center" shrinkToFit="0" wrapText="1"/>
    </xf>
    <xf borderId="9" fillId="0" fontId="4" numFmtId="1" xfId="0" applyAlignment="1" applyBorder="1" applyFont="1" applyNumberFormat="1">
      <alignment horizontal="center" shrinkToFit="0" wrapText="1"/>
    </xf>
    <xf borderId="15" fillId="0" fontId="12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wrapText="1"/>
    </xf>
    <xf borderId="16" fillId="0" fontId="4" numFmtId="3" xfId="0" applyAlignment="1" applyBorder="1" applyFont="1" applyNumberFormat="1">
      <alignment horizontal="center" shrinkToFit="0" wrapText="1"/>
    </xf>
    <xf borderId="17" fillId="0" fontId="4" numFmtId="3" xfId="0" applyAlignment="1" applyBorder="1" applyFont="1" applyNumberFormat="1">
      <alignment horizontal="center" shrinkToFit="0" wrapText="1"/>
    </xf>
    <xf borderId="0" fillId="0" fontId="14" numFmtId="3" xfId="0" applyFont="1" applyNumberFormat="1"/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9" fillId="0" fontId="6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/>
    </xf>
    <xf borderId="0" fillId="0" fontId="6" numFmtId="0" xfId="0" applyAlignment="1" applyFont="1">
      <alignment horizontal="center" shrinkToFit="0" wrapText="1"/>
    </xf>
    <xf borderId="0" fillId="0" fontId="16" numFmtId="0" xfId="0" applyAlignment="1" applyFont="1">
      <alignment horizontal="center" shrinkToFit="0" vertical="center" wrapText="1"/>
    </xf>
    <xf borderId="16" fillId="0" fontId="6" numFmtId="1" xfId="0" applyAlignment="1" applyBorder="1" applyFont="1" applyNumberFormat="1">
      <alignment horizontal="center" shrinkToFit="0" wrapText="1"/>
    </xf>
    <xf borderId="16" fillId="0" fontId="6" numFmtId="0" xfId="0" applyAlignment="1" applyBorder="1" applyFont="1">
      <alignment horizontal="center" shrinkToFit="0" wrapText="1"/>
    </xf>
    <xf borderId="18" fillId="3" fontId="4" numFmtId="0" xfId="0" applyAlignment="1" applyBorder="1" applyFill="1" applyFont="1">
      <alignment shrinkToFit="0" vertical="top" wrapText="1"/>
    </xf>
    <xf borderId="18" fillId="4" fontId="1" numFmtId="0" xfId="0" applyBorder="1" applyFill="1" applyFont="1"/>
    <xf borderId="9" fillId="2" fontId="6" numFmtId="2" xfId="0" applyAlignment="1" applyBorder="1" applyFont="1" applyNumberFormat="1">
      <alignment horizontal="center" readingOrder="0" shrinkToFit="0" vertical="center" wrapText="1"/>
    </xf>
    <xf borderId="18" fillId="3" fontId="4" numFmtId="0" xfId="0" applyAlignment="1" applyBorder="1" applyFont="1">
      <alignment shrinkToFit="0" vertical="top" wrapText="1"/>
    </xf>
    <xf borderId="5" fillId="0" fontId="1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0" fillId="0" fontId="4" numFmtId="0" xfId="0" applyFont="1"/>
    <xf borderId="9" fillId="0" fontId="4" numFmtId="1" xfId="0" applyAlignment="1" applyBorder="1" applyFont="1" applyNumberFormat="1">
      <alignment horizontal="center" shrinkToFit="0" vertical="center" wrapText="1"/>
    </xf>
    <xf borderId="9" fillId="0" fontId="4" numFmtId="2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0" fillId="0" fontId="1" numFmtId="0" xfId="0" applyFont="1"/>
    <xf borderId="10" fillId="0" fontId="4" numFmtId="1" xfId="0" applyAlignment="1" applyBorder="1" applyFont="1" applyNumberFormat="1">
      <alignment horizontal="center" shrinkToFit="0" wrapText="1"/>
    </xf>
    <xf borderId="0" fillId="0" fontId="1" numFmtId="1" xfId="0" applyFont="1" applyNumberFormat="1"/>
    <xf borderId="9" fillId="0" fontId="17" numFmtId="1" xfId="0" applyAlignment="1" applyBorder="1" applyFont="1" applyNumberFormat="1">
      <alignment horizontal="center" shrinkToFit="0" wrapText="1"/>
    </xf>
    <xf borderId="9" fillId="0" fontId="17" numFmtId="1" xfId="0" applyAlignment="1" applyBorder="1" applyFont="1" applyNumberFormat="1">
      <alignment horizontal="center"/>
    </xf>
    <xf borderId="9" fillId="2" fontId="4" numFmtId="2" xfId="0" applyAlignment="1" applyBorder="1" applyFont="1" applyNumberFormat="1">
      <alignment horizontal="center" shrinkToFit="0" vertical="center" wrapText="1"/>
    </xf>
    <xf borderId="0" fillId="0" fontId="17" numFmtId="1" xfId="0" applyAlignment="1" applyFont="1" applyNumberFormat="1">
      <alignment horizontal="center"/>
    </xf>
    <xf borderId="19" fillId="0" fontId="12" numFmtId="0" xfId="0" applyAlignment="1" applyBorder="1" applyFont="1">
      <alignment horizontal="center" shrinkToFit="0" vertical="center" wrapText="1"/>
    </xf>
    <xf borderId="9" fillId="0" fontId="4" numFmtId="2" xfId="0" applyAlignment="1" applyBorder="1" applyFont="1" applyNumberFormat="1">
      <alignment horizontal="center" shrinkToFit="0" wrapText="1"/>
    </xf>
    <xf borderId="8" fillId="0" fontId="5" numFmtId="0" xfId="0" applyAlignment="1" applyBorder="1" applyFont="1">
      <alignment horizontal="center"/>
    </xf>
    <xf borderId="8" fillId="0" fontId="5" numFmtId="3" xfId="0" applyAlignment="1" applyBorder="1" applyFont="1" applyNumberFormat="1">
      <alignment horizontal="center"/>
    </xf>
    <xf borderId="20" fillId="0" fontId="12" numFmtId="0" xfId="0" applyAlignment="1" applyBorder="1" applyFont="1">
      <alignment horizontal="center" shrinkToFit="0" vertical="center" wrapText="1"/>
    </xf>
    <xf borderId="9" fillId="0" fontId="4" numFmtId="164" xfId="0" applyAlignment="1" applyBorder="1" applyFont="1" applyNumberFormat="1">
      <alignment horizontal="center" shrinkToFit="0" wrapText="1"/>
    </xf>
    <xf borderId="9" fillId="0" fontId="4" numFmtId="164" xfId="0" applyAlignment="1" applyBorder="1" applyFont="1" applyNumberFormat="1">
      <alignment horizontal="center" shrinkToFit="0" vertical="center" wrapText="1"/>
    </xf>
    <xf borderId="9" fillId="0" fontId="18" numFmtId="3" xfId="0" applyAlignment="1" applyBorder="1" applyFont="1" applyNumberFormat="1">
      <alignment horizontal="center"/>
    </xf>
    <xf borderId="0" fillId="0" fontId="18" numFmtId="3" xfId="0" applyAlignment="1" applyFont="1" applyNumberFormat="1">
      <alignment horizontal="center"/>
    </xf>
    <xf borderId="9" fillId="5" fontId="13" numFmtId="3" xfId="0" applyAlignment="1" applyBorder="1" applyFill="1" applyFont="1" applyNumberFormat="1">
      <alignment horizontal="center" shrinkToFit="0" wrapText="1"/>
    </xf>
    <xf borderId="9" fillId="3" fontId="14" numFmtId="3" xfId="0" applyAlignment="1" applyBorder="1" applyFont="1" applyNumberFormat="1">
      <alignment horizontal="center" shrinkToFit="0" wrapText="1"/>
    </xf>
    <xf borderId="0" fillId="0" fontId="4" numFmtId="3" xfId="0" applyAlignment="1" applyFont="1" applyNumberFormat="1">
      <alignment horizontal="center"/>
    </xf>
    <xf borderId="9" fillId="0" fontId="4" numFmtId="0" xfId="0" applyAlignment="1" applyBorder="1" applyFont="1">
      <alignment horizontal="center" shrinkToFit="0" wrapText="1"/>
    </xf>
    <xf borderId="0" fillId="0" fontId="17" numFmtId="3" xfId="0" applyAlignment="1" applyFont="1" applyNumberFormat="1">
      <alignment horizontal="center"/>
    </xf>
    <xf borderId="9" fillId="0" fontId="7" numFmtId="0" xfId="0" applyAlignment="1" applyBorder="1" applyFont="1">
      <alignment horizontal="center"/>
    </xf>
    <xf borderId="0" fillId="0" fontId="7" numFmtId="3" xfId="0" applyAlignment="1" applyFont="1" applyNumberFormat="1">
      <alignment horizontal="center"/>
    </xf>
    <xf borderId="9" fillId="0" fontId="7" numFmtId="3" xfId="0" applyAlignment="1" applyBorder="1" applyFont="1" applyNumberFormat="1">
      <alignment horizontal="center"/>
    </xf>
    <xf borderId="9" fillId="0" fontId="7" numFmtId="3" xfId="0" applyAlignment="1" applyBorder="1" applyFont="1" applyNumberFormat="1">
      <alignment horizontal="center"/>
    </xf>
    <xf borderId="0" fillId="0" fontId="19" numFmtId="3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36">
    <tableStyle count="3" pivot="0" name="CONSOLIDADO-style">
      <tableStyleElement dxfId="2" type="headerRow"/>
      <tableStyleElement dxfId="3" type="firstRowStripe"/>
      <tableStyleElement dxfId="4" type="secondRowStripe"/>
    </tableStyle>
    <tableStyle count="3" pivot="0" name="CONSOLIDADO-style 2">
      <tableStyleElement dxfId="2" type="headerRow"/>
      <tableStyleElement dxfId="3" type="firstRowStripe"/>
      <tableStyleElement dxfId="4" type="secondRowStripe"/>
    </tableStyle>
    <tableStyle count="3" pivot="0" name="CONSOLIDADO-style 3">
      <tableStyleElement dxfId="2" type="headerRow"/>
      <tableStyleElement dxfId="3" type="firstRowStripe"/>
      <tableStyleElement dxfId="4" type="secondRowStripe"/>
    </tableStyle>
    <tableStyle count="2" pivot="0" name="CAJICA-style">
      <tableStyleElement dxfId="3" type="firstRowStripe"/>
      <tableStyleElement dxfId="4" type="secondRowStripe"/>
    </tableStyle>
    <tableStyle count="3" pivot="0" name="CAJICA-style 2">
      <tableStyleElement dxfId="2" type="headerRow"/>
      <tableStyleElement dxfId="3" type="firstRowStripe"/>
      <tableStyleElement dxfId="4" type="secondRowStripe"/>
    </tableStyle>
    <tableStyle count="3" pivot="0" name="CAJICA-style 3">
      <tableStyleElement dxfId="2" type="headerRow"/>
      <tableStyleElement dxfId="3" type="firstRowStripe"/>
      <tableStyleElement dxfId="4" type="secondRowStripe"/>
    </tableStyle>
    <tableStyle count="2" pivot="0" name="COTA-style">
      <tableStyleElement dxfId="3" type="firstRowStripe"/>
      <tableStyleElement dxfId="4" type="secondRowStripe"/>
    </tableStyle>
    <tableStyle count="3" pivot="0" name="COTA-style 2">
      <tableStyleElement dxfId="2" type="headerRow"/>
      <tableStyleElement dxfId="3" type="firstRowStripe"/>
      <tableStyleElement dxfId="4" type="secondRowStripe"/>
    </tableStyle>
    <tableStyle count="3" pivot="0" name="COTA-style 3">
      <tableStyleElement dxfId="2" type="headerRow"/>
      <tableStyleElement dxfId="3" type="firstRowStripe"/>
      <tableStyleElement dxfId="4" type="secondRowStripe"/>
    </tableStyle>
    <tableStyle count="3" pivot="0" name="CHIA-style">
      <tableStyleElement dxfId="2" type="headerRow"/>
      <tableStyleElement dxfId="3" type="firstRowStripe"/>
      <tableStyleElement dxfId="4" type="secondRowStripe"/>
    </tableStyle>
    <tableStyle count="3" pivot="0" name="CHIA-style 2">
      <tableStyleElement dxfId="2" type="headerRow"/>
      <tableStyleElement dxfId="3" type="firstRowStripe"/>
      <tableStyleElement dxfId="4" type="secondRowStripe"/>
    </tableStyle>
    <tableStyle count="3" pivot="0" name="CHIA-style 3">
      <tableStyleElement dxfId="2" type="headerRow"/>
      <tableStyleElement dxfId="3" type="firstRowStripe"/>
      <tableStyleElement dxfId="4" type="secondRowStripe"/>
    </tableStyle>
    <tableStyle count="3" pivot="0" name="ZIPAQUIRA-style">
      <tableStyleElement dxfId="2" type="headerRow"/>
      <tableStyleElement dxfId="3" type="firstRowStripe"/>
      <tableStyleElement dxfId="4" type="secondRowStripe"/>
    </tableStyle>
    <tableStyle count="3" pivot="0" name="ZIPAQUIRA-style 2">
      <tableStyleElement dxfId="2" type="headerRow"/>
      <tableStyleElement dxfId="3" type="firstRowStripe"/>
      <tableStyleElement dxfId="4" type="secondRowStripe"/>
    </tableStyle>
    <tableStyle count="3" pivot="0" name="ZIPAQUIRA-style 3">
      <tableStyleElement dxfId="2" type="headerRow"/>
      <tableStyleElement dxfId="3" type="firstRowStripe"/>
      <tableStyleElement dxfId="4" type="secondRowStripe"/>
    </tableStyle>
    <tableStyle count="3" pivot="0" name="TABIO-style">
      <tableStyleElement dxfId="2" type="headerRow"/>
      <tableStyleElement dxfId="3" type="firstRowStripe"/>
      <tableStyleElement dxfId="4" type="secondRowStripe"/>
    </tableStyle>
    <tableStyle count="3" pivot="0" name="TABIO-style 2">
      <tableStyleElement dxfId="2" type="headerRow"/>
      <tableStyleElement dxfId="3" type="firstRowStripe"/>
      <tableStyleElement dxfId="4" type="secondRowStripe"/>
    </tableStyle>
    <tableStyle count="3" pivot="0" name="TABIO-style 3">
      <tableStyleElement dxfId="2" type="headerRow"/>
      <tableStyleElement dxfId="3" type="firstRowStripe"/>
      <tableStyleElement dxfId="4" type="secondRowStripe"/>
    </tableStyle>
    <tableStyle count="3" pivot="0" name="TOCANCIPA-style">
      <tableStyleElement dxfId="2" type="headerRow"/>
      <tableStyleElement dxfId="3" type="firstRowStripe"/>
      <tableStyleElement dxfId="4" type="secondRowStripe"/>
    </tableStyle>
    <tableStyle count="3" pivot="0" name="TOCANCIPA-style 2">
      <tableStyleElement dxfId="2" type="headerRow"/>
      <tableStyleElement dxfId="3" type="firstRowStripe"/>
      <tableStyleElement dxfId="4" type="secondRowStripe"/>
    </tableStyle>
    <tableStyle count="3" pivot="0" name="TOCANCIPA-style 3">
      <tableStyleElement dxfId="2" type="headerRow"/>
      <tableStyleElement dxfId="3" type="firstRowStripe"/>
      <tableStyleElement dxfId="4" type="secondRowStripe"/>
    </tableStyle>
    <tableStyle count="3" pivot="0" name="SOPO-style">
      <tableStyleElement dxfId="2" type="headerRow"/>
      <tableStyleElement dxfId="3" type="firstRowStripe"/>
      <tableStyleElement dxfId="4" type="secondRowStripe"/>
    </tableStyle>
    <tableStyle count="3" pivot="0" name="SOPO-style 2">
      <tableStyleElement dxfId="2" type="headerRow"/>
      <tableStyleElement dxfId="3" type="firstRowStripe"/>
      <tableStyleElement dxfId="4" type="secondRowStripe"/>
    </tableStyle>
    <tableStyle count="3" pivot="0" name="SOPO-style 3">
      <tableStyleElement dxfId="2" type="headerRow"/>
      <tableStyleElement dxfId="3" type="firstRowStripe"/>
      <tableStyleElement dxfId="4" type="secondRowStripe"/>
    </tableStyle>
    <tableStyle count="3" pivot="0" name="TENJO-style">
      <tableStyleElement dxfId="2" type="headerRow"/>
      <tableStyleElement dxfId="3" type="firstRowStripe"/>
      <tableStyleElement dxfId="4" type="secondRowStripe"/>
    </tableStyle>
    <tableStyle count="3" pivot="0" name="TENJO-style 2">
      <tableStyleElement dxfId="2" type="headerRow"/>
      <tableStyleElement dxfId="3" type="firstRowStripe"/>
      <tableStyleElement dxfId="4" type="secondRowStripe"/>
    </tableStyle>
    <tableStyle count="3" pivot="0" name="TENJO-style 3">
      <tableStyleElement dxfId="2" type="headerRow"/>
      <tableStyleElement dxfId="3" type="firstRowStripe"/>
      <tableStyleElement dxfId="4" type="secondRowStripe"/>
    </tableStyle>
    <tableStyle count="3" pivot="0" name="NEMOCON-style">
      <tableStyleElement dxfId="2" type="headerRow"/>
      <tableStyleElement dxfId="3" type="firstRowStripe"/>
      <tableStyleElement dxfId="4" type="secondRowStripe"/>
    </tableStyle>
    <tableStyle count="3" pivot="0" name="NEMOCON-style 2">
      <tableStyleElement dxfId="2" type="headerRow"/>
      <tableStyleElement dxfId="3" type="firstRowStripe"/>
      <tableStyleElement dxfId="4" type="secondRowStripe"/>
    </tableStyle>
    <tableStyle count="3" pivot="0" name="NEMOCON-style 3">
      <tableStyleElement dxfId="2" type="headerRow"/>
      <tableStyleElement dxfId="3" type="firstRowStripe"/>
      <tableStyleElement dxfId="4" type="secondRowStripe"/>
    </tableStyle>
    <tableStyle count="3" pivot="0" name="COGUA-style">
      <tableStyleElement dxfId="2" type="headerRow"/>
      <tableStyleElement dxfId="3" type="firstRowStripe"/>
      <tableStyleElement dxfId="4" type="secondRowStripe"/>
    </tableStyle>
    <tableStyle count="3" pivot="0" name="COGUA-style 2">
      <tableStyleElement dxfId="2" type="headerRow"/>
      <tableStyleElement dxfId="3" type="firstRowStripe"/>
      <tableStyleElement dxfId="4" type="secondRowStripe"/>
    </tableStyle>
    <tableStyle count="3" pivot="0" name="COGUA-style 3">
      <tableStyleElement dxfId="2" type="headerRow"/>
      <tableStyleElement dxfId="3" type="firstRowStripe"/>
      <tableStyleElement dxfId="4" type="secondRowStripe"/>
    </tableStyle>
    <tableStyle count="3" pivot="0" name="GACHANCIPA-style">
      <tableStyleElement dxfId="2" type="headerRow"/>
      <tableStyleElement dxfId="3" type="firstRowStripe"/>
      <tableStyleElement dxfId="4" type="secondRowStripe"/>
    </tableStyle>
    <tableStyle count="3" pivot="0" name="GACHANCIPA-style 2">
      <tableStyleElement dxfId="2" type="headerRow"/>
      <tableStyleElement dxfId="3" type="firstRowStripe"/>
      <tableStyleElement dxfId="4" type="secondRowStripe"/>
    </tableStyle>
    <tableStyle count="3" pivot="0" name="GACHANCIPA-style 3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142875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001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90487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0</xdr:rowOff>
    </xdr:from>
    <xdr:ext cx="981075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L2:AC70" displayName="Table_1" name="Table_1" id="1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4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CONSOLIDADO-style" showColumnStripes="0" showFirstColumn="1" showLastColumn="1" showRowStripes="1"/>
</table>
</file>

<file path=xl/tables/table2.xml><?xml version="1.0" encoding="utf-8"?>
<table xmlns="http://schemas.openxmlformats.org/spreadsheetml/2006/main" ref="B5:H27" displayName="Table_2" name="Table_2" id="2">
  <tableColumns count="7">
    <tableColumn name="RANGO EDAD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NSOLIDADO-style 2" showColumnStripes="0" showFirstColumn="1" showLastColumn="1" showRowStripes="1"/>
</table>
</file>

<file path=xl/tables/table3.xml><?xml version="1.0" encoding="utf-8"?>
<table xmlns="http://schemas.openxmlformats.org/spreadsheetml/2006/main" ref="B30:H36" displayName="Table_3" name="Table_3" id="3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NSOLIDADO-style 3" showColumnStripes="0" showFirstColumn="1" showLastColumn="1" showRowStripes="1"/>
</table>
</file>

<file path=xl/tables/table4.xml><?xml version="1.0" encoding="utf-8"?>
<table xmlns="http://schemas.openxmlformats.org/spreadsheetml/2006/main" headerRowCount="0" ref="L2:AD70" displayName="Table_4" name="Table_4" id="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AJICA-style" showColumnStripes="0" showFirstColumn="1" showLastColumn="1" showRowStripes="1"/>
</table>
</file>

<file path=xl/tables/table5.xml><?xml version="1.0" encoding="utf-8"?>
<table xmlns="http://schemas.openxmlformats.org/spreadsheetml/2006/main" ref="B5:H27" displayName="Table_5" name="Table_5" id="5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AJICA-style 2" showColumnStripes="0" showFirstColumn="1" showLastColumn="1" showRowStripes="1"/>
</table>
</file>

<file path=xl/tables/table6.xml><?xml version="1.0" encoding="utf-8"?>
<table xmlns="http://schemas.openxmlformats.org/spreadsheetml/2006/main" ref="B30:H36" displayName="Table_6" name="Table_6" id="6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AJICA-style 3" showColumnStripes="0" showFirstColumn="1" showLastColumn="1" showRowStripes="1"/>
</table>
</file>

<file path=xl/tables/table7.xml><?xml version="1.0" encoding="utf-8"?>
<table xmlns="http://schemas.openxmlformats.org/spreadsheetml/2006/main" headerRowCount="0" ref="L1:AC70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TA-style" showColumnStripes="0" showFirstColumn="1" showLastColumn="1" showRowStripes="1"/>
</table>
</file>

<file path=xl/tables/table8.xml><?xml version="1.0" encoding="utf-8"?>
<table xmlns="http://schemas.openxmlformats.org/spreadsheetml/2006/main" ref="B5:H27" displayName="Table_8" name="Table_8" id="8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TA-style 2" showColumnStripes="0" showFirstColumn="1" showLastColumn="1" showRowStripes="1"/>
</table>
</file>

<file path=xl/tables/table9.xml><?xml version="1.0" encoding="utf-8"?>
<table xmlns="http://schemas.openxmlformats.org/spreadsheetml/2006/main" ref="B30:H36" displayName="Table_9" name="Table_9" id="9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TA-style 3" showColumnStripes="0" showFirstColumn="1" showLastColumn="1" showRowStripes="1"/>
</table>
</file>

<file path=xl/tables/table10.xml><?xml version="1.0" encoding="utf-8"?>
<table xmlns="http://schemas.openxmlformats.org/spreadsheetml/2006/main" ref="L2:AC70" displayName="Table_10" name="Table_10" id="10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CHIA-style" showColumnStripes="0" showFirstColumn="1" showLastColumn="1" showRowStripes="1"/>
</table>
</file>

<file path=xl/tables/table11.xml><?xml version="1.0" encoding="utf-8"?>
<table xmlns="http://schemas.openxmlformats.org/spreadsheetml/2006/main" ref="B5:H27" displayName="Table_11" name="Table_11" id="11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HIA-style 2" showColumnStripes="0" showFirstColumn="1" showLastColumn="1" showRowStripes="1"/>
</table>
</file>

<file path=xl/tables/table12.xml><?xml version="1.0" encoding="utf-8"?>
<table xmlns="http://schemas.openxmlformats.org/spreadsheetml/2006/main" ref="B30:H36" displayName="Table_12" name="Table_12" id="12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HIA-style 3" showColumnStripes="0" showFirstColumn="1" showLastColumn="1" showRowStripes="1"/>
</table>
</file>

<file path=xl/tables/table13.xml><?xml version="1.0" encoding="utf-8"?>
<table xmlns="http://schemas.openxmlformats.org/spreadsheetml/2006/main" ref="L2:AC70" displayName="Table_13" name="Table_13" id="13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ZIPAQUIRA-style" showColumnStripes="0" showFirstColumn="1" showLastColumn="1" showRowStripes="1"/>
</table>
</file>

<file path=xl/tables/table14.xml><?xml version="1.0" encoding="utf-8"?>
<table xmlns="http://schemas.openxmlformats.org/spreadsheetml/2006/main" ref="B5:I27" displayName="Table_14" name="Table_14" id="14">
  <tableColumns count="8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  <tableColumn name="AÑO 2026" id="8"/>
  </tableColumns>
  <tableStyleInfo name="ZIPAQUIRA-style 2" showColumnStripes="0" showFirstColumn="1" showLastColumn="1" showRowStripes="1"/>
</table>
</file>

<file path=xl/tables/table15.xml><?xml version="1.0" encoding="utf-8"?>
<table xmlns="http://schemas.openxmlformats.org/spreadsheetml/2006/main" ref="B30:H36" displayName="Table_15" name="Table_15" id="15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ZIPAQUIRA-style 3" showColumnStripes="0" showFirstColumn="1" showLastColumn="1" showRowStripes="1"/>
</table>
</file>

<file path=xl/tables/table16.xml><?xml version="1.0" encoding="utf-8"?>
<table xmlns="http://schemas.openxmlformats.org/spreadsheetml/2006/main" ref="L2:AC70" displayName="Table_16" name="Table_16" id="16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TABIO-style" showColumnStripes="0" showFirstColumn="1" showLastColumn="1" showRowStripes="1"/>
</table>
</file>

<file path=xl/tables/table17.xml><?xml version="1.0" encoding="utf-8"?>
<table xmlns="http://schemas.openxmlformats.org/spreadsheetml/2006/main" ref="B5:H27" displayName="Table_17" name="Table_17" id="17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ABIO-style 2" showColumnStripes="0" showFirstColumn="1" showLastColumn="1" showRowStripes="1"/>
</table>
</file>

<file path=xl/tables/table18.xml><?xml version="1.0" encoding="utf-8"?>
<table xmlns="http://schemas.openxmlformats.org/spreadsheetml/2006/main" ref="B30:H36" displayName="Table_18" name="Table_18" id="18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ABIO-style 3" showColumnStripes="0" showFirstColumn="1" showLastColumn="1" showRowStripes="1"/>
</table>
</file>

<file path=xl/tables/table19.xml><?xml version="1.0" encoding="utf-8"?>
<table xmlns="http://schemas.openxmlformats.org/spreadsheetml/2006/main" ref="L2:AC70" displayName="Table_19" name="Table_19" id="19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TOCANCIPA-style" showColumnStripes="0" showFirstColumn="1" showLastColumn="1" showRowStripes="1"/>
</table>
</file>

<file path=xl/tables/table20.xml><?xml version="1.0" encoding="utf-8"?>
<table xmlns="http://schemas.openxmlformats.org/spreadsheetml/2006/main" ref="B5:H27" displayName="Table_20" name="Table_20" id="20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OCANCIPA-style 2" showColumnStripes="0" showFirstColumn="1" showLastColumn="1" showRowStripes="1"/>
</table>
</file>

<file path=xl/tables/table21.xml><?xml version="1.0" encoding="utf-8"?>
<table xmlns="http://schemas.openxmlformats.org/spreadsheetml/2006/main" ref="B30:H36" displayName="Table_21" name="Table_21" id="21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OCANCIPA-style 3" showColumnStripes="0" showFirstColumn="1" showLastColumn="1" showRowStripes="1"/>
</table>
</file>

<file path=xl/tables/table22.xml><?xml version="1.0" encoding="utf-8"?>
<table xmlns="http://schemas.openxmlformats.org/spreadsheetml/2006/main" ref="L2:AC70" displayName="Table_22" name="Table_22" id="22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SOPO-style" showColumnStripes="0" showFirstColumn="1" showLastColumn="1" showRowStripes="1"/>
</table>
</file>

<file path=xl/tables/table23.xml><?xml version="1.0" encoding="utf-8"?>
<table xmlns="http://schemas.openxmlformats.org/spreadsheetml/2006/main" ref="B5:H27" displayName="Table_23" name="Table_23" id="23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SOPO-style 2" showColumnStripes="0" showFirstColumn="1" showLastColumn="1" showRowStripes="1"/>
</table>
</file>

<file path=xl/tables/table24.xml><?xml version="1.0" encoding="utf-8"?>
<table xmlns="http://schemas.openxmlformats.org/spreadsheetml/2006/main" ref="B30:H36" displayName="Table_24" name="Table_24" id="24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SOPO-style 3" showColumnStripes="0" showFirstColumn="1" showLastColumn="1" showRowStripes="1"/>
</table>
</file>

<file path=xl/tables/table25.xml><?xml version="1.0" encoding="utf-8"?>
<table xmlns="http://schemas.openxmlformats.org/spreadsheetml/2006/main" ref="L2:AC70" displayName="Table_25" name="Table_25" id="25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TENJO-style" showColumnStripes="0" showFirstColumn="1" showLastColumn="1" showRowStripes="1"/>
</table>
</file>

<file path=xl/tables/table26.xml><?xml version="1.0" encoding="utf-8"?>
<table xmlns="http://schemas.openxmlformats.org/spreadsheetml/2006/main" ref="B5:H27" displayName="Table_26" name="Table_26" id="26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ENJO-style 2" showColumnStripes="0" showFirstColumn="1" showLastColumn="1" showRowStripes="1"/>
</table>
</file>

<file path=xl/tables/table27.xml><?xml version="1.0" encoding="utf-8"?>
<table xmlns="http://schemas.openxmlformats.org/spreadsheetml/2006/main" ref="B30:H36" displayName="Table_27" name="Table_27" id="27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TENJO-style 3" showColumnStripes="0" showFirstColumn="1" showLastColumn="1" showRowStripes="1"/>
</table>
</file>

<file path=xl/tables/table28.xml><?xml version="1.0" encoding="utf-8"?>
<table xmlns="http://schemas.openxmlformats.org/spreadsheetml/2006/main" ref="L2:AC70" displayName="Table_28" name="Table_28" id="28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NEMOCON-style" showColumnStripes="0" showFirstColumn="1" showLastColumn="1" showRowStripes="1"/>
</table>
</file>

<file path=xl/tables/table29.xml><?xml version="1.0" encoding="utf-8"?>
<table xmlns="http://schemas.openxmlformats.org/spreadsheetml/2006/main" ref="B5:H27" displayName="Table_29" name="Table_29" id="29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NEMOCON-style 2" showColumnStripes="0" showFirstColumn="1" showLastColumn="1" showRowStripes="1"/>
</table>
</file>

<file path=xl/tables/table30.xml><?xml version="1.0" encoding="utf-8"?>
<table xmlns="http://schemas.openxmlformats.org/spreadsheetml/2006/main" ref="B30:H36" displayName="Table_30" name="Table_30" id="30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NEMOCON-style 3" showColumnStripes="0" showFirstColumn="1" showLastColumn="1" showRowStripes="1"/>
</table>
</file>

<file path=xl/tables/table31.xml><?xml version="1.0" encoding="utf-8"?>
<table xmlns="http://schemas.openxmlformats.org/spreadsheetml/2006/main" ref="L2:AC70" displayName="Table_31" name="Table_31" id="31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COGUA-style" showColumnStripes="0" showFirstColumn="1" showLastColumn="1" showRowStripes="1"/>
</table>
</file>

<file path=xl/tables/table32.xml><?xml version="1.0" encoding="utf-8"?>
<table xmlns="http://schemas.openxmlformats.org/spreadsheetml/2006/main" ref="B5:H27" displayName="Table_32" name="Table_32" id="32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GUA-style 2" showColumnStripes="0" showFirstColumn="1" showLastColumn="1" showRowStripes="1"/>
</table>
</file>

<file path=xl/tables/table33.xml><?xml version="1.0" encoding="utf-8"?>
<table xmlns="http://schemas.openxmlformats.org/spreadsheetml/2006/main" ref="B30:H36" displayName="Table_33" name="Table_33" id="33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COGUA-style 3" showColumnStripes="0" showFirstColumn="1" showLastColumn="1" showRowStripes="1"/>
</table>
</file>

<file path=xl/tables/table34.xml><?xml version="1.0" encoding="utf-8"?>
<table xmlns="http://schemas.openxmlformats.org/spreadsheetml/2006/main" ref="L2:AC70" displayName="Table_34" name="Table_34" id="34">
  <tableColumns count="18">
    <tableColumn name="INDICADOR" id="1"/>
    <tableColumn name="CASOS 2020" id="2"/>
    <tableColumn name="VALOR DEL INDICADOR 2020 CORTE 31/12/2020" id="3"/>
    <tableColumn name="CASOS 2021" id="4"/>
    <tableColumn name="VALOR DEL INDICADOR 2021 corte 31/12/2021 mortalidad " id="5"/>
    <tableColumn name="CASOS 2022" id="6"/>
    <tableColumn name="VALOR DEL INDICADOR 2022 " id="7"/>
    <tableColumn name="CASOS 2023" id="8"/>
    <tableColumn name="VALOR DEL INDICADOR 2023  31-12-2023" id="9"/>
    <tableColumn name="CASOS 2024" id="10"/>
    <tableColumn name="VALOR DEL INDICADOR 2024 preliminar  31-12-2024" id="11"/>
    <tableColumn name="CASOS 2025" id="12"/>
    <tableColumn name="VALOR DEL INDICADOR 2025 preliminar  24-06-2025" id="13"/>
    <tableColumn name="VALOR  PROMEDIO INDICADOR CUATRENIO ANTERIOR" id="14"/>
    <tableColumn name="VALOR  PROMEDIO CASOS CUATRENIO ANTERIOR" id="15"/>
    <tableColumn name="VALOR  PROMEDIO INDICADOR PERIODO 2024-2025" id="16"/>
    <tableColumn name="VALOR  PROMEDIO CASOS PERIODO ACTUAL 2024-2025" id="17"/>
    <tableColumn name="FUENTE" id="18"/>
  </tableColumns>
  <tableStyleInfo name="GACHANCIPA-style" showColumnStripes="0" showFirstColumn="1" showLastColumn="1" showRowStripes="1"/>
</table>
</file>

<file path=xl/tables/table35.xml><?xml version="1.0" encoding="utf-8"?>
<table xmlns="http://schemas.openxmlformats.org/spreadsheetml/2006/main" ref="B5:H27" displayName="Table_35" name="Table_35" id="35">
  <tableColumns count="7">
    <tableColumn name="Columna1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GACHANCIPA-style 2" showColumnStripes="0" showFirstColumn="1" showLastColumn="1" showRowStripes="1"/>
</table>
</file>

<file path=xl/tables/table36.xml><?xml version="1.0" encoding="utf-8"?>
<table xmlns="http://schemas.openxmlformats.org/spreadsheetml/2006/main" ref="B30:H36" displayName="Table_36" name="Table_36" id="36">
  <tableColumns count="7">
    <tableColumn name="MOMENTO CURSO DE VIDA" id="1"/>
    <tableColumn name="AÑO 2020" id="2"/>
    <tableColumn name="AÑO 2021" id="3"/>
    <tableColumn name="AÑO 2022" id="4"/>
    <tableColumn name="AÑO 2023" id="5"/>
    <tableColumn name="AÑO 2024" id="6"/>
    <tableColumn name="AÑO 2025" id="7"/>
  </tableColumns>
  <tableStyleInfo name="GACHANCIP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6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22.xml"/><Relationship Id="rId6" Type="http://schemas.openxmlformats.org/officeDocument/2006/relationships/table" Target="../tables/table23.xml"/><Relationship Id="rId7" Type="http://schemas.openxmlformats.org/officeDocument/2006/relationships/table" Target="../tables/table2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25.x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28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31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34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4.43" defaultRowHeight="15.0"/>
  <cols>
    <col customWidth="1" min="1" max="1" width="5.0"/>
    <col customWidth="1" min="2" max="2" width="21.71"/>
    <col customWidth="1" min="3" max="8" width="11.71"/>
    <col customWidth="1" min="9" max="11" width="1.43"/>
    <col customWidth="1" min="12" max="12" width="20.29"/>
    <col customWidth="1" min="13" max="13" width="8.43"/>
    <col customWidth="1" min="14" max="14" width="12.0"/>
    <col customWidth="1" min="15" max="15" width="7.86"/>
    <col customWidth="1" min="16" max="16" width="12.43"/>
    <col customWidth="1" min="17" max="17" width="7.14"/>
    <col customWidth="1" min="18" max="18" width="10.43"/>
    <col customWidth="1" min="19" max="19" width="6.86"/>
    <col customWidth="1" min="20" max="20" width="12.43"/>
    <col customWidth="1" min="21" max="21" width="6.86"/>
    <col customWidth="1" min="22" max="22" width="10.14"/>
    <col customWidth="1" min="23" max="23" width="8.0"/>
    <col customWidth="1" min="24" max="24" width="12.14"/>
    <col customWidth="1" min="25" max="25" width="13.43"/>
    <col customWidth="1" min="26" max="26" width="11.71"/>
    <col customWidth="1" min="27" max="27" width="18.14"/>
    <col customWidth="1" min="28" max="28" width="18.43"/>
    <col customWidth="1" min="29" max="29" width="10.71"/>
  </cols>
  <sheetData>
    <row r="1" ht="64.5" customHeight="1">
      <c r="B1" s="1"/>
      <c r="C1" s="2" t="s">
        <v>0</v>
      </c>
      <c r="D1" s="3"/>
      <c r="E1" s="3"/>
      <c r="F1" s="3"/>
      <c r="G1" s="3"/>
      <c r="H1" s="4"/>
      <c r="I1" s="5"/>
      <c r="J1" s="5"/>
      <c r="K1" s="5"/>
      <c r="L1" s="6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3.25" customHeight="1">
      <c r="B2" s="7" t="s">
        <v>2</v>
      </c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15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9.5" customHeight="1">
      <c r="L3" s="11" t="s">
        <v>21</v>
      </c>
      <c r="M3" s="12">
        <f>CAJICA!M3+COTA!M4+CHIA!M3+ZIPAQUIRA!M3+TABIO!M3+TENJO!M3+SOPO!M3+GACHANCIPA!M3+TOCANCIPA!M3+NEMOCON!M3+COGUA!M3</f>
        <v>1392</v>
      </c>
      <c r="N3" s="13">
        <f>M3/C7*1000</f>
        <v>4.393065773</v>
      </c>
      <c r="O3" s="12">
        <f>CAJICA!O3+COTA!O4+CHIA!O3+ZIPAQUIRA!O3+TABIO!O3+TENJO!O3+SOPO!O3+GACHANCIPA!O3+TOCANCIPA!O3+NEMOCON!O3+COGUA!O3</f>
        <v>1980</v>
      </c>
      <c r="P3" s="13">
        <f>O3/D7*1000</f>
        <v>6.038463181</v>
      </c>
      <c r="Q3" s="12">
        <f>CAJICA!Q3+COTA!Q4+CHIA!Q3+ZIPAQUIRA!Q3+TABIO!Q3+TENJO!Q3+SOPO!Q3+GACHANCIPA!Q3+TOCANCIPA!Q3+NEMOCON!Q3+COGUA!Q3</f>
        <v>1440</v>
      </c>
      <c r="R3" s="13">
        <f>Q3/E7*1000</f>
        <v>4.258213325</v>
      </c>
      <c r="S3" s="12">
        <f>CAJICA!S3+COTA!S4+CHIA!S3+ZIPAQUIRA!S3+TABIO!S3+TENJO!S3+SOPO!S3+GACHANCIPA!S3+TOCANCIPA!S3+NEMOCON!S3+COGUA!S3</f>
        <v>1287</v>
      </c>
      <c r="T3" s="13">
        <f>S3/F7*1000</f>
        <v>3.692726162</v>
      </c>
      <c r="U3" s="12">
        <f>CAJICA!U3+COTA!U4+CHIA!U3+ZIPAQUIRA!U3+TABIO!U3+TENJO!U3+SOPO!U3+GACHANCIPA!U3+TOCANCIPA!U3+NEMOCON!U3+COGUA!U3</f>
        <v>1388</v>
      </c>
      <c r="V3" s="13">
        <f>U3/G7*1000</f>
        <v>3.86973383</v>
      </c>
      <c r="W3" s="12">
        <f>CAJICA!W3+COTA!W4+CHIA!W3+ZIPAQUIRA!W3+TABIO!W3+TENJO!W3+SOPO!W3+GACHANCIPA!W3+TOCANCIPA!W3+NEMOCON!W3+COGUA!W3</f>
        <v>710</v>
      </c>
      <c r="X3" s="13">
        <f>W3/H7*1000</f>
        <v>1.926881627</v>
      </c>
      <c r="Y3" s="13">
        <f t="shared" ref="Y3:Z3" si="1">((M3+O3+Q3+S3)/4)</f>
        <v>1524.75</v>
      </c>
      <c r="Z3" s="13">
        <f t="shared" si="1"/>
        <v>4.59561711</v>
      </c>
      <c r="AA3" s="13">
        <f t="shared" ref="AA3:AA70" si="3">((S3+U3)/2)</f>
        <v>1337.5</v>
      </c>
      <c r="AB3" s="13">
        <f t="shared" ref="AB3:AB70" si="4">(V3+X3)/2</f>
        <v>2.898307729</v>
      </c>
      <c r="AC3" s="14" t="s">
        <v>22</v>
      </c>
    </row>
    <row r="4" ht="14.25" customHeight="1">
      <c r="L4" s="11" t="s">
        <v>23</v>
      </c>
      <c r="M4" s="12">
        <f>CAJICA!M4+COTA!M5+CHIA!M4+ZIPAQUIRA!M4+TABIO!M4+TENJO!M4+SOPO!M4+GACHANCIPA!M4+TOCANCIPA!M4+NEMOCON!M4+COGUA!M4</f>
        <v>3108</v>
      </c>
      <c r="N4" s="13">
        <f>M4/C7*1000</f>
        <v>9.808655476</v>
      </c>
      <c r="O4" s="12">
        <f>CAJICA!O4+COTA!O5+CHIA!O4+ZIPAQUIRA!O4+TABIO!O4+TENJO!O4+SOPO!O4+GACHANCIPA!O4+TOCANCIPA!O4+NEMOCON!O4+COGUA!O4</f>
        <v>3409</v>
      </c>
      <c r="P4" s="13">
        <f>O4/D7*1000</f>
        <v>10.39652575</v>
      </c>
      <c r="Q4" s="12">
        <f>CAJICA!Q4+COTA!Q5+CHIA!Q4+ZIPAQUIRA!Q4+TABIO!Q4+TENJO!Q4+SOPO!Q4+GACHANCIPA!Q4+TOCANCIPA!Q4+NEMOCON!Q4+COGUA!Q4</f>
        <v>3554</v>
      </c>
      <c r="R4" s="13">
        <f>Q4/E7*1000</f>
        <v>10.50950705</v>
      </c>
      <c r="S4" s="12">
        <f>CAJICA!S4+COTA!S5+CHIA!S4+ZIPAQUIRA!S4+TABIO!S4+TENJO!S4+SOPO!S4+GACHANCIPA!S4+TOCANCIPA!S4+NEMOCON!S4+COGUA!S4</f>
        <v>3374</v>
      </c>
      <c r="T4" s="13">
        <f>S4/F7*1000</f>
        <v>9.680853201</v>
      </c>
      <c r="U4" s="12">
        <f>CAJICA!U4+COTA!U5+CHIA!U4+ZIPAQUIRA!U4+TABIO!U4+TENJO!U4+SOPO!U4+GACHANCIPA!U4+TOCANCIPA!U4+NEMOCON!U4+COGUA!U4</f>
        <v>3261</v>
      </c>
      <c r="V4" s="13">
        <f>U4/G7*1000</f>
        <v>9.091644107</v>
      </c>
      <c r="W4" s="12">
        <f>CAJICA!W4+COTA!W5+CHIA!W4+ZIPAQUIRA!W4+TABIO!W4+TENJO!W4+SOPO!W4+GACHANCIPA!W4+TOCANCIPA!W4+NEMOCON!W4+COGUA!W4</f>
        <v>1521</v>
      </c>
      <c r="X4" s="13">
        <f>W4/H7*1000</f>
        <v>4.12786895</v>
      </c>
      <c r="Y4" s="13">
        <f t="shared" ref="Y4:Z4" si="2">((M4+O4+Q4+S4)/4)</f>
        <v>3361.25</v>
      </c>
      <c r="Z4" s="13">
        <f t="shared" si="2"/>
        <v>10.09888537</v>
      </c>
      <c r="AA4" s="13">
        <f t="shared" si="3"/>
        <v>3317.5</v>
      </c>
      <c r="AB4" s="13">
        <f t="shared" si="4"/>
        <v>6.609756529</v>
      </c>
      <c r="AC4" s="14" t="s">
        <v>24</v>
      </c>
    </row>
    <row r="5" ht="14.25" customHeight="1">
      <c r="B5" s="15" t="s">
        <v>25</v>
      </c>
      <c r="C5" s="16" t="s">
        <v>26</v>
      </c>
      <c r="D5" s="16" t="s">
        <v>27</v>
      </c>
      <c r="E5" s="16" t="s">
        <v>28</v>
      </c>
      <c r="F5" s="16" t="s">
        <v>29</v>
      </c>
      <c r="G5" s="16" t="s">
        <v>30</v>
      </c>
      <c r="H5" s="17" t="s">
        <v>31</v>
      </c>
      <c r="L5" s="11" t="s">
        <v>32</v>
      </c>
      <c r="M5" s="12">
        <f>CAJICA!M5+COTA!M6+CHIA!M5+ZIPAQUIRA!M5+TABIO!M5+TENJO!M5+SOPO!M5+GACHANCIPA!M5+TOCANCIPA!M5+NEMOCON!M5+COGUA!M5</f>
        <v>2</v>
      </c>
      <c r="N5" s="13">
        <f>M5/C12*100000</f>
        <v>63.63347121</v>
      </c>
      <c r="O5" s="12">
        <f>CAJICA!O5+COTA!O6+CHIA!O5+ZIPAQUIRA!O5+TABIO!O5+TENJO!O5+SOPO!O5+GACHANCIPA!O5+TOCANCIPA!O5+NEMOCON!O5+COGUA!O5</f>
        <v>4</v>
      </c>
      <c r="P5" s="13">
        <f>O5/D12*100000</f>
        <v>116.5161666</v>
      </c>
      <c r="Q5" s="12">
        <f>CAJICA!Q5+COTA!Q6+CHIA!Q5+ZIPAQUIRA!Q5+TABIO!Q5+TENJO!Q5+SOPO!Q5+GACHANCIPA!Q5+TOCANCIPA!Q5+NEMOCON!Q5+COGUA!Q5</f>
        <v>0</v>
      </c>
      <c r="R5" s="13">
        <f>Q5/E12*100000</f>
        <v>0</v>
      </c>
      <c r="S5" s="12">
        <f>CAJICA!S5+COTA!S6+CHIA!S5+ZIPAQUIRA!S5+TABIO!S5+TENJO!S5+SOPO!S5+GACHANCIPA!S5+TOCANCIPA!S5+NEMOCON!S5+COGUA!S5</f>
        <v>1</v>
      </c>
      <c r="T5" s="13">
        <f>S5/F12*100000</f>
        <v>29.52465309</v>
      </c>
      <c r="U5" s="12">
        <f>CAJICA!U5+COTA!U6+CHIA!U5+ZIPAQUIRA!U5+TABIO!U5+TENJO!U5+SOPO!U5+GACHANCIPA!U5+TOCANCIPA!U5+NEMOCON!U5+COGUA!U5</f>
        <v>3</v>
      </c>
      <c r="V5" s="13">
        <f>U5/G12*100000</f>
        <v>85.37279454</v>
      </c>
      <c r="W5" s="12">
        <f>CAJICA!W5+COTA!W6+CHIA!W5+ZIPAQUIRA!W5+TABIO!W5+TENJO!W5+SOPO!W5+GACHANCIPA!W5+TOCANCIPA!W5+NEMOCON!W5+COGUA!W5</f>
        <v>0</v>
      </c>
      <c r="X5" s="13">
        <f>W5/H12*100000</f>
        <v>0</v>
      </c>
      <c r="Y5" s="13">
        <f t="shared" ref="Y5:Z5" si="5">((M5+O5+Q5+S5)/4)</f>
        <v>1.75</v>
      </c>
      <c r="Z5" s="13">
        <f t="shared" si="5"/>
        <v>52.41857273</v>
      </c>
      <c r="AA5" s="13">
        <f t="shared" si="3"/>
        <v>2</v>
      </c>
      <c r="AB5" s="13">
        <f t="shared" si="4"/>
        <v>42.68639727</v>
      </c>
      <c r="AC5" s="14" t="s">
        <v>33</v>
      </c>
    </row>
    <row r="6" ht="14.25" customHeight="1">
      <c r="B6" s="18"/>
      <c r="C6" s="19"/>
      <c r="D6" s="20"/>
      <c r="E6" s="19"/>
      <c r="F6" s="19"/>
      <c r="G6" s="19"/>
      <c r="H6" s="21"/>
      <c r="I6" s="22"/>
      <c r="J6" s="22"/>
      <c r="L6" s="11" t="s">
        <v>34</v>
      </c>
      <c r="M6" s="12">
        <f>CAJICA!M6+COTA!M7+CHIA!M6+ZIPAQUIRA!M6+TABIO!M6+TENJO!M6+SOPO!M6+GACHANCIPA!M6+TOCANCIPA!M6+NEMOCON!M6+COGUA!M6</f>
        <v>108</v>
      </c>
      <c r="N6" s="13">
        <f>M6/M4*1000</f>
        <v>34.74903475</v>
      </c>
      <c r="O6" s="12">
        <f>CAJICA!O6+COTA!O7+CHIA!O6+ZIPAQUIRA!O6+TABIO!O6+TENJO!O6+SOPO!O6+GACHANCIPA!O6+TOCANCIPA!O6+NEMOCON!O6+COGUA!O6</f>
        <v>145</v>
      </c>
      <c r="P6" s="13">
        <f>O6/O4*1000</f>
        <v>42.53446759</v>
      </c>
      <c r="Q6" s="12">
        <f>CAJICA!Q6+COTA!Q7+CHIA!Q6+ZIPAQUIRA!Q6+TABIO!Q6+TENJO!Q6+SOPO!Q6+GACHANCIPA!Q6+TOCANCIPA!Q6+NEMOCON!Q6+COGUA!Q6</f>
        <v>77</v>
      </c>
      <c r="R6" s="13">
        <f>Q6/Q4*1000</f>
        <v>21.66572876</v>
      </c>
      <c r="S6" s="12">
        <f>CAJICA!S6+COTA!S7+CHIA!S6+ZIPAQUIRA!S6+TABIO!S6+TENJO!S6+SOPO!S6+GACHANCIPA!S6+TOCANCIPA!S6+NEMOCON!S6+COGUA!S6</f>
        <v>67</v>
      </c>
      <c r="T6" s="13">
        <f>S6/S4*1000</f>
        <v>19.85773563</v>
      </c>
      <c r="U6" s="12">
        <f>CAJICA!U6+COTA!U7+CHIA!U6+ZIPAQUIRA!U6+TABIO!U6+TENJO!U6+SOPO!U6+GACHANCIPA!U6+TOCANCIPA!U6+NEMOCON!U6+COGUA!U6</f>
        <v>54</v>
      </c>
      <c r="V6" s="13">
        <f>U6/U4*1000</f>
        <v>16.55933763</v>
      </c>
      <c r="W6" s="12">
        <f>CAJICA!W6+COTA!W7+CHIA!W6+ZIPAQUIRA!W6+TABIO!W6+TENJO!W6+SOPO!W6+GACHANCIPA!W6+TOCANCIPA!W6+NEMOCON!W6+COGUA!W6</f>
        <v>33</v>
      </c>
      <c r="X6" s="13">
        <f>W6/W4*1000</f>
        <v>21.69625247</v>
      </c>
      <c r="Y6" s="13">
        <f t="shared" ref="Y6:Z6" si="6">((M6+O6+Q6+S6)/4)</f>
        <v>99.25</v>
      </c>
      <c r="Z6" s="13">
        <f t="shared" si="6"/>
        <v>29.70174168</v>
      </c>
      <c r="AA6" s="13">
        <f t="shared" si="3"/>
        <v>60.5</v>
      </c>
      <c r="AB6" s="13">
        <f t="shared" si="4"/>
        <v>19.12779505</v>
      </c>
      <c r="AC6" s="14" t="s">
        <v>22</v>
      </c>
    </row>
    <row r="7" ht="14.25" customHeight="1">
      <c r="B7" s="23" t="s">
        <v>35</v>
      </c>
      <c r="C7" s="24">
        <f>CAJICA!C7+COTA!C7+CHIA!C7+ZIPAQUIRA!C7+TABIO!C7+TENJO!C7+SOPO!C7+GACHANCIPA!C7+TOCANCIPA!C7+NEMOCON!C7+COGUA!C7</f>
        <v>316863</v>
      </c>
      <c r="D7" s="24">
        <f>CAJICA!D7+COTA!D7+CHIA!D7+ZIPAQUIRA!D7+TABIO!D7+TENJO!D7+SOPO!D7+GACHANCIPA!D7+TOCANCIPA!D7+NEMOCON!D7+COGUA!D7</f>
        <v>327898</v>
      </c>
      <c r="E7" s="24">
        <f>CAJICA!E7+COTA!E7+CHIA!E7+ZIPAQUIRA!E7+TABIO!E7+TENJO!E7+SOPO!E7+GACHANCIPA!E7+TOCANCIPA!E7+NEMOCON!E7+COGUA!E7</f>
        <v>338170</v>
      </c>
      <c r="F7" s="24">
        <f>CAJICA!F7+COTA!F7+CHIA!F7+ZIPAQUIRA!F7+TABIO!F7+TENJO!F7+SOPO!F7+GACHANCIPA!F7+TOCANCIPA!F7+NEMOCON!F7+COGUA!F7</f>
        <v>348523</v>
      </c>
      <c r="G7" s="24">
        <f>CAJICA!G7+COTA!G7+CHIA!G7+ZIPAQUIRA!G7+TABIO!G7+TENJO!G7+SOPO!G7+GACHANCIPA!G7+TOCANCIPA!G7+NEMOCON!G7+COGUA!G7</f>
        <v>358681</v>
      </c>
      <c r="H7" s="24">
        <f>CAJICA!H7+COTA!H7+CHIA!H7+ZIPAQUIRA!H7+TABIO!H7+TENJO!H7+SOPO!H7+GACHANCIPA!H7+TOCANCIPA!H7+NEMOCON!H7+COGUA!H7</f>
        <v>368471</v>
      </c>
      <c r="I7" s="25"/>
      <c r="J7" s="25"/>
      <c r="L7" s="26" t="s">
        <v>36</v>
      </c>
      <c r="M7" s="12">
        <f>CAJICA!M7+COTA!M8+CHIA!M7+ZIPAQUIRA!M7+TABIO!M7+TENJO!M7+SOPO!M7+GACHANCIPA!M7+TOCANCIPA!M7+NEMOCON!M7+COGUA!M7</f>
        <v>40</v>
      </c>
      <c r="N7" s="12">
        <f>CAJICA!N7+COTA!N7+CHIA!N7+ZIPAQUIRA!N7+TABIO!N7+TENJO!N7+SOPO!N7+GACHANCIPA!N7+TOCANCIPA!N7+NEMOCON!N7+COGUA!N7</f>
        <v>26.27962899</v>
      </c>
      <c r="O7" s="12">
        <f>CAJICA!O7+COTA!O8+CHIA!O7+ZIPAQUIRA!O7+TABIO!O7+TENJO!O7+SOPO!O7+GACHANCIPA!O7+TOCANCIPA!O7+NEMOCON!O7+COGUA!O7</f>
        <v>31</v>
      </c>
      <c r="P7" s="12">
        <f>CAJICA!P7+COTA!P7+CHIA!P7+ZIPAQUIRA!P7+TABIO!P7+TENJO!P7+SOPO!P7+GACHANCIPA!P7+TOCANCIPA!P7+NEMOCON!P7+COGUA!P7</f>
        <v>17.13598901</v>
      </c>
      <c r="Q7" s="12">
        <f>CAJICA!Q7+COTA!Q8+CHIA!Q7+ZIPAQUIRA!Q7+TABIO!Q7+TENJO!Q7+SOPO!Q7+GACHANCIPA!Q7+TOCANCIPA!Q7+NEMOCON!Q7+COGUA!Q7</f>
        <v>34</v>
      </c>
      <c r="R7" s="12">
        <f>CAJICA!R7+COTA!R7+CHIA!R7+ZIPAQUIRA!R7+TABIO!R7+TENJO!R7+SOPO!R7+GACHANCIPA!R7+TOCANCIPA!R7+NEMOCON!R7+COGUA!R7</f>
        <v>19.90924605</v>
      </c>
      <c r="S7" s="12">
        <f>CAJICA!S7+COTA!S8+CHIA!S7+ZIPAQUIRA!S7+TABIO!S7+TENJO!S7+SOPO!S7+GACHANCIPA!S7+TOCANCIPA!S7+NEMOCON!S7+COGUA!S7</f>
        <v>31</v>
      </c>
      <c r="T7" s="12">
        <f>CAJICA!T7+COTA!T7+CHIA!T7+ZIPAQUIRA!T7+TABIO!T7+TENJO!T7+SOPO!T7+GACHANCIPA!T7+TOCANCIPA!T7+NEMOCON!T7+COGUA!T7</f>
        <v>25.45608407</v>
      </c>
      <c r="U7" s="12">
        <f>CAJICA!U7+COTA!U8+CHIA!U7+ZIPAQUIRA!U7+TABIO!U7+TENJO!U7+SOPO!U7+GACHANCIPA!U7+TOCANCIPA!U7+NEMOCON!U7+COGUA!U7</f>
        <v>41</v>
      </c>
      <c r="V7" s="12">
        <f>CAJICA!V7+COTA!V7+CHIA!V7+ZIPAQUIRA!V7+TABIO!V7+TENJO!V7+SOPO!V7+GACHANCIPA!V7+TOCANCIPA!V7+NEMOCON!V7+COGUA!V7</f>
        <v>22.93183187</v>
      </c>
      <c r="W7" s="12">
        <f>CAJICA!W7+COTA!W8+CHIA!W7+ZIPAQUIRA!W7+TABIO!W7+TENJO!W7+SOPO!W7+GACHANCIPA!W7+TOCANCIPA!W7+NEMOCON!W7+COGUA!W7</f>
        <v>22</v>
      </c>
      <c r="X7" s="12">
        <f>CAJICA!X7+COTA!X7+CHIA!X7+ZIPAQUIRA!X7+TABIO!X7+TENJO!X7+SOPO!X7+GACHANCIPA!X7+TOCANCIPA!X7+NEMOCON!X7+COGUA!X7</f>
        <v>35.41541323</v>
      </c>
      <c r="Y7" s="13">
        <f t="shared" ref="Y7:Z7" si="7">((M7+O7+Q7+S7)/4)</f>
        <v>34</v>
      </c>
      <c r="Z7" s="13">
        <f t="shared" si="7"/>
        <v>22.19523703</v>
      </c>
      <c r="AA7" s="13">
        <f t="shared" si="3"/>
        <v>36</v>
      </c>
      <c r="AB7" s="13">
        <f t="shared" si="4"/>
        <v>29.17362255</v>
      </c>
      <c r="AC7" s="14" t="s">
        <v>37</v>
      </c>
    </row>
    <row r="8" ht="14.25" customHeight="1">
      <c r="B8" s="23" t="s">
        <v>38</v>
      </c>
      <c r="C8" s="24">
        <f>CAJICA!C8+COTA!C8+CHIA!C8+ZIPAQUIRA!C8+TABIO!C8+TENJO!C8+SOPO!C8+GACHANCIPA!C8+TOCANCIPA!C8+NEMOCON!C8+COGUA!C8</f>
        <v>217813</v>
      </c>
      <c r="D8" s="24">
        <f>CAJICA!D8+COTA!D8+CHIA!D8+ZIPAQUIRA!D8+TABIO!D8+TENJO!D8+SOPO!D8+GACHANCIPA!D8+TOCANCIPA!D8+NEMOCON!D8+COGUA!D8</f>
        <v>229908</v>
      </c>
      <c r="E8" s="24">
        <f>CAJICA!E8+COTA!E8+CHIA!E8+ZIPAQUIRA!E8+TABIO!E8+TENJO!E8+SOPO!E8+GACHANCIPA!E8+TOCANCIPA!E8+NEMOCON!E8+COGUA!E8</f>
        <v>240112</v>
      </c>
      <c r="F8" s="24">
        <f>CAJICA!F8+COTA!F8+CHIA!F8+ZIPAQUIRA!F8+TABIO!F8+TENJO!F8+SOPO!F8+GACHANCIPA!F8+TOCANCIPA!F8+NEMOCON!F8+COGUA!F8</f>
        <v>176296</v>
      </c>
      <c r="G8" s="24">
        <f>CAJICA!G8+COTA!G8+CHIA!G8+ZIPAQUIRA!G8+TABIO!G8+TENJO!G8+SOPO!G8+GACHANCIPA!G8+TOCANCIPA!G8+NEMOCON!G8+COGUA!G8</f>
        <v>182754</v>
      </c>
      <c r="H8" s="24">
        <f>CAJICA!H8+COTA!H8+CHIA!H8+ZIPAQUIRA!H8+TABIO!H8+TENJO!H8+SOPO!H8+GACHANCIPA!H8+TOCANCIPA!H8+NEMOCON!H8+COGUA!H8</f>
        <v>188880</v>
      </c>
      <c r="I8" s="27"/>
      <c r="J8" s="27"/>
      <c r="L8" s="11" t="s">
        <v>39</v>
      </c>
      <c r="M8" s="12">
        <f>CAJICA!M8+COTA!M9+CHIA!M8+ZIPAQUIRA!M8+TABIO!M8+TENJO!M8+SOPO!M8+GACHANCIPA!M8+TOCANCIPA!M8+NEMOCON!M8+COGUA!M8</f>
        <v>0</v>
      </c>
      <c r="N8" s="13">
        <f>M8/C15*1000</f>
        <v>0</v>
      </c>
      <c r="O8" s="12">
        <f>CAJICA!O8+COTA!O9+CHIA!O8+ZIPAQUIRA!O8+TABIO!O8+TENJO!O8+SOPO!O8+GACHANCIPA!O8+TOCANCIPA!O8+NEMOCON!O8+COGUA!O8</f>
        <v>0</v>
      </c>
      <c r="P8" s="13">
        <f>O8/D15*1000</f>
        <v>0</v>
      </c>
      <c r="Q8" s="12">
        <f>CAJICA!Q8+COTA!Q9+CHIA!Q8+ZIPAQUIRA!Q8+TABIO!Q8+TENJO!Q8+SOPO!Q8+GACHANCIPA!Q8+TOCANCIPA!Q8+NEMOCON!Q8+COGUA!Q8</f>
        <v>0</v>
      </c>
      <c r="R8" s="13">
        <f>Q8/E15*1000</f>
        <v>0</v>
      </c>
      <c r="S8" s="12">
        <f>CAJICA!S8+COTA!S9+CHIA!S8+ZIPAQUIRA!S8+TABIO!S8+TENJO!S8+SOPO!S8+GACHANCIPA!S8+TOCANCIPA!S8+NEMOCON!S8+COGUA!S8</f>
        <v>0</v>
      </c>
      <c r="T8" s="13">
        <f>S8/F15*1000</f>
        <v>0</v>
      </c>
      <c r="U8" s="12">
        <f>CAJICA!U8+COTA!U9+CHIA!U8+ZIPAQUIRA!U8+TABIO!U8+TENJO!U8+SOPO!U8+GACHANCIPA!U8+TOCANCIPA!U8+NEMOCON!U8+COGUA!U8</f>
        <v>0</v>
      </c>
      <c r="V8" s="13">
        <f>U8/G15*1000</f>
        <v>0</v>
      </c>
      <c r="W8" s="12">
        <f>CAJICA!W8+COTA!W9+CHIA!W8+ZIPAQUIRA!W8+TABIO!W8+TENJO!W8+SOPO!W8+GACHANCIPA!W8+TOCANCIPA!W8+NEMOCON!W8+COGUA!W8</f>
        <v>0</v>
      </c>
      <c r="X8" s="13">
        <f>W8/H15*1000</f>
        <v>0</v>
      </c>
      <c r="Y8" s="13">
        <f t="shared" ref="Y8:Z8" si="8">((M8+O8+Q8+S8)/4)</f>
        <v>0</v>
      </c>
      <c r="Z8" s="13">
        <f t="shared" si="8"/>
        <v>0</v>
      </c>
      <c r="AA8" s="13">
        <f t="shared" si="3"/>
        <v>0</v>
      </c>
      <c r="AB8" s="13">
        <f t="shared" si="4"/>
        <v>0</v>
      </c>
      <c r="AC8" s="14" t="s">
        <v>37</v>
      </c>
    </row>
    <row r="9" ht="25.5" customHeight="1">
      <c r="B9" s="23" t="s">
        <v>40</v>
      </c>
      <c r="C9" s="24">
        <f>CAJICA!C9+COTA!C9+CHIA!C9+ZIPAQUIRA!C9+TABIO!C9+TENJO!C9+SOPO!C9+GACHANCIPA!C9+TOCANCIPA!C9+NEMOCON!C9+COGUA!C9</f>
        <v>102524</v>
      </c>
      <c r="D9" s="24">
        <f>CAJICA!D9+COTA!D9+CHIA!D9+ZIPAQUIRA!D9+TABIO!D9+TENJO!D9+SOPO!D9+GACHANCIPA!D9+TOCANCIPA!D9+NEMOCON!D9+COGUA!D9</f>
        <v>100343</v>
      </c>
      <c r="E9" s="24">
        <f>CAJICA!E9+COTA!E9+CHIA!E9+ZIPAQUIRA!E9+TABIO!E9+TENJO!E9+SOPO!E9+GACHANCIPA!E9+TOCANCIPA!E9+NEMOCON!E9+COGUA!E9</f>
        <v>102521</v>
      </c>
      <c r="F9" s="24">
        <f>CAJICA!F9+COTA!F9+CHIA!F9+ZIPAQUIRA!F9+TABIO!F9+TENJO!F9+SOPO!F9+GACHANCIPA!F9+TOCANCIPA!F9+NEMOCON!F9+COGUA!F9</f>
        <v>73786</v>
      </c>
      <c r="G9" s="24">
        <f>CAJICA!G9+COTA!G9+CHIA!G9+ZIPAQUIRA!G9+TABIO!G9+TENJO!G9+SOPO!G9+GACHANCIPA!G9+TOCANCIPA!G9+NEMOCON!G9+COGUA!G9</f>
        <v>74345</v>
      </c>
      <c r="H9" s="24">
        <f>CAJICA!H9+COTA!H9+CHIA!H9+ZIPAQUIRA!H9+TABIO!H9+TENJO!H9+SOPO!H9+GACHANCIPA!H9+TOCANCIPA!H9+NEMOCON!H9+COGUA!H9</f>
        <v>74993</v>
      </c>
      <c r="I9" s="27"/>
      <c r="J9" s="27"/>
      <c r="L9" s="11" t="s">
        <v>41</v>
      </c>
      <c r="M9" s="12">
        <f>CAJICA!M9+COTA!M10+CHIA!M9+ZIPAQUIRA!M9+TABIO!M9+TENJO!M9+SOPO!M9+GACHANCIPA!M9+TOCANCIPA!M9+NEMOCON!M9+COGUA!M9</f>
        <v>65</v>
      </c>
      <c r="N9" s="13">
        <f>M9/C7*100000</f>
        <v>20.51359736</v>
      </c>
      <c r="O9" s="12">
        <f>CAJICA!O9+COTA!O10+CHIA!O9+ZIPAQUIRA!O9+TABIO!O9+TENJO!O9+SOPO!O9+GACHANCIPA!O9+TOCANCIPA!O9+NEMOCON!O9+COGUA!O9</f>
        <v>114</v>
      </c>
      <c r="P9" s="13">
        <f>O9/D7*100000</f>
        <v>34.76690922</v>
      </c>
      <c r="Q9" s="12">
        <f>CAJICA!Q9+COTA!Q10+CHIA!Q9+ZIPAQUIRA!Q9+TABIO!Q9+TENJO!Q9+SOPO!Q9+GACHANCIPA!Q9+TOCANCIPA!Q9+NEMOCON!Q9+COGUA!Q9</f>
        <v>114</v>
      </c>
      <c r="R9" s="13">
        <f>Q9/E7*100000</f>
        <v>33.71085549</v>
      </c>
      <c r="S9" s="12">
        <f>CAJICA!S9+COTA!S10+CHIA!S9+ZIPAQUIRA!S9+TABIO!S9+TENJO!S9+SOPO!S9+GACHANCIPA!S9+TOCANCIPA!S9+NEMOCON!S9+COGUA!S9</f>
        <v>96</v>
      </c>
      <c r="T9" s="13">
        <f>S9/F7*100000</f>
        <v>27.54481053</v>
      </c>
      <c r="U9" s="12">
        <f>CAJICA!U9+COTA!U10+CHIA!U9+ZIPAQUIRA!U9+TABIO!U9+TENJO!U9+SOPO!U9+GACHANCIPA!U9+TOCANCIPA!U9+NEMOCON!U9+COGUA!U9</f>
        <v>97</v>
      </c>
      <c r="V9" s="13">
        <f>U9/G7*100000</f>
        <v>27.04352893</v>
      </c>
      <c r="W9" s="12">
        <f>CAJICA!W9+COTA!W10+CHIA!W9+ZIPAQUIRA!W9+TABIO!W9+TENJO!W9+SOPO!W9+GACHANCIPA!W9+TOCANCIPA!W9+NEMOCON!W9+COGUA!W9</f>
        <v>54</v>
      </c>
      <c r="X9" s="13">
        <f>W9/H7*100000</f>
        <v>14.65515604</v>
      </c>
      <c r="Y9" s="13">
        <f t="shared" ref="Y9:Z9" si="9">((M9+O9+Q9+S9)/4)</f>
        <v>97.25</v>
      </c>
      <c r="Z9" s="13">
        <f t="shared" si="9"/>
        <v>29.13404315</v>
      </c>
      <c r="AA9" s="13">
        <f t="shared" si="3"/>
        <v>96.5</v>
      </c>
      <c r="AB9" s="13">
        <f t="shared" si="4"/>
        <v>20.84934248</v>
      </c>
      <c r="AC9" s="14" t="s">
        <v>22</v>
      </c>
    </row>
    <row r="10" ht="14.25" customHeight="1">
      <c r="B10" s="23" t="s">
        <v>42</v>
      </c>
      <c r="C10" s="24">
        <f>CAJICA!C10+COTA!C10+CHIA!C10+ZIPAQUIRA!C10+TABIO!C10+TENJO!C10+SOPO!C10+GACHANCIPA!C10+TOCANCIPA!C10+NEMOCON!C10+COGUA!C10</f>
        <v>155648</v>
      </c>
      <c r="D10" s="24">
        <f>CAJICA!D10+COTA!D10+CHIA!D10+ZIPAQUIRA!D10+TABIO!D10+TENJO!D10+SOPO!D10+GACHANCIPA!D10+TOCANCIPA!D10+NEMOCON!D10+COGUA!D10</f>
        <v>161444</v>
      </c>
      <c r="E10" s="24">
        <f>CAJICA!E10+COTA!E10+CHIA!E10+ZIPAQUIRA!E10+TABIO!E10+TENJO!E10+SOPO!E10+GACHANCIPA!E10+TOCANCIPA!E10+NEMOCON!E10+COGUA!E10</f>
        <v>166491</v>
      </c>
      <c r="F10" s="24">
        <f>CAJICA!F10+COTA!F10+CHIA!F10+ZIPAQUIRA!F10+TABIO!F10+TENJO!F10+SOPO!F10+GACHANCIPA!F10+TOCANCIPA!F10+NEMOCON!F10+COGUA!F10</f>
        <v>171371</v>
      </c>
      <c r="G10" s="24">
        <f>CAJICA!G10+COTA!G10+CHIA!G10+ZIPAQUIRA!G10+TABIO!G10+TENJO!G10+SOPO!G10+GACHANCIPA!G10+TOCANCIPA!G10+NEMOCON!G10+COGUA!G10</f>
        <v>174245</v>
      </c>
      <c r="H10" s="24">
        <f>CAJICA!H10+COTA!H10+CHIA!H10+ZIPAQUIRA!H10+TABIO!H10+TENJO!H10+SOPO!H10+GACHANCIPA!H10+TOCANCIPA!H10+NEMOCON!H10+COGUA!H10</f>
        <v>179019</v>
      </c>
      <c r="I10" s="27"/>
      <c r="J10" s="27"/>
      <c r="L10" s="11" t="s">
        <v>43</v>
      </c>
      <c r="M10" s="12">
        <f>CAJICA!M10+COTA!M11+CHIA!M10+ZIPAQUIRA!M10+TABIO!M10+TENJO!M10+SOPO!M10+GACHANCIPA!M10+TOCANCIPA!M10+NEMOCON!M10+COGUA!M10</f>
        <v>0</v>
      </c>
      <c r="N10" s="13">
        <f>M10/C15*100000</f>
        <v>0</v>
      </c>
      <c r="O10" s="12">
        <f>CAJICA!O10+COTA!O11+CHIA!O10+ZIPAQUIRA!O10+TABIO!O10+TENJO!O10+SOPO!O10+GACHANCIPA!O10+TOCANCIPA!O10+NEMOCON!O10+COGUA!O10</f>
        <v>0</v>
      </c>
      <c r="P10" s="13">
        <f t="shared" ref="P10:P11" si="11">O10/D15*100000</f>
        <v>0</v>
      </c>
      <c r="Q10" s="12">
        <f>CAJICA!Q10+COTA!Q11+CHIA!Q10+ZIPAQUIRA!Q10+TABIO!Q10+TENJO!Q10+SOPO!Q10+GACHANCIPA!Q10+TOCANCIPA!Q10+NEMOCON!Q10+COGUA!Q10</f>
        <v>1</v>
      </c>
      <c r="R10" s="13">
        <f>Q10/E15*100000</f>
        <v>3.519887364</v>
      </c>
      <c r="S10" s="12">
        <f>CAJICA!S10+COTA!S11+CHIA!S10+ZIPAQUIRA!S10+TABIO!S10+TENJO!S10+SOPO!S10+GACHANCIPA!S10+TOCANCIPA!S10+NEMOCON!S10+COGUA!S10</f>
        <v>0</v>
      </c>
      <c r="T10" s="13">
        <f>S10/F15*100000</f>
        <v>0</v>
      </c>
      <c r="U10" s="12">
        <f>CAJICA!U10+COTA!U11+CHIA!U10+ZIPAQUIRA!U10+TABIO!U10+TENJO!U10+SOPO!U10+GACHANCIPA!U10+TOCANCIPA!U10+NEMOCON!U10+COGUA!U10</f>
        <v>0</v>
      </c>
      <c r="V10" s="13">
        <f>U10/G15*100000</f>
        <v>0</v>
      </c>
      <c r="W10" s="12">
        <f>CAJICA!W10+COTA!W11+CHIA!W10+ZIPAQUIRA!W10+TABIO!W10+TENJO!W10+SOPO!W10+GACHANCIPA!W10+TOCANCIPA!W10+NEMOCON!W10+COGUA!W10</f>
        <v>2</v>
      </c>
      <c r="X10" s="13">
        <f>W10/H15*100000</f>
        <v>7.15000715</v>
      </c>
      <c r="Y10" s="13">
        <f t="shared" ref="Y10:Z10" si="10">((M10+O10+Q10+S10)/4)</f>
        <v>0.25</v>
      </c>
      <c r="Z10" s="13">
        <f t="shared" si="10"/>
        <v>0.8799718409</v>
      </c>
      <c r="AA10" s="13">
        <f t="shared" si="3"/>
        <v>0</v>
      </c>
      <c r="AB10" s="13">
        <f t="shared" si="4"/>
        <v>3.575003575</v>
      </c>
      <c r="AC10" s="14" t="s">
        <v>22</v>
      </c>
    </row>
    <row r="11" ht="14.25" customHeight="1">
      <c r="B11" s="23" t="s">
        <v>44</v>
      </c>
      <c r="C11" s="24">
        <f>CAJICA!C11+COTA!C11+CHIA!C11+ZIPAQUIRA!C11+TABIO!C11+TENJO!C11+SOPO!C11+GACHANCIPA!C11+TOCANCIPA!C11+NEMOCON!C11+COGUA!C11</f>
        <v>164689</v>
      </c>
      <c r="D11" s="24">
        <f>CAJICA!D11+COTA!D11+CHIA!D11+ZIPAQUIRA!D11+TABIO!D11+TENJO!D11+SOPO!D11+GACHANCIPA!D11+TOCANCIPA!D11+NEMOCON!D11+COGUA!D11</f>
        <v>170807</v>
      </c>
      <c r="E11" s="24">
        <f>CAJICA!E11+COTA!E11+CHIA!E11+ZIPAQUIRA!E11+TABIO!E11+TENJO!E11+SOPO!E11+GACHANCIPA!E11+TOCANCIPA!E11+NEMOCON!E11+COGUA!E11</f>
        <v>176142</v>
      </c>
      <c r="F11" s="24">
        <f>CAJICA!F11+COTA!F11+CHIA!F11+ZIPAQUIRA!F11+TABIO!F11+TENJO!F11+SOPO!F11+GACHANCIPA!F11+TOCANCIPA!F11+NEMOCON!F11+COGUA!F11</f>
        <v>181265</v>
      </c>
      <c r="G11" s="24">
        <f>CAJICA!G11+COTA!G11+CHIA!G11+ZIPAQUIRA!G11+TABIO!G11+TENJO!G11+SOPO!G11+GACHANCIPA!G11+TOCANCIPA!G11+NEMOCON!G11+COGUA!G11</f>
        <v>184436</v>
      </c>
      <c r="H11" s="24">
        <f>CAJICA!H11+COTA!H11+CHIA!H11+ZIPAQUIRA!H11+TABIO!H11+TENJO!H11+SOPO!H11+GACHANCIPA!H11+TOCANCIPA!H11+NEMOCON!H11+COGUA!H11</f>
        <v>189452</v>
      </c>
      <c r="I11" s="27"/>
      <c r="J11" s="27"/>
      <c r="L11" s="11" t="s">
        <v>45</v>
      </c>
      <c r="M11" s="12">
        <f>CAJICA!M11+COTA!M12+CHIA!M11+ZIPAQUIRA!M11+TABIO!M11+TENJO!M11+SOPO!M11+GACHANCIPA!M11+TOCANCIPA!M11+NEMOCON!M11+COGUA!M11</f>
        <v>0</v>
      </c>
      <c r="N11" s="13">
        <f>M11/C15*100000</f>
        <v>0</v>
      </c>
      <c r="O11" s="12">
        <f>CAJICA!O11+COTA!O12+CHIA!O11+ZIPAQUIRA!O11+TABIO!O11+TENJO!O11+SOPO!O11+GACHANCIPA!O11+TOCANCIPA!O11+NEMOCON!O11+COGUA!O11</f>
        <v>0</v>
      </c>
      <c r="P11" s="13">
        <f t="shared" si="11"/>
        <v>0</v>
      </c>
      <c r="Q11" s="12">
        <f>CAJICA!Q11+COTA!Q12+CHIA!Q11+ZIPAQUIRA!Q11+TABIO!Q11+TENJO!Q11+SOPO!Q11+GACHANCIPA!Q11+TOCANCIPA!Q11+NEMOCON!Q11+COGUA!Q11</f>
        <v>0</v>
      </c>
      <c r="R11" s="13">
        <f>Q11/F16*100000</f>
        <v>0</v>
      </c>
      <c r="S11" s="12">
        <f>CAJICA!S11+COTA!S12+CHIA!S11+ZIPAQUIRA!S11+TABIO!S11+TENJO!S11+SOPO!S11+GACHANCIPA!S11+TOCANCIPA!S11+NEMOCON!S11+COGUA!S11</f>
        <v>0</v>
      </c>
      <c r="T11" s="13">
        <f>S11/F15*100000</f>
        <v>0</v>
      </c>
      <c r="U11" s="12">
        <f>CAJICA!U11+COTA!U12+CHIA!U11+ZIPAQUIRA!U11+TABIO!U11+TENJO!U11+SOPO!U11+GACHANCIPA!U11+TOCANCIPA!U11+NEMOCON!U11+COGUA!U11</f>
        <v>0</v>
      </c>
      <c r="V11" s="13">
        <f>U11/G15*100000</f>
        <v>0</v>
      </c>
      <c r="W11" s="12">
        <f>CAJICA!W11+COTA!W12+CHIA!W11+ZIPAQUIRA!W11+TABIO!W11+TENJO!W11+SOPO!W11+GACHANCIPA!W11+TOCANCIPA!W11+NEMOCON!W11+COGUA!W11</f>
        <v>0</v>
      </c>
      <c r="X11" s="13">
        <f>W11/H15*100000</f>
        <v>0</v>
      </c>
      <c r="Y11" s="13">
        <f t="shared" ref="Y11:Z11" si="12">((M11+O11+Q11+S11)/4)</f>
        <v>0</v>
      </c>
      <c r="Z11" s="13">
        <f t="shared" si="12"/>
        <v>0</v>
      </c>
      <c r="AA11" s="13">
        <f t="shared" si="3"/>
        <v>0</v>
      </c>
      <c r="AB11" s="13">
        <f t="shared" si="4"/>
        <v>0</v>
      </c>
      <c r="AC11" s="14" t="s">
        <v>22</v>
      </c>
    </row>
    <row r="12" ht="14.25" customHeight="1">
      <c r="B12" s="23" t="s">
        <v>46</v>
      </c>
      <c r="C12" s="24">
        <f>CAJICA!C12+COTA!C12+CHIA!C12+ZIPAQUIRA!C12+TABIO!C12+TENJO!C12+SOPO!C12+GACHANCIPA!C12+TOCANCIPA!C12+NEMOCON!C12+COGUA!C12</f>
        <v>3143</v>
      </c>
      <c r="D12" s="24">
        <f>CAJICA!D12+COTA!D12+CHIA!D12+ZIPAQUIRA!D12+TABIO!D12+TENJO!D12+SOPO!D12+GACHANCIPA!D12+TOCANCIPA!D12+NEMOCON!D12+COGUA!D12</f>
        <v>3433</v>
      </c>
      <c r="E12" s="24">
        <f>CAJICA!E12+COTA!E12+CHIA!E12+ZIPAQUIRA!E12+TABIO!E12+TENJO!E12+SOPO!E12+GACHANCIPA!E12+TOCANCIPA!E12+NEMOCON!E12+COGUA!E12</f>
        <v>3583</v>
      </c>
      <c r="F12" s="24">
        <f>CAJICA!F12+COTA!F12+CHIA!F12+ZIPAQUIRA!F12+TABIO!F12+TENJO!F12+SOPO!F12+GACHANCIPA!F12+TOCANCIPA!F12+NEMOCON!F12+COGUA!F12</f>
        <v>3387</v>
      </c>
      <c r="G12" s="24">
        <f>CAJICA!G12+COTA!G12+CHIA!G12+ZIPAQUIRA!G12+TABIO!G12+TENJO!G12+SOPO!G12+GACHANCIPA!G12+TOCANCIPA!G12+NEMOCON!G12+COGUA!G12</f>
        <v>3514</v>
      </c>
      <c r="H12" s="24">
        <f>CAJICA!H12+COTA!H12+CHIA!H12+ZIPAQUIRA!H12+TABIO!H12+TENJO!H12+SOPO!H12+GACHANCIPA!H12+TOCANCIPA!H12+NEMOCON!H12+COGUA!H12</f>
        <v>1227</v>
      </c>
      <c r="I12" s="27"/>
      <c r="J12" s="27"/>
      <c r="L12" s="11" t="s">
        <v>47</v>
      </c>
      <c r="M12" s="12">
        <f>CAJICA!M12+COTA!M13+CHIA!M12+ZIPAQUIRA!M12+TABIO!M12+TENJO!M12+SOPO!M12+GACHANCIPA!M12+TOCANCIPA!M12+NEMOCON!M12+COGUA!M12</f>
        <v>792</v>
      </c>
      <c r="N12" s="13">
        <f>M12/C7*100000</f>
        <v>249.950294</v>
      </c>
      <c r="O12" s="12">
        <f>CAJICA!O12+COTA!O13+CHIA!O12+ZIPAQUIRA!O12+TABIO!O12+TENJO!O12+SOPO!O12+GACHANCIPA!O12+TOCANCIPA!O12+NEMOCON!O12+COGUA!O12</f>
        <v>1057</v>
      </c>
      <c r="P12" s="13">
        <f>O12/D7*100000</f>
        <v>322.3563425</v>
      </c>
      <c r="Q12" s="12">
        <f>CAJICA!Q12+COTA!Q13+CHIA!Q12+ZIPAQUIRA!Q12+TABIO!Q12+TENJO!Q12+SOPO!Q12+GACHANCIPA!Q12+TOCANCIPA!Q12+NEMOCON!Q12+COGUA!Q12</f>
        <v>1688</v>
      </c>
      <c r="R12" s="13">
        <f>Q12/E7*100000</f>
        <v>499.1572286</v>
      </c>
      <c r="S12" s="12">
        <f>CAJICA!S12+COTA!S13+CHIA!S12+ZIPAQUIRA!S12+TABIO!S12+TENJO!S12+SOPO!S12+GACHANCIPA!S12+TOCANCIPA!S12+NEMOCON!S12+COGUA!S12</f>
        <v>1903</v>
      </c>
      <c r="T12" s="13">
        <f>S12/F7*100000</f>
        <v>546.0184837</v>
      </c>
      <c r="U12" s="12">
        <f>CAJICA!U12+COTA!U13+CHIA!U12+ZIPAQUIRA!U12+TABIO!U12+TENJO!U12+SOPO!U12+GACHANCIPA!U12+TOCANCIPA!U12+NEMOCON!U12+COGUA!U12</f>
        <v>2097</v>
      </c>
      <c r="V12" s="13">
        <f>U12/G7*100000</f>
        <v>584.6420636</v>
      </c>
      <c r="W12" s="12">
        <f>CAJICA!W12+COTA!W13+CHIA!W12+ZIPAQUIRA!W12+TABIO!W12+TENJO!W12+SOPO!W12+GACHANCIPA!W12+TOCANCIPA!W12+NEMOCON!W12+COGUA!W12</f>
        <v>1019</v>
      </c>
      <c r="X12" s="13">
        <f>W12/H7*100000</f>
        <v>276.5482222</v>
      </c>
      <c r="Y12" s="13">
        <f t="shared" ref="Y12:Z12" si="13">((M12+O12+Q12+S12)/4)</f>
        <v>1360</v>
      </c>
      <c r="Z12" s="13">
        <f t="shared" si="13"/>
        <v>404.3705872</v>
      </c>
      <c r="AA12" s="13">
        <f t="shared" si="3"/>
        <v>2000</v>
      </c>
      <c r="AB12" s="13">
        <f t="shared" si="4"/>
        <v>430.5951429</v>
      </c>
      <c r="AC12" s="14" t="s">
        <v>48</v>
      </c>
    </row>
    <row r="13" ht="14.25" customHeight="1">
      <c r="B13" s="23" t="s">
        <v>49</v>
      </c>
      <c r="C13" s="24">
        <f>CAJICA!C13+COTA!C13+CHIA!C13+ZIPAQUIRA!C13+TABIO!C13+TENJO!C13+SOPO!C13+GACHANCIPA!C13+TOCANCIPA!C13+NEMOCON!C13+COGUA!C13</f>
        <v>1440</v>
      </c>
      <c r="D13" s="24">
        <f>CAJICA!D13+COTA!D13+CHIA!D13+ZIPAQUIRA!D13+TABIO!D13+TENJO!D13+SOPO!D13+GACHANCIPA!D13+TOCANCIPA!D13+NEMOCON!D13+COGUA!D13</f>
        <v>2041</v>
      </c>
      <c r="E13" s="24">
        <f>CAJICA!E13+COTA!E13+CHIA!E13+ZIPAQUIRA!E13+TABIO!E13+TENJO!E13+SOPO!E13+GACHANCIPA!E13+TOCANCIPA!E13+NEMOCON!E13+COGUA!E13</f>
        <v>1513</v>
      </c>
      <c r="F13" s="24">
        <f>CAJICA!F13+COTA!F13+CHIA!F13+ZIPAQUIRA!F13+TABIO!F13+TENJO!F13+SOPO!F13+GACHANCIPA!F13+TOCANCIPA!F13+NEMOCON!F13+COGUA!F13</f>
        <v>1372</v>
      </c>
      <c r="G13" s="24">
        <f>CAJICA!G13+COTA!G13+CHIA!G13+ZIPAQUIRA!G13+TABIO!G13+TENJO!G13+SOPO!G13+GACHANCIPA!G13+TOCANCIPA!G13+NEMOCON!G13+COGUA!G13</f>
        <v>1509</v>
      </c>
      <c r="H13" s="24">
        <f>CAJICA!H13+COTA!H13+CHIA!H13+ZIPAQUIRA!H13+TABIO!H13+TENJO!H13+SOPO!H13+GACHANCIPA!H13+TOCANCIPA!H13+NEMOCON!H13+COGUA!H13</f>
        <v>630</v>
      </c>
      <c r="I13" s="27"/>
      <c r="J13" s="27"/>
      <c r="L13" s="11" t="s">
        <v>50</v>
      </c>
      <c r="M13" s="12">
        <f>CAJICA!M13+COTA!M14+CHIA!M13+ZIPAQUIRA!M13+TABIO!M13+TENJO!M13+SOPO!M13+GACHANCIPA!M13+TOCANCIPA!M13+NEMOCON!M13+COGUA!M13</f>
        <v>649</v>
      </c>
      <c r="N13" s="13">
        <f>M13/C11*100000</f>
        <v>394.0761071</v>
      </c>
      <c r="O13" s="12">
        <f>CAJICA!O13+COTA!O14+CHIA!O13+ZIPAQUIRA!O13+TABIO!O13+TENJO!O13+SOPO!O13+GACHANCIPA!O13+TOCANCIPA!O13+NEMOCON!O13+COGUA!O13</f>
        <v>892</v>
      </c>
      <c r="P13" s="13">
        <f>O13/D11*100000</f>
        <v>522.2268408</v>
      </c>
      <c r="Q13" s="12">
        <f>CAJICA!Q13+COTA!Q14+CHIA!Q13+ZIPAQUIRA!Q13+TABIO!Q13+TENJO!Q13+SOPO!Q13+GACHANCIPA!Q13+TOCANCIPA!Q13+NEMOCON!Q13+COGUA!Q13</f>
        <v>1411</v>
      </c>
      <c r="R13" s="13">
        <f>Q13/E11*100000</f>
        <v>801.0582371</v>
      </c>
      <c r="S13" s="12">
        <f>CAJICA!S13+COTA!S14+CHIA!S13+ZIPAQUIRA!S13+TABIO!S13+TENJO!S13+SOPO!S13+GACHANCIPA!S13+TOCANCIPA!S13+NEMOCON!S13+COGUA!S13</f>
        <v>1517</v>
      </c>
      <c r="T13" s="13">
        <f>S13/F11*100000</f>
        <v>836.8962569</v>
      </c>
      <c r="U13" s="12">
        <f>CAJICA!U13+COTA!U14+CHIA!U13+ZIPAQUIRA!U13+TABIO!U13+TENJO!U13+SOPO!U13+GACHANCIPA!U13+TOCANCIPA!U13+NEMOCON!U13+COGUA!U13</f>
        <v>1712</v>
      </c>
      <c r="V13" s="13">
        <f>U13/G11*100000</f>
        <v>928.2352686</v>
      </c>
      <c r="W13" s="12">
        <f>CAJICA!W13+COTA!W14+CHIA!W13+ZIPAQUIRA!W13+TABIO!W13+TENJO!W13+SOPO!W13+GACHANCIPA!W13+TOCANCIPA!W13+NEMOCON!W13+COGUA!W13</f>
        <v>945</v>
      </c>
      <c r="X13" s="13">
        <f>W13/H11*100000</f>
        <v>498.8070857</v>
      </c>
      <c r="Y13" s="13">
        <f t="shared" ref="Y13:Z13" si="14">((M13+O13+Q13+S13)/4)</f>
        <v>1117.25</v>
      </c>
      <c r="Z13" s="13">
        <f t="shared" si="14"/>
        <v>638.5643605</v>
      </c>
      <c r="AA13" s="13">
        <f t="shared" si="3"/>
        <v>1614.5</v>
      </c>
      <c r="AB13" s="13">
        <f t="shared" si="4"/>
        <v>713.5211772</v>
      </c>
      <c r="AC13" s="14" t="s">
        <v>48</v>
      </c>
    </row>
    <row r="14" ht="14.25" customHeight="1">
      <c r="B14" s="23" t="s">
        <v>51</v>
      </c>
      <c r="C14" s="24">
        <f>CAJICA!C14+COTA!C14+CHIA!C14+ZIPAQUIRA!C14+TABIO!C14+TENJO!C14+SOPO!C14+GACHANCIPA!C14+TOCANCIPA!C14+NEMOCON!C14+COGUA!C14</f>
        <v>5893</v>
      </c>
      <c r="D14" s="24">
        <f>CAJICA!D14+COTA!D14+CHIA!D14+ZIPAQUIRA!D14+TABIO!D14+TENJO!D14+SOPO!D14+GACHANCIPA!D14+TOCANCIPA!D14+NEMOCON!D14+COGUA!D14</f>
        <v>6078</v>
      </c>
      <c r="E14" s="24">
        <f>CAJICA!E14+COTA!E14+CHIA!E14+ZIPAQUIRA!E14+TABIO!E14+TENJO!E14+SOPO!E14+GACHANCIPA!E14+TOCANCIPA!E14+NEMOCON!E14+COGUA!E14</f>
        <v>6678</v>
      </c>
      <c r="F14" s="24">
        <f>CAJICA!F14+COTA!F14+CHIA!F14+ZIPAQUIRA!F14+TABIO!F14+TENJO!F14+SOPO!F14+GACHANCIPA!F14+TOCANCIPA!F14+NEMOCON!F14+COGUA!F14</f>
        <v>5185</v>
      </c>
      <c r="G14" s="24">
        <f>CAJICA!G14+COTA!G14+CHIA!G14+ZIPAQUIRA!G14+TABIO!G14+TENJO!G14+SOPO!G14+GACHANCIPA!G14+TOCANCIPA!G14+NEMOCON!G14+COGUA!G14</f>
        <v>6534</v>
      </c>
      <c r="H14" s="24">
        <f>CAJICA!H14+COTA!H14+CHIA!H14+ZIPAQUIRA!H14+TABIO!H14+TENJO!H14+SOPO!H14+GACHANCIPA!H14+TOCANCIPA!H14+NEMOCON!H14+COGUA!H14</f>
        <v>6595</v>
      </c>
      <c r="I14" s="27"/>
      <c r="J14" s="27"/>
      <c r="L14" s="11" t="s">
        <v>52</v>
      </c>
      <c r="M14" s="12">
        <f>CAJICA!M14+COTA!M15+CHIA!M14+ZIPAQUIRA!M14+TABIO!M14+TENJO!M14+SOPO!M14+GACHANCIPA!M14+TOCANCIPA!M14+NEMOCON!M14+COGUA!M14</f>
        <v>10</v>
      </c>
      <c r="N14" s="13">
        <f>M14/M4*1000</f>
        <v>3.217503218</v>
      </c>
      <c r="O14" s="12">
        <f>CAJICA!O14+COTA!O15+CHIA!O14+ZIPAQUIRA!O14+TABIO!O14+TENJO!O14+SOPO!O14+GACHANCIPA!O14+TOCANCIPA!O14+NEMOCON!O14+COGUA!O14</f>
        <v>9</v>
      </c>
      <c r="P14" s="13">
        <f>O14/O4*1000</f>
        <v>2.640070402</v>
      </c>
      <c r="Q14" s="12">
        <f>CAJICA!Q14+COTA!Q15+CHIA!Q14+ZIPAQUIRA!Q14+TABIO!Q14+TENJO!Q14+SOPO!Q14+GACHANCIPA!Q14+TOCANCIPA!Q14+NEMOCON!Q14+COGUA!Q14</f>
        <v>20</v>
      </c>
      <c r="R14" s="13">
        <f>Q14/Q4*1000</f>
        <v>5.627462015</v>
      </c>
      <c r="S14" s="12">
        <f>CAJICA!S14+COTA!S15+CHIA!S14+ZIPAQUIRA!S14+TABIO!S14+TENJO!S14+SOPO!S14+GACHANCIPA!S14+TOCANCIPA!S14+NEMOCON!S14+COGUA!S14</f>
        <v>14</v>
      </c>
      <c r="T14" s="13">
        <f>S14/S4*1000</f>
        <v>4.149377593</v>
      </c>
      <c r="U14" s="12">
        <f>CAJICA!U14+COTA!U15+CHIA!U14+ZIPAQUIRA!U14+TABIO!U14+TENJO!U14+SOPO!U14+GACHANCIPA!U14+TOCANCIPA!U14+NEMOCON!U14+COGUA!U14</f>
        <v>10</v>
      </c>
      <c r="V14" s="13">
        <f>U14/U4*1000</f>
        <v>3.066544005</v>
      </c>
      <c r="W14" s="12">
        <f>CAJICA!W14+COTA!W15+CHIA!W14+ZIPAQUIRA!W14+TABIO!W14+TENJO!W14+SOPO!W14+GACHANCIPA!W14+TOCANCIPA!W14+NEMOCON!W14+COGUA!W14</f>
        <v>8</v>
      </c>
      <c r="X14" s="13">
        <f>W14/W4*1000</f>
        <v>5.259697567</v>
      </c>
      <c r="Y14" s="13">
        <f t="shared" ref="Y14:Z14" si="15">((M14+O14+Q14+S14)/4)</f>
        <v>13.25</v>
      </c>
      <c r="Z14" s="13">
        <f t="shared" si="15"/>
        <v>3.908603307</v>
      </c>
      <c r="AA14" s="13">
        <f t="shared" si="3"/>
        <v>12</v>
      </c>
      <c r="AB14" s="13">
        <f t="shared" si="4"/>
        <v>4.163120786</v>
      </c>
      <c r="AC14" s="14" t="s">
        <v>22</v>
      </c>
    </row>
    <row r="15" ht="14.25" customHeight="1">
      <c r="B15" s="23" t="s">
        <v>53</v>
      </c>
      <c r="C15" s="24">
        <f>CAJICA!C15+COTA!C15+CHIA!C15+ZIPAQUIRA!C15+TABIO!C15+TENJO!C15+SOPO!C15+GACHANCIPA!C15+TOCANCIPA!C15+NEMOCON!C15+COGUA!C15</f>
        <v>27301</v>
      </c>
      <c r="D15" s="24">
        <f>CAJICA!D15+COTA!D15+CHIA!D15+ZIPAQUIRA!D15+TABIO!D15+TENJO!D15+SOPO!D15+GACHANCIPA!D15+TOCANCIPA!D15+NEMOCON!D15+COGUA!D15</f>
        <v>27873</v>
      </c>
      <c r="E15" s="24">
        <f>CAJICA!E15+COTA!E15+CHIA!E15+ZIPAQUIRA!E15+TABIO!E15+TENJO!E15+SOPO!E15+GACHANCIPA!E15+TOCANCIPA!E15+NEMOCON!E15+COGUA!E15</f>
        <v>28410</v>
      </c>
      <c r="F15" s="24">
        <f>CAJICA!F15+COTA!F15+CHIA!F15+ZIPAQUIRA!F15+TABIO!F15+TENJO!F15+SOPO!F15+GACHANCIPA!F15+TOCANCIPA!F15+NEMOCON!F15+COGUA!F15</f>
        <v>27983</v>
      </c>
      <c r="G15" s="24">
        <f>CAJICA!G15+COTA!G15+CHIA!G15+ZIPAQUIRA!G15+TABIO!G15+TENJO!G15+SOPO!G15+GACHANCIPA!G15+TOCANCIPA!G15+NEMOCON!G15+COGUA!G15</f>
        <v>27861</v>
      </c>
      <c r="H15" s="24">
        <f>CAJICA!H15+COTA!H15+CHIA!H15+ZIPAQUIRA!H15+TABIO!H15+TENJO!H15+SOPO!H15+GACHANCIPA!H15+TOCANCIPA!H15+NEMOCON!H15+COGUA!H15</f>
        <v>27972</v>
      </c>
      <c r="I15" s="27"/>
      <c r="J15" s="27"/>
      <c r="L15" s="11" t="s">
        <v>54</v>
      </c>
      <c r="M15" s="12">
        <f>CAJICA!M15+COTA!M16+CHIA!M15+ZIPAQUIRA!M15+TABIO!M15+TENJO!M15+SOPO!M15+GACHANCIPA!M15+TOCANCIPA!M15+NEMOCON!M15+COGUA!M15</f>
        <v>12</v>
      </c>
      <c r="N15" s="13">
        <f>M15/C15*100000</f>
        <v>43.9544339</v>
      </c>
      <c r="O15" s="12">
        <f>CAJICA!O15+COTA!O16+CHIA!O15+ZIPAQUIRA!O15+TABIO!O15+TENJO!O15+SOPO!O15+GACHANCIPA!O15+TOCANCIPA!O15+NEMOCON!O15+COGUA!O15</f>
        <v>16</v>
      </c>
      <c r="P15" s="13">
        <f>O15/D15*100000</f>
        <v>57.40322176</v>
      </c>
      <c r="Q15" s="12">
        <f>CAJICA!Q15+COTA!Q16+CHIA!Q15+ZIPAQUIRA!Q15+TABIO!Q15+TENJO!Q15+SOPO!Q15+GACHANCIPA!Q15+TOCANCIPA!Q15+NEMOCON!Q15+COGUA!Q15</f>
        <v>11</v>
      </c>
      <c r="R15" s="13">
        <f>Q15/E15*100000</f>
        <v>38.718761</v>
      </c>
      <c r="S15" s="12">
        <f>CAJICA!S15+COTA!S16+CHIA!S15+ZIPAQUIRA!S15+TABIO!S15+TENJO!S15+SOPO!S15+GACHANCIPA!S15+TOCANCIPA!S15+NEMOCON!S15+COGUA!S15</f>
        <v>12</v>
      </c>
      <c r="T15" s="13">
        <f>S15/F15*100000</f>
        <v>42.88317907</v>
      </c>
      <c r="U15" s="12">
        <f>CAJICA!U15+COTA!U16+CHIA!U15+ZIPAQUIRA!U15+TABIO!U15+TENJO!U15+SOPO!U15+GACHANCIPA!U15+TOCANCIPA!U15+NEMOCON!U15+COGUA!U15</f>
        <v>10</v>
      </c>
      <c r="V15" s="13">
        <f>U15/G15*100000</f>
        <v>35.89246617</v>
      </c>
      <c r="W15" s="12">
        <f>CAJICA!W15+COTA!W16+CHIA!W15+ZIPAQUIRA!W15+TABIO!W15+TENJO!W15+SOPO!W15+GACHANCIPA!W15+TOCANCIPA!W15+NEMOCON!W15+COGUA!W15</f>
        <v>6</v>
      </c>
      <c r="X15" s="13">
        <f>W15/H15*100000</f>
        <v>21.45002145</v>
      </c>
      <c r="Y15" s="13">
        <f t="shared" ref="Y15:Z15" si="16">((M15+O15+Q15+S15)/4)</f>
        <v>12.75</v>
      </c>
      <c r="Z15" s="13">
        <f t="shared" si="16"/>
        <v>45.73989893</v>
      </c>
      <c r="AA15" s="13">
        <f t="shared" si="3"/>
        <v>11</v>
      </c>
      <c r="AB15" s="13">
        <f t="shared" si="4"/>
        <v>28.67124381</v>
      </c>
      <c r="AC15" s="14" t="s">
        <v>22</v>
      </c>
    </row>
    <row r="16" ht="14.25" customHeight="1">
      <c r="B16" s="23" t="s">
        <v>55</v>
      </c>
      <c r="C16" s="24">
        <f>CAJICA!C16+COTA!C16+CHIA!C16+ZIPAQUIRA!C16+TABIO!C16+TENJO!C16+SOPO!C16+GACHANCIPA!C16+TOCANCIPA!C16+NEMOCON!C16+COGUA!C16</f>
        <v>247566</v>
      </c>
      <c r="D16" s="24">
        <f>CAJICA!D16+COTA!D16+CHIA!D16+ZIPAQUIRA!D16+TABIO!D16+TENJO!D16+SOPO!D16+GACHANCIPA!D16+TOCANCIPA!D16+NEMOCON!D16+COGUA!D16</f>
        <v>263697</v>
      </c>
      <c r="E16" s="24">
        <f>CAJICA!E16+COTA!E16+CHIA!E16+ZIPAQUIRA!E16+TABIO!E16+TENJO!E16+SOPO!E16+GACHANCIPA!E16+TOCANCIPA!E16+NEMOCON!E16+COGUA!E16</f>
        <v>262408</v>
      </c>
      <c r="F16" s="24">
        <f>CAJICA!F16+COTA!F16+CHIA!F16+ZIPAQUIRA!F16+TABIO!F16+TENJO!F16+SOPO!F16+GACHANCIPA!F16+TOCANCIPA!F16+NEMOCON!F16+COGUA!F16</f>
        <v>268699</v>
      </c>
      <c r="G16" s="24">
        <f>CAJICA!G16+COTA!G16+CHIA!G16+ZIPAQUIRA!G16+TABIO!G16+TENJO!G16+SOPO!G16+GACHANCIPA!G16+TOCANCIPA!G16+NEMOCON!G16+COGUA!G16</f>
        <v>276110</v>
      </c>
      <c r="H16" s="24">
        <f>CAJICA!H16+COTA!H16+CHIA!H16+ZIPAQUIRA!H16+TABIO!H16+TENJO!H16+SOPO!H16+GACHANCIPA!H16+TOCANCIPA!H16+NEMOCON!H16+COGUA!H16</f>
        <v>284443</v>
      </c>
      <c r="I16" s="27"/>
      <c r="J16" s="27"/>
      <c r="L16" s="11" t="s">
        <v>56</v>
      </c>
      <c r="M16" s="12">
        <f>CAJICA!M16+COTA!M17+CHIA!M16+ZIPAQUIRA!M16+TABIO!M16+TENJO!M16+SOPO!M16+GACHANCIPA!M16+TOCANCIPA!M16+NEMOCON!M16+COGUA!M16</f>
        <v>292</v>
      </c>
      <c r="N16" s="13">
        <f>M16/M4*100</f>
        <v>9.395109395</v>
      </c>
      <c r="O16" s="12">
        <f>CAJICA!O16+COTA!O17+CHIA!O16+ZIPAQUIRA!O16+TABIO!O16+TENJO!O16+SOPO!O16+GACHANCIPA!O16+TOCANCIPA!O16+NEMOCON!O16+COGUA!O16</f>
        <v>350</v>
      </c>
      <c r="P16" s="13">
        <f>O16/O4*100</f>
        <v>10.26694045</v>
      </c>
      <c r="Q16" s="12">
        <f>CAJICA!Q16+COTA!Q17+CHIA!Q16+ZIPAQUIRA!Q16+TABIO!Q16+TENJO!Q16+SOPO!Q16+GACHANCIPA!Q16+TOCANCIPA!Q16+NEMOCON!Q16+COGUA!Q16</f>
        <v>368</v>
      </c>
      <c r="R16" s="13">
        <f>Q16/Q4*100</f>
        <v>10.35453011</v>
      </c>
      <c r="S16" s="12">
        <f>CAJICA!S16+COTA!S17+CHIA!S16+ZIPAQUIRA!S16+TABIO!S16+TENJO!S16+SOPO!S16+GACHANCIPA!S16+TOCANCIPA!S16+NEMOCON!S16+COGUA!S16</f>
        <v>316</v>
      </c>
      <c r="T16" s="13">
        <f>S16/S4*100</f>
        <v>9.365737996</v>
      </c>
      <c r="U16" s="12">
        <f>CAJICA!U16+COTA!U17+CHIA!U16+ZIPAQUIRA!U16+TABIO!U16+TENJO!U16+SOPO!U16+GACHANCIPA!U16+TOCANCIPA!U16+NEMOCON!U16+COGUA!U16</f>
        <v>348</v>
      </c>
      <c r="V16" s="13">
        <f>U16/U4*100</f>
        <v>10.67157314</v>
      </c>
      <c r="W16" s="12">
        <f>CAJICA!W16+COTA!W17+CHIA!W16+ZIPAQUIRA!W16+TABIO!W16+TENJO!W16+SOPO!W16+GACHANCIPA!W16+TOCANCIPA!W16+NEMOCON!W16+COGUA!W16</f>
        <v>146</v>
      </c>
      <c r="X16" s="13">
        <f>W16/W4*100</f>
        <v>9.59894806</v>
      </c>
      <c r="Y16" s="13">
        <f t="shared" ref="Y16:Z16" si="17">((M16+O16+Q16+S16)/4)</f>
        <v>331.5</v>
      </c>
      <c r="Z16" s="13">
        <f t="shared" si="17"/>
        <v>9.845579488</v>
      </c>
      <c r="AA16" s="13">
        <f t="shared" si="3"/>
        <v>332</v>
      </c>
      <c r="AB16" s="13">
        <f t="shared" si="4"/>
        <v>10.1352606</v>
      </c>
      <c r="AC16" s="14" t="s">
        <v>24</v>
      </c>
    </row>
    <row r="17" ht="14.25" customHeight="1">
      <c r="B17" s="23" t="s">
        <v>57</v>
      </c>
      <c r="C17" s="24">
        <f>CAJICA!C17+COTA!C17+CHIA!C17+ZIPAQUIRA!C17+TABIO!C17+TENJO!C17+SOPO!C17+GACHANCIPA!C17+TOCANCIPA!C17+NEMOCON!C17+COGUA!C17</f>
        <v>97234</v>
      </c>
      <c r="D17" s="24">
        <f>CAJICA!D17+COTA!D17+CHIA!D17+ZIPAQUIRA!D17+TABIO!D17+TENJO!D17+SOPO!D17+GACHANCIPA!D17+TOCANCIPA!D17+NEMOCON!D17+COGUA!D17</f>
        <v>99502</v>
      </c>
      <c r="E17" s="24">
        <f>CAJICA!E17+COTA!E17+CHIA!E17+ZIPAQUIRA!E17+TABIO!E17+TENJO!E17+SOPO!E17+GACHANCIPA!E17+TOCANCIPA!E17+NEMOCON!E17+COGUA!E17</f>
        <v>102304</v>
      </c>
      <c r="F17" s="24">
        <f>CAJICA!F17+COTA!F17+CHIA!F17+ZIPAQUIRA!F17+TABIO!F17+TENJO!F17+SOPO!F17+GACHANCIPA!F17+TOCANCIPA!F17+NEMOCON!F17+COGUA!F17</f>
        <v>104082</v>
      </c>
      <c r="G17" s="24">
        <f>CAJICA!G17+COTA!G17+CHIA!G17+ZIPAQUIRA!G17+TABIO!G17+TENJO!G17+SOPO!G17+GACHANCIPA!G17+TOCANCIPA!G17+NEMOCON!G17+COGUA!G17</f>
        <v>102571</v>
      </c>
      <c r="H17" s="24">
        <f>CAJICA!H17+COTA!H17+CHIA!H17+ZIPAQUIRA!H17+TABIO!H17+TENJO!H17+SOPO!H17+GACHANCIPA!H17+TOCANCIPA!H17+NEMOCON!H17+COGUA!H17</f>
        <v>104134</v>
      </c>
      <c r="I17" s="27"/>
      <c r="J17" s="27"/>
      <c r="L17" s="11" t="s">
        <v>58</v>
      </c>
      <c r="M17" s="12">
        <f>CAJICA!M17+COTA!M18+CHIA!M17+ZIPAQUIRA!M17+TABIO!M17+TENJO!M17+SOPO!M17+GACHANCIPA!M17+TOCANCIPA!M17+NEMOCON!M17+COGUA!M17</f>
        <v>128</v>
      </c>
      <c r="N17" s="13">
        <f>M17/M4*100</f>
        <v>4.118404118</v>
      </c>
      <c r="O17" s="12">
        <f>CAJICA!O17+COTA!O18+CHIA!O17+ZIPAQUIRA!O17+TABIO!O17+TENJO!O17+SOPO!O17+GACHANCIPA!O17+TOCANCIPA!O17+NEMOCON!O17+COGUA!O17</f>
        <v>164</v>
      </c>
      <c r="P17" s="13">
        <f>O17/O4*100</f>
        <v>4.810794955</v>
      </c>
      <c r="Q17" s="12">
        <f>CAJICA!Q17+COTA!Q18+CHIA!Q17+ZIPAQUIRA!Q17+TABIO!Q17+TENJO!Q17+SOPO!Q17+GACHANCIPA!Q17+TOCANCIPA!Q17+NEMOCON!Q17+COGUA!Q17</f>
        <v>166</v>
      </c>
      <c r="R17" s="13">
        <f>Q17/Q4*100</f>
        <v>4.670793472</v>
      </c>
      <c r="S17" s="12">
        <f>CAJICA!S17+COTA!S18+CHIA!S17+ZIPAQUIRA!S17+TABIO!S17+TENJO!S17+SOPO!S17+GACHANCIPA!S17+TOCANCIPA!S17+NEMOCON!S17+COGUA!S17</f>
        <v>149</v>
      </c>
      <c r="T17" s="13">
        <f>S17/S4*100</f>
        <v>4.416123296</v>
      </c>
      <c r="U17" s="12">
        <f>CAJICA!U17+COTA!U18+CHIA!U17+ZIPAQUIRA!U17+TABIO!U17+TENJO!U17+SOPO!U17+GACHANCIPA!U17+TOCANCIPA!U17+NEMOCON!U17+COGUA!U17</f>
        <v>174</v>
      </c>
      <c r="V17" s="13">
        <f>U17/U4*100</f>
        <v>5.335786569</v>
      </c>
      <c r="W17" s="12">
        <f>CAJICA!W17+COTA!W18+CHIA!W17+ZIPAQUIRA!W17+TABIO!W17+TENJO!W17+SOPO!W17+GACHANCIPA!W17+TOCANCIPA!W17+NEMOCON!W17+COGUA!W17</f>
        <v>70</v>
      </c>
      <c r="X17" s="13">
        <f>W17/W4*100</f>
        <v>4.602235371</v>
      </c>
      <c r="Y17" s="13">
        <f t="shared" ref="Y17:Z17" si="18">((M17+O17+Q17+S17)/4)</f>
        <v>151.75</v>
      </c>
      <c r="Z17" s="13">
        <f t="shared" si="18"/>
        <v>4.50402896</v>
      </c>
      <c r="AA17" s="13">
        <f t="shared" si="3"/>
        <v>161.5</v>
      </c>
      <c r="AB17" s="13">
        <f t="shared" si="4"/>
        <v>4.96901097</v>
      </c>
      <c r="AC17" s="14" t="s">
        <v>24</v>
      </c>
    </row>
    <row r="18" ht="14.25" customHeight="1">
      <c r="B18" s="23" t="s">
        <v>59</v>
      </c>
      <c r="C18" s="24">
        <f>CAJICA!C18+COTA!C18+CHIA!C18+ZIPAQUIRA!C18+TABIO!C18+TENJO!C18+SOPO!C18+GACHANCIPA!C18+TOCANCIPA!C18+NEMOCON!C18+COGUA!C18</f>
        <v>293509</v>
      </c>
      <c r="D18" s="24">
        <f>CAJICA!D18+COTA!D18+CHIA!D18+ZIPAQUIRA!D18+TABIO!D18+TENJO!D18+SOPO!D18+GACHANCIPA!D18+TOCANCIPA!D18+NEMOCON!D18+COGUA!D18</f>
        <v>312460</v>
      </c>
      <c r="E18" s="24">
        <f>CAJICA!E18+COTA!E18+CHIA!E18+ZIPAQUIRA!E18+TABIO!E18+TENJO!E18+SOPO!E18+GACHANCIPA!E18+TOCANCIPA!E18+NEMOCON!E18+COGUA!E18</f>
        <v>311249</v>
      </c>
      <c r="F18" s="24">
        <f>CAJICA!F18+COTA!F18+CHIA!F18+ZIPAQUIRA!F18+TABIO!F18+TENJO!F18+SOPO!F18+GACHANCIPA!F18+TOCANCIPA!F18+NEMOCON!F18+COGUA!F18</f>
        <v>319810</v>
      </c>
      <c r="G18" s="24">
        <f>CAJICA!G18+COTA!G18+CHIA!G18+ZIPAQUIRA!G18+TABIO!G18+TENJO!G18+SOPO!G18+GACHANCIPA!G18+TOCANCIPA!G18+NEMOCON!G18+COGUA!G18</f>
        <v>326058</v>
      </c>
      <c r="H18" s="24">
        <f>CAJICA!H18+COTA!H18+CHIA!H18+ZIPAQUIRA!H18+TABIO!H18+TENJO!H18+SOPO!H18+GACHANCIPA!H18+TOCANCIPA!H18+NEMOCON!H18+COGUA!H18</f>
        <v>332530</v>
      </c>
      <c r="I18" s="27"/>
      <c r="J18" s="27"/>
      <c r="L18" s="11" t="s">
        <v>60</v>
      </c>
      <c r="M18" s="12">
        <f>CAJICA!M18+COTA!M19+CHIA!M18+ZIPAQUIRA!M18+TABIO!M18+TENJO!M18+SOPO!M18+GACHANCIPA!M18+TOCANCIPA!M18+NEMOCON!M18+COGUA!M18</f>
        <v>31</v>
      </c>
      <c r="N18" s="28">
        <f>M18/C15*1000</f>
        <v>1.135489543</v>
      </c>
      <c r="O18" s="12">
        <f>CAJICA!O18+COTA!O19+CHIA!O18+ZIPAQUIRA!O18+TABIO!O18+TENJO!O18+SOPO!O18+GACHANCIPA!O18+TOCANCIPA!O18+NEMOCON!O18+COGUA!O18</f>
        <v>42</v>
      </c>
      <c r="P18" s="28">
        <f>O18/D15*1000</f>
        <v>1.506834571</v>
      </c>
      <c r="Q18" s="12">
        <f>CAJICA!Q18+COTA!Q19+CHIA!Q18+ZIPAQUIRA!Q18+TABIO!Q18+TENJO!Q18+SOPO!Q18+GACHANCIPA!Q18+TOCANCIPA!Q18+NEMOCON!Q18+COGUA!Q18</f>
        <v>105</v>
      </c>
      <c r="R18" s="28">
        <f>Q18/E15*1000</f>
        <v>3.695881732</v>
      </c>
      <c r="S18" s="12">
        <f>CAJICA!S18+COTA!S19+CHIA!S18+ZIPAQUIRA!S18+TABIO!S18+TENJO!S18+SOPO!S18+GACHANCIPA!S18+TOCANCIPA!S18+NEMOCON!S18+COGUA!S18</f>
        <v>76</v>
      </c>
      <c r="T18" s="28">
        <f>S18/F15*1000</f>
        <v>2.715934675</v>
      </c>
      <c r="U18" s="12">
        <f>CAJICA!U18+COTA!U19+CHIA!U18+ZIPAQUIRA!U18+TABIO!U18+TENJO!U18+SOPO!U18+GACHANCIPA!U18+TOCANCIPA!U18+NEMOCON!U18+COGUA!U18</f>
        <v>131</v>
      </c>
      <c r="V18" s="28">
        <f>U18/G15*1000</f>
        <v>4.701913068</v>
      </c>
      <c r="W18" s="12">
        <f>CAJICA!W18+COTA!W19+CHIA!W18+ZIPAQUIRA!W18+TABIO!W18+TENJO!W18+SOPO!W18+GACHANCIPA!W18+TOCANCIPA!W18+NEMOCON!W18+COGUA!W18</f>
        <v>56</v>
      </c>
      <c r="X18" s="28">
        <f>W18/H15*1000</f>
        <v>2.002002002</v>
      </c>
      <c r="Y18" s="13">
        <f t="shared" ref="Y18:Z18" si="19">((M18+O18+Q18+S18)/4)</f>
        <v>63.5</v>
      </c>
      <c r="Z18" s="13">
        <f t="shared" si="19"/>
        <v>2.26353513</v>
      </c>
      <c r="AA18" s="13">
        <f t="shared" si="3"/>
        <v>103.5</v>
      </c>
      <c r="AB18" s="13">
        <f t="shared" si="4"/>
        <v>3.351957535</v>
      </c>
      <c r="AC18" s="14" t="s">
        <v>48</v>
      </c>
    </row>
    <row r="19" ht="14.25" customHeight="1">
      <c r="B19" s="23" t="s">
        <v>61</v>
      </c>
      <c r="C19" s="24">
        <f>CAJICA!C19+COTA!C19+CHIA!C19+ZIPAQUIRA!C19+TABIO!C19+TENJO!C19+SOPO!C19+GACHANCIPA!C19+TOCANCIPA!A19+NEMOCON!C19+COGUA!C19</f>
        <v>172214</v>
      </c>
      <c r="D19" s="24">
        <f>CAJICA!D19+COTA!D19+CHIA!D19+ZIPAQUIRA!D19+TABIO!D19+TENJO!D19+SOPO!D19+GACHANCIPA!D19+TOCANCIPA!D19+NEMOCON!D19+COGUA!D19</f>
        <v>217052</v>
      </c>
      <c r="E19" s="24">
        <f>CAJICA!E19+COTA!E19+CHIA!E19+ZIPAQUIRA!E19+TABIO!E19+TENJO!E19+SOPO!E19+GACHANCIPA!E19+TOCANCIPA!E19+NEMOCON!E19+COGUA!E19</f>
        <v>214287</v>
      </c>
      <c r="F19" s="24">
        <f>CAJICA!F19+COTA!F19+CHIA!F19+ZIPAQUIRA!F19+TABIO!F19+TENJO!F19+SOPO!F19+GACHANCIPA!F19+TOCANCIPA!F19+NEMOCON!F19+COGUA!F19</f>
        <v>219884</v>
      </c>
      <c r="G19" s="24">
        <f>CAJICA!G19+COTA!G19+CHIA!G19+ZIPAQUIRA!G19+TABIO!G19+TENJO!G19+SOPO!G19+GACHANCIPA!G19+TOCANCIPA!G19+NEMOCON!G19+COGUA!G19</f>
        <v>229150</v>
      </c>
      <c r="H19" s="24">
        <f>CAJICA!H19+COTA!H19+CHIA!H19+ZIPAQUIRA!H19+TABIO!H19+TENJO!H19+SOPO!H19+GACHANCIPA!H19+TOCANCIPA!H19+NEMOCON!H19+COGUA!H19</f>
        <v>233184</v>
      </c>
      <c r="I19" s="27"/>
      <c r="J19" s="27"/>
      <c r="L19" s="11" t="s">
        <v>62</v>
      </c>
      <c r="M19" s="12">
        <f>CAJICA!M19+COTA!M20+CHIA!M19+ZIPAQUIRA!M19+TABIO!M19+TENJO!M19+SOPO!M19+GACHANCIPA!M19+TOCANCIPA!M19+NEMOCON!M19+COGUA!M19</f>
        <v>198</v>
      </c>
      <c r="N19" s="13">
        <f>M19/M4*100</f>
        <v>6.370656371</v>
      </c>
      <c r="O19" s="12">
        <f>CAJICA!O19+COTA!O20+CHIA!O19+ZIPAQUIRA!O19+TABIO!O19+TENJO!O19+SOPO!O19+GACHANCIPA!O19+TOCANCIPA!O19+NEMOCON!O19+COGUA!O19</f>
        <v>158</v>
      </c>
      <c r="P19" s="13">
        <f>O19/O4*100</f>
        <v>4.634790261</v>
      </c>
      <c r="Q19" s="12">
        <f>CAJICA!Q19+COTA!Q20+CHIA!Q19+ZIPAQUIRA!Q19+TABIO!Q19+TENJO!Q19+SOPO!Q19+GACHANCIPA!Q19+TOCANCIPA!Q19+NEMOCON!Q19+COGUA!Q19</f>
        <v>169</v>
      </c>
      <c r="R19" s="13">
        <f>Q19/Q4*100</f>
        <v>4.755205402</v>
      </c>
      <c r="S19" s="12">
        <f>CAJICA!S19+COTA!S20+CHIA!S19+ZIPAQUIRA!S19+TABIO!S19+TENJO!S19+SOPO!S19+GACHANCIPA!S19+TOCANCIPA!S19+NEMOCON!S19+COGUA!S19</f>
        <v>145</v>
      </c>
      <c r="T19" s="13">
        <f>S19/S4*100</f>
        <v>4.29756965</v>
      </c>
      <c r="U19" s="12">
        <f>CAJICA!U19+COTA!U20+CHIA!U19+ZIPAQUIRA!U19+TABIO!U19+TENJO!U19+SOPO!U19+GACHANCIPA!U19+TOCANCIPA!U19+NEMOCON!U19+COGUA!U19</f>
        <v>119</v>
      </c>
      <c r="V19" s="13">
        <f>U19/U4*100</f>
        <v>3.649187366</v>
      </c>
      <c r="W19" s="12">
        <f>CAJICA!W19+COTA!W20+CHIA!W19+ZIPAQUIRA!W19+TABIO!W19+TENJO!W19+SOPO!W19+GACHANCIPA!W19+TOCANCIPA!W19+NEMOCON!W19+COGUA!W19</f>
        <v>47</v>
      </c>
      <c r="X19" s="13">
        <f>W19/W4*100</f>
        <v>3.090072321</v>
      </c>
      <c r="Y19" s="13">
        <f t="shared" ref="Y19:Z19" si="20">((M19+O19+Q19+S19)/4)</f>
        <v>167.5</v>
      </c>
      <c r="Z19" s="13">
        <f t="shared" si="20"/>
        <v>5.014555421</v>
      </c>
      <c r="AA19" s="13">
        <f t="shared" si="3"/>
        <v>132</v>
      </c>
      <c r="AB19" s="13">
        <f t="shared" si="4"/>
        <v>3.369629843</v>
      </c>
      <c r="AC19" s="14" t="s">
        <v>63</v>
      </c>
    </row>
    <row r="20" ht="14.25" customHeight="1">
      <c r="B20" s="23" t="s">
        <v>64</v>
      </c>
      <c r="C20" s="24">
        <f>CAJICA!C20+COTA!C20+CHIA!C20+ZIPAQUIRA!C20+TABIO!C20+TENJO!C20+SOPO!C20+GACHANCIPA!C20+TOCANCIPA!C20+NEMOCON!C20+COGUA!C20</f>
        <v>11641</v>
      </c>
      <c r="D20" s="24">
        <f>CAJICA!D20+COTA!D20+CHIA!D20+ZIPAQUIRA!D20+TABIO!D20+TENJO!D20+SOPO!D20+GACHANCIPA!D20+TOCANCIPA!D20+NEMOCON!D20+COGUA!D20</f>
        <v>13672</v>
      </c>
      <c r="E20" s="24">
        <f>CAJICA!E20+COTA!E20+CHIA!E20+ZIPAQUIRA!E20+TABIO!E20+TENJO!E20+SOPO!E20+GACHANCIPA!E20+TOCANCIPA!E20+NEMOCON!E20+COGUA!E20</f>
        <v>13963</v>
      </c>
      <c r="F20" s="24">
        <f>CAJICA!F20+COTA!F20+CHIA!F20+ZIPAQUIRA!F20+TABIO!F20+TENJO!F20+SOPO!F20+GACHANCIPA!F20+TOCANCIPA!F20+NEMOCON!F20+COGUA!F20</f>
        <v>14279</v>
      </c>
      <c r="G20" s="24">
        <f>CAJICA!G20+COTA!G20+CHIA!G20+ZIPAQUIRA!G20+TABIO!G20+TENJO!G20+SOPO!G20+GACHANCIPA!G20+TOCANCIPA!G20+NEMOCON!G20+COGUA!G20</f>
        <v>14402</v>
      </c>
      <c r="H20" s="24">
        <f>CAJICA!H20+COTA!H20+CHIA!H20+ZIPAQUIRA!H20+TABIO!H20+TENJO!H20+SOPO!H20+GACHANCIPA!H20+TOCANCIPA!H20+NEMOCON!H20+COGUA!H20</f>
        <v>14813</v>
      </c>
      <c r="I20" s="27"/>
      <c r="J20" s="27"/>
      <c r="L20" s="11" t="s">
        <v>65</v>
      </c>
      <c r="M20" s="12">
        <f>CAJICA!M20+COTA!M21+CHIA!M20+ZIPAQUIRA!M20+TABIO!M20+TENJO!M20+SOPO!M20+GACHANCIPA!M20+TOCANCIPA!M20+NEMOCON!M20+COGUA!M20</f>
        <v>8</v>
      </c>
      <c r="N20" s="13">
        <f t="shared" ref="N20:N21" si="22">M20/C20*1000</f>
        <v>0.6872261833</v>
      </c>
      <c r="O20" s="12">
        <f>CAJICA!O20+COTA!O21+CHIA!O20+ZIPAQUIRA!O20+TABIO!O20+TENJO!O20+SOPO!O20+GACHANCIPA!O20+TOCANCIPA!O20+NEMOCON!O20+COGUA!O20</f>
        <v>7</v>
      </c>
      <c r="P20" s="13">
        <f t="shared" ref="P20:P21" si="23">O20/D20*1000</f>
        <v>0.5119953189</v>
      </c>
      <c r="Q20" s="12">
        <f>CAJICA!Q20+COTA!Q21+CHIA!Q20+ZIPAQUIRA!Q20+TABIO!Q20+TENJO!Q20+SOPO!Q20+GACHANCIPA!Q20+TOCANCIPA!Q20+NEMOCON!Q20+COGUA!Q20</f>
        <v>14</v>
      </c>
      <c r="R20" s="13">
        <f t="shared" ref="R20:R21" si="24">Q20/E20*1000</f>
        <v>1.00264986</v>
      </c>
      <c r="S20" s="12">
        <f>CAJICA!S20+COTA!S21+CHIA!S20+ZIPAQUIRA!S20+TABIO!S20+TENJO!S20+SOPO!S20+GACHANCIPA!S20+TOCANCIPA!S20+NEMOCON!S20+COGUA!S20</f>
        <v>8</v>
      </c>
      <c r="T20" s="13">
        <f t="shared" ref="T20:T21" si="25">S20/F20*1000</f>
        <v>0.5602633238</v>
      </c>
      <c r="U20" s="12">
        <f>CAJICA!U20+COTA!U21+CHIA!U20+ZIPAQUIRA!U20+TABIO!U20+TENJO!U20+SOPO!U20+GACHANCIPA!U20+TOCANCIPA!U20+NEMOCON!U20+COGUA!U20</f>
        <v>9</v>
      </c>
      <c r="V20" s="13">
        <f t="shared" ref="V20:V21" si="26">U20/G20*1000</f>
        <v>0.6249132065</v>
      </c>
      <c r="W20" s="12">
        <f>CAJICA!W20+COTA!W21+CHIA!W20+ZIPAQUIRA!W20+TABIO!W20+TENJO!W20+SOPO!W20+GACHANCIPA!W20+TOCANCIPA!W20+NEMOCON!W20+COGUA!W20</f>
        <v>5</v>
      </c>
      <c r="X20" s="13">
        <f t="shared" ref="X20:X21" si="27">W20/H20*1000</f>
        <v>0.3375413488</v>
      </c>
      <c r="Y20" s="13">
        <f t="shared" ref="Y20:Z20" si="21">((M20+O20+Q20+S20)/4)</f>
        <v>9.25</v>
      </c>
      <c r="Z20" s="13">
        <f t="shared" si="21"/>
        <v>0.6905336716</v>
      </c>
      <c r="AA20" s="13">
        <f t="shared" si="3"/>
        <v>8.5</v>
      </c>
      <c r="AB20" s="13">
        <f t="shared" si="4"/>
        <v>0.4812272777</v>
      </c>
      <c r="AC20" s="14" t="s">
        <v>63</v>
      </c>
    </row>
    <row r="21" ht="14.25" customHeight="1">
      <c r="B21" s="23" t="s">
        <v>66</v>
      </c>
      <c r="C21" s="24">
        <f>CAJICA!C21+COTA!C21+CHIA!C21+ZIPAQUIRA!C21+TABIO!C21+TENJO!C21+SOPO!C21+GACHANCIPA!C21+TOCANCIPA!C21+NEMOCON!C21+COGUA!C21</f>
        <v>12779</v>
      </c>
      <c r="D21" s="24">
        <f>CAJICA!D21+COTA!D21+CHIA!D21+ZIPAQUIRA!D21+TABIO!D21+TENJO!D21+SOPO!D21+GACHANCIPA!D21+TOCANCIPA!D21+NEMOCON!D21+COGUA!D21</f>
        <v>14736</v>
      </c>
      <c r="E21" s="24">
        <f>CAJICA!E21+COTA!E21+CHIA!E21+ZIPAQUIRA!E21+TABIO!E21+TENJO!E21+SOPO!E21+GACHANCIPA!E21+TOCANCIPA!D21+NEMOCON!E21+COGUA!E21</f>
        <v>14787</v>
      </c>
      <c r="F21" s="24">
        <f>CAJICA!F21+COTA!F21+CHIA!F21+ZIPAQUIRA!F21+TABIO!F21+TENJO!F21+SOPO!F21+GACHANCIPA!F21+TOCANCIPA!F21+NEMOCON!F21+COGUA!F21</f>
        <v>14906</v>
      </c>
      <c r="G21" s="24">
        <f>CAJICA!G21+COTA!G21+CHIA!G21+ZIPAQUIRA!G21+TABIO!G21+TENJO!G21+SOPO!G21+GACHANCIPA!G21+TOCANCIPA!G21+NEMOCON!G21+COGUA!G21</f>
        <v>14780</v>
      </c>
      <c r="H21" s="24">
        <f>CAJICA!H21+COTA!H21+CHIA!H21+ZIPAQUIRA!H21+TABIO!H21+TENJO!H21+SOPO!H21+GACHANCIPA!H21+TOCANCIPA!H21+NEMOCON!H21+COGUA!H21</f>
        <v>15716</v>
      </c>
      <c r="I21" s="27"/>
      <c r="J21" s="27"/>
      <c r="L21" s="11" t="s">
        <v>67</v>
      </c>
      <c r="M21" s="12">
        <f>CAJICA!M21+COTA!M22+CHIA!M21+ZIPAQUIRA!M21+TABIO!M21+TENJO!M21+SOPO!M21+GACHANCIPA!M21+TOCANCIPA!M21+NEMOCON!M21+COGUA!M21</f>
        <v>344</v>
      </c>
      <c r="N21" s="13">
        <f t="shared" si="22"/>
        <v>26.91916425</v>
      </c>
      <c r="O21" s="12">
        <f>CAJICA!O21+COTA!O22+CHIA!O21+ZIPAQUIRA!O21+TABIO!O21+TENJO!O21+SOPO!O21+GACHANCIPA!O21+TOCANCIPA!O21+NEMOCON!O21+COGUA!O21</f>
        <v>281</v>
      </c>
      <c r="P21" s="13">
        <f t="shared" si="23"/>
        <v>19.0689468</v>
      </c>
      <c r="Q21" s="12">
        <f>CAJICA!Q21+COTA!Q22+CHIA!Q21+ZIPAQUIRA!Q21+TABIO!Q21+TENJO!Q21+SOPO!Q21+GACHANCIPA!Q21+TOCANCIPA!Q21+NEMOCON!Q21+COGUA!Q21</f>
        <v>345</v>
      </c>
      <c r="R21" s="13">
        <f t="shared" si="24"/>
        <v>23.33130452</v>
      </c>
      <c r="S21" s="12">
        <f>CAJICA!S21+COTA!S22+CHIA!S21+ZIPAQUIRA!S21+TABIO!S21+TENJO!S21+SOPO!S21+GACHANCIPA!S21+TOCANCIPA!S21+NEMOCON!S21+COGUA!S21</f>
        <v>321</v>
      </c>
      <c r="T21" s="13">
        <f t="shared" si="25"/>
        <v>21.53495237</v>
      </c>
      <c r="U21" s="12">
        <f>CAJICA!U21+COTA!U22+CHIA!U21+ZIPAQUIRA!U21+TABIO!U21+TENJO!U21+SOPO!U21+GACHANCIPA!U21+TOCANCIPA!U21+NEMOCON!U21+COGUA!U21</f>
        <v>281</v>
      </c>
      <c r="V21" s="13">
        <f t="shared" si="26"/>
        <v>19.01217862</v>
      </c>
      <c r="W21" s="12">
        <f>CAJICA!W21+COTA!W22+CHIA!W21+ZIPAQUIRA!W21+TABIO!W21+TENJO!W21+SOPO!W21+GACHANCIPA!W21+TOCANCIPA!W21+NEMOCON!W21+COGUA!W21</f>
        <v>145</v>
      </c>
      <c r="X21" s="13">
        <f t="shared" si="27"/>
        <v>9.226266226</v>
      </c>
      <c r="Y21" s="13">
        <f t="shared" ref="Y21:Z21" si="28">((M21+O21+Q21+S21)/4)</f>
        <v>322.75</v>
      </c>
      <c r="Z21" s="13">
        <f t="shared" si="28"/>
        <v>22.71359199</v>
      </c>
      <c r="AA21" s="13">
        <f t="shared" si="3"/>
        <v>301</v>
      </c>
      <c r="AB21" s="13">
        <f t="shared" si="4"/>
        <v>14.11922242</v>
      </c>
      <c r="AC21" s="14" t="s">
        <v>63</v>
      </c>
    </row>
    <row r="22" ht="14.25" customHeight="1">
      <c r="B22" s="23" t="s">
        <v>68</v>
      </c>
      <c r="C22" s="24">
        <f>CAJICA!C22+COTA!C22+CHIA!C22+ZIPAQUIRA!C22+TABIO!C22+TENJO!C22+SOPO!C22+GACHANCIPA!C22+TOCANCIPA!C22+NEMOCON!C22+COGUA!C22</f>
        <v>104079</v>
      </c>
      <c r="D22" s="24">
        <f>CAJICA!D22+COTA!D22+CHIA!D22+ZIPAQUIRA!D22+TABIO!D22+TENJO!D22+SOPO!D22+GACHANCIPA!D22+TOCANCIPA!D22+NEMOCON!D22+COGUA!D22</f>
        <v>97744</v>
      </c>
      <c r="E22" s="24">
        <f>CAJICA!E22+COTA!E22+CHIA!E22+ZIPAQUIRA!E22+TABIO!E22+TENJO!E22+SOPO!E22+GACHANCIPA!E22+TOCANCIPA!E22+NEMOCON!E22+COGUA!E22</f>
        <v>100455</v>
      </c>
      <c r="F22" s="24">
        <f>CAJICA!F22+COTA!F22+CHIA!F22+ZIPAQUIRA!F22+TABIO!F22+TENJO!F22+SOPO!F22+GACHANCIPA!F22+TOCANCIPA!F22+NEMOCON!F22+COGUA!F22</f>
        <v>102910</v>
      </c>
      <c r="G22" s="24">
        <f>CAJICA!G22+COTA!G22+CHIA!G22+ZIPAQUIRA!G22+TABIO!G22+TENJO!G22+SOPO!G22+GACHANCIPA!G22+TOCANCIPA!G22+NEMOCON!G22+COGUA!G22</f>
        <v>104340</v>
      </c>
      <c r="H22" s="24">
        <f>CAJICA!H22+COTA!H22+CHIA!H22+ZIPAQUIRA!H22+TABIO!H22+TENJO!H22+SOPO!H22+GACHANCIPA!H22+TOCANCIPA!H22+NEMOCON!H22+COGUA!H22</f>
        <v>106736</v>
      </c>
      <c r="I22" s="27"/>
      <c r="J22" s="27"/>
      <c r="L22" s="11" t="s">
        <v>69</v>
      </c>
      <c r="M22" s="12">
        <f>CAJICA!M22+COTA!M23+CHIA!M22+ZIPAQUIRA!M22+TABIO!M22+TENJO!M22+SOPO!M22+GACHANCIPA!M22+TOCANCIPA!M22+NEMOCON!M22+COGUA!M22</f>
        <v>20</v>
      </c>
      <c r="N22" s="28">
        <f>M22/C7*100000</f>
        <v>6.31187611</v>
      </c>
      <c r="O22" s="12">
        <f>CAJICA!O22+COTA!O23+CHIA!O22+ZIPAQUIRA!O22+TABIO!O22+TENJO!O22+SOPO!O22+GACHANCIPA!O22+TOCANCIPA!O22+NEMOCON!O22+COGUA!O22</f>
        <v>38</v>
      </c>
      <c r="P22" s="28">
        <f>O22/D7*100000</f>
        <v>11.58896974</v>
      </c>
      <c r="Q22" s="12">
        <f>CAJICA!Q22+COTA!Q23+CHIA!Q22+ZIPAQUIRA!Q22+TABIO!Q22+TENJO!Q22+SOPO!Q22+GACHANCIPA!Q22+TOCANCIPA!Q22+NEMOCON!Q22+COGUA!Q22</f>
        <v>43</v>
      </c>
      <c r="R22" s="28">
        <f>Q22/E7*100000</f>
        <v>12.71549812</v>
      </c>
      <c r="S22" s="12">
        <f>CAJICA!S22+COTA!S23+CHIA!S22+ZIPAQUIRA!S22+TABIO!S22+TENJO!S22+SOPO!S22+GACHANCIPA!S22+TOCANCIPA!S22+NEMOCON!S22+COGUA!S22</f>
        <v>32</v>
      </c>
      <c r="T22" s="28">
        <f>S22/F7*100000</f>
        <v>9.18160351</v>
      </c>
      <c r="U22" s="12">
        <f>CAJICA!U22+COTA!U23+CHIA!U22+ZIPAQUIRA!U22+TABIO!U22+TENJO!U22+SOPO!U22+GACHANCIPA!U22+TOCANCIPA!U22+NEMOCON!U22+COGUA!U22</f>
        <v>42</v>
      </c>
      <c r="V22" s="28">
        <f>U22/G7*100000</f>
        <v>11.70956923</v>
      </c>
      <c r="W22" s="12">
        <f>CAJICA!W22+COTA!W23+CHIA!W22+ZIPAQUIRA!W22+TABIO!W22+TENJO!W22+SOPO!W22+GACHANCIPA!W22+TOCANCIPA!W22+NEMOCON!W22+COGUA!W22</f>
        <v>22</v>
      </c>
      <c r="X22" s="28">
        <f>W22/H7*100000</f>
        <v>5.970619126</v>
      </c>
      <c r="Y22" s="13">
        <f t="shared" ref="Y22:Z22" si="29">((M22+O22+Q22+S22)/4)</f>
        <v>33.25</v>
      </c>
      <c r="Z22" s="13">
        <f t="shared" si="29"/>
        <v>9.949486871</v>
      </c>
      <c r="AA22" s="13">
        <f t="shared" si="3"/>
        <v>37</v>
      </c>
      <c r="AB22" s="13">
        <f t="shared" si="4"/>
        <v>8.840094177</v>
      </c>
      <c r="AC22" s="14" t="s">
        <v>22</v>
      </c>
    </row>
    <row r="23" ht="14.25" customHeight="1">
      <c r="B23" s="23" t="s">
        <v>70</v>
      </c>
      <c r="C23" s="24">
        <f>CAJICA!C23+COTA!C23+CHIA!C23+ZIPAQUIRA!C23+TABIO!C23+TENJO!C23+SOPO!C23+GACHANCIPA!C23+TOCANCIPA!C23+NEMOCON!C23+COGUA!C23</f>
        <v>22446</v>
      </c>
      <c r="D23" s="24">
        <f>CAJICA!D23+COTA!D23+CHIA!D23+ZIPAQUIRA!D23+TABIO!D23+TENJO!D23+SOPO!D23+GACHANCIPA!D23+TOCANCIPA!D23+NEMOCON!D23+COGUA!D23</f>
        <v>31311</v>
      </c>
      <c r="E23" s="24">
        <f>CAJICA!E23+COTA!E23+CHIA!E23+ZIPAQUIRA!E23+TABIO!E23+TENJO!E23+SOPO!E23+GACHANCIPA!E23+TOCANCIPA!E23+NEMOCON!E23+COGUA!E23</f>
        <v>31947</v>
      </c>
      <c r="F23" s="24">
        <f>CAJICA!F23+COTA!F23+CHIA!F23+ZIPAQUIRA!F23+TABIO!F23+TENJO!F23+SOPO!F23+GACHANCIPA!F23+TOCANCIPA!F23+NEMOCON!F23+COGUA!F23</f>
        <v>31591</v>
      </c>
      <c r="G23" s="24">
        <f>CAJICA!G23+COTA!G23+CHIA!G23+ZIPAQUIRA!G23+TABIO!G23+TENJO!G23+SOPO!G23+GACHANCIPA!G23+TOCANCIPA!G23+NEMOCON!G23+COGUA!G23</f>
        <v>31622</v>
      </c>
      <c r="H23" s="24">
        <f>CAJICA!H23+COTA!H23+CHIA!H23+ZIPAQUIRA!H23+TABIO!H23+TENJO!H23+SOPO!H23+GACHANCIPA!H23+TOCANCIPA!H23+NEMOCON!H23+COGUA!H23</f>
        <v>31849</v>
      </c>
      <c r="I23" s="27"/>
      <c r="J23" s="27"/>
      <c r="L23" s="11" t="s">
        <v>71</v>
      </c>
      <c r="M23" s="12">
        <f>CAJICA!M23+COTA!M24+CHIA!M23+ZIPAQUIRA!M23+TABIO!M23+TENJO!M23+SOPO!M23+GACHANCIPA!M23+TOCANCIPA!M23+NEMOCON!M23+COGUA!M23</f>
        <v>7</v>
      </c>
      <c r="N23" s="28">
        <f>M23/C7*100000</f>
        <v>2.209156639</v>
      </c>
      <c r="O23" s="12">
        <f>CAJICA!O23+COTA!O24+CHIA!O23+ZIPAQUIRA!O23+TABIO!O23+TENJO!O23+SOPO!O23+GACHANCIPA!O23+TOCANCIPA!O23+NEMOCON!O23+COGUA!O23</f>
        <v>17</v>
      </c>
      <c r="P23" s="28">
        <f>O23/D7*100000</f>
        <v>5.184539094</v>
      </c>
      <c r="Q23" s="12">
        <f>CAJICA!Q23+COTA!Q24+CHIA!Q23+ZIPAQUIRA!Q23+TABIO!Q23+TENJO!Q23+SOPO!Q23+GACHANCIPA!Q23+TOCANCIPA!Q23+NEMOCON!Q23+COGUA!Q23</f>
        <v>11</v>
      </c>
      <c r="R23" s="28">
        <f>Q23/E7*100000</f>
        <v>3.252801845</v>
      </c>
      <c r="S23" s="12">
        <f>CAJICA!S23+COTA!S24+CHIA!S23+ZIPAQUIRA!S23+TABIO!S23+TENJO!S23+SOPO!S23+GACHANCIPA!S23+TOCANCIPA!S23+NEMOCON!S23+COGUA!S23</f>
        <v>14</v>
      </c>
      <c r="T23" s="28">
        <f>S23/F7*100000</f>
        <v>4.016951535</v>
      </c>
      <c r="U23" s="12">
        <f>CAJICA!U23+COTA!U24+CHIA!U23+ZIPAQUIRA!U23+TABIO!U23+TENJO!U23+SOPO!U23+GACHANCIPA!U23+TOCANCIPA!U23+NEMOCON!U23+COGUA!U23</f>
        <v>13</v>
      </c>
      <c r="V23" s="28">
        <f>U23/G7*100000</f>
        <v>3.624390475</v>
      </c>
      <c r="W23" s="12">
        <f>CAJICA!W23+COTA!W24+CHIA!W23+ZIPAQUIRA!W23+TABIO!W23+TENJO!W23+SOPO!W23+GACHANCIPA!W23+TOCANCIPA!W23+NEMOCON!W23+COGUA!W23</f>
        <v>8</v>
      </c>
      <c r="X23" s="28">
        <f>W23/H7*100000</f>
        <v>2.171134228</v>
      </c>
      <c r="Y23" s="13">
        <f t="shared" ref="Y23:Z23" si="30">((M23+O23+Q23+S23)/4)</f>
        <v>12.25</v>
      </c>
      <c r="Z23" s="13">
        <f t="shared" si="30"/>
        <v>3.665862278</v>
      </c>
      <c r="AA23" s="13">
        <f t="shared" si="3"/>
        <v>13.5</v>
      </c>
      <c r="AB23" s="13">
        <f t="shared" si="4"/>
        <v>2.897762351</v>
      </c>
      <c r="AC23" s="14" t="s">
        <v>22</v>
      </c>
    </row>
    <row r="24" ht="14.25" customHeight="1">
      <c r="B24" s="23" t="s">
        <v>72</v>
      </c>
      <c r="C24" s="24">
        <f>CAJICA!C24+COTA!C24+CHIA!C24+ZIPAQUIRA!C24+TABIO!C24+TENJO!C24+SOPO!C24+GACHANCIPA!C24+TOCANCIPA!C24+NEMOCON!C24+COGUA!C24</f>
        <v>20728</v>
      </c>
      <c r="D24" s="24">
        <f>CAJICA!D24+COTA!D24+CHIA!D24+ZIPAQUIRA!D24+TABIO!D24+TENJO!D24+SOPO!D24+GACHANCIPA!D24+TOCANCIPA!D24+NEMOCON!D24+COGUA!D24</f>
        <v>29829</v>
      </c>
      <c r="E24" s="24">
        <f>CAJICA!E24+COTA!E24+CHIA!E24+ZIPAQUIRA!E24+TABIO!E24+TENJO!E24+SOPO!E24+GACHANCIPA!E24+TOCANCIPA!E24+NEMOCON!E24+COGUA!E24</f>
        <v>30651</v>
      </c>
      <c r="F24" s="24">
        <f>CAJICA!F24+COTA!F24+CHIA!F24+ZIPAQUIRA!F24+TABIO!F24+TENJO!F24+SOPO!F24+GACHANCIPA!F24+TOCANCIPA!F24+NEMOCON!F24+COGUA!F24</f>
        <v>31472</v>
      </c>
      <c r="G24" s="24">
        <f>CAJICA!G24+COTA!G24+CHIA!G24+ZIPAQUIRA!G24+TABIO!G24+TENJO!G24+SOPO!G24+GACHANCIPA!G24+TOCANCIPA!G24+NEMOCON!G24+COGUA!G24</f>
        <v>31660</v>
      </c>
      <c r="H24" s="24">
        <f>CAJICA!H24+COTA!H24+CHIA!H24+ZIPAQUIRA!H24+TABIO!H24+TENJO!H24+SOPO!H24+GACHANCIPA!H24+TOCANCIPA!H24+NEMOCON!H24+COGUA!H24</f>
        <v>32426</v>
      </c>
      <c r="I24" s="27"/>
      <c r="J24" s="27"/>
      <c r="L24" s="11" t="s">
        <v>73</v>
      </c>
      <c r="M24" s="12">
        <f>CAJICA!M24+COTA!M25+CHIA!M24+ZIPAQUIRA!M24+TABIO!M24+TENJO!M24+SOPO!M24+GACHANCIPA!M24+TOCANCIPA!M24+NEMOCON!M24+COGUA!M24</f>
        <v>15</v>
      </c>
      <c r="N24" s="28">
        <f>M24/C7*100000</f>
        <v>4.733907083</v>
      </c>
      <c r="O24" s="12">
        <f>CAJICA!O24+COTA!O25+CHIA!O24+ZIPAQUIRA!O24+TABIO!O24+TENJO!O24+SOPO!O24+GACHANCIPA!O24+TOCANCIPA!O24+NEMOCON!O24+COGUA!O24</f>
        <v>21</v>
      </c>
      <c r="P24" s="28">
        <f>O24/D7*100000</f>
        <v>6.404430646</v>
      </c>
      <c r="Q24" s="12">
        <f>CAJICA!Q24+COTA!Q25+CHIA!Q24+ZIPAQUIRA!Q24+TABIO!Q24+TENJO!Q24+SOPO!Q24+GACHANCIPA!Q24+TOCANCIPA!Q24+NEMOCON!Q24+COGUA!Q24</f>
        <v>19</v>
      </c>
      <c r="R24" s="28">
        <f>Q24/E7*100000</f>
        <v>5.618475914</v>
      </c>
      <c r="S24" s="12">
        <f>CAJICA!S24+COTA!S25+CHIA!S24+ZIPAQUIRA!S24+TABIO!S24+TENJO!S24+SOPO!S24+GACHANCIPA!S24+TOCANCIPA!S24+NEMOCON!S24+COGUA!S24</f>
        <v>15</v>
      </c>
      <c r="T24" s="28">
        <f>S24/F7*100000</f>
        <v>4.303876645</v>
      </c>
      <c r="U24" s="12">
        <f>CAJICA!U24+COTA!U25+CHIA!U24+ZIPAQUIRA!U24+TABIO!U24+TENJO!U24+SOPO!U24+GACHANCIPA!U24+TOCANCIPA!U24+NEMOCON!U24+COGUA!U24</f>
        <v>15</v>
      </c>
      <c r="V24" s="28">
        <f>U24/G7*100000</f>
        <v>4.18198901</v>
      </c>
      <c r="W24" s="12">
        <f>CAJICA!W24+COTA!W25+CHIA!W24+ZIPAQUIRA!W24+TABIO!W24+TENJO!W24+SOPO!W24+GACHANCIPA!W24+TOCANCIPA!W24+NEMOCON!W24+COGUA!W24</f>
        <v>6</v>
      </c>
      <c r="X24" s="28">
        <f>W24/H7*100000</f>
        <v>1.628350671</v>
      </c>
      <c r="Y24" s="13">
        <f t="shared" ref="Y24:Z24" si="31">((M24+O24+Q24+S24)/4)</f>
        <v>17.5</v>
      </c>
      <c r="Z24" s="13">
        <f t="shared" si="31"/>
        <v>5.265172572</v>
      </c>
      <c r="AA24" s="13">
        <f t="shared" si="3"/>
        <v>15</v>
      </c>
      <c r="AB24" s="13">
        <f t="shared" si="4"/>
        <v>2.90516984</v>
      </c>
      <c r="AC24" s="14" t="s">
        <v>22</v>
      </c>
    </row>
    <row r="25" ht="14.25" customHeight="1">
      <c r="B25" s="23" t="s">
        <v>74</v>
      </c>
      <c r="C25" s="24">
        <f>CAJICA!C25+COTA!C25+CHIA!C25+ZIPAQUIRA!C25+TABIO!C25+TENJO!C25+SOPO!C25+GACHANCIPA!C25+TOCANCIPA!C25+NEMOCON!C25+COGUA!C25</f>
        <v>20814</v>
      </c>
      <c r="D25" s="24">
        <f>CAJICA!D25+COTA!D25+CHIA!D25+ZIPAQUIRA!D25+TABIO!D25+TENJO!D25+SOPO!D25+GACHANCIPA!D25+TOCANCIPA!D25+NEMOCON!D25+COGUA!D25</f>
        <v>35237</v>
      </c>
      <c r="E25" s="24">
        <f>CAJICA!E25+COTA!E25+CHIA!E25+ZIPAQUIRA!E25+TABIO!E25+TENJO!E25+SOPO!E25+GACHANCIPA!E25+TOCANCIPA!E25+NEMOCON!E25+COGUA!E25</f>
        <v>35758</v>
      </c>
      <c r="F25" s="24">
        <f>CAJICA!F25+COTA!F25+CHIA!F25+ZIPAQUIRA!F25+TABIO!F25+TENJO!F25+SOPO!F25+GACHANCIPA!F25+TOCANCIPA!F25+NEMOCON!F25+COGUA!F25</f>
        <v>36304</v>
      </c>
      <c r="G25" s="24">
        <f>CAJICA!G25+COTA!G25+CHIA!G25+ZIPAQUIRA!G25+TABIO!G25+TENJO!G25+SOPO!G25+GACHANCIPA!G25+TOCANCIPA!G25+NEMOCON!G25+COGUA!G25</f>
        <v>36427</v>
      </c>
      <c r="H25" s="24">
        <f>CAJICA!H25+COTA!H25+CHIA!H25+ZIPAQUIRA!H25+TABIO!H25+TENJO!H25+SOPO!H25+GACHANCIPA!H25+TOCANCIPA!H25+NEMOCON!H25+COGUA!H25</f>
        <v>37007</v>
      </c>
      <c r="I25" s="27"/>
      <c r="J25" s="27"/>
      <c r="L25" s="11" t="s">
        <v>75</v>
      </c>
      <c r="M25" s="12">
        <f>CAJICA!M25+COTA!M26+CHIA!M25+ZIPAQUIRA!M25+TABIO!M25+TENJO!M25+SOPO!M25+GACHANCIPA!M25+TOCANCIPA!M25+NEMOCON!M25+COGUA!M25</f>
        <v>165</v>
      </c>
      <c r="N25" s="28">
        <f>M25/C7*100000</f>
        <v>52.07297791</v>
      </c>
      <c r="O25" s="12">
        <f>CAJICA!O25+COTA!O26+CHIA!O25+ZIPAQUIRA!O25+TABIO!O25+TENJO!O25+SOPO!O25+GACHANCIPA!O25+TOCANCIPA!O25+NEMOCON!O25+COGUA!O25</f>
        <v>174</v>
      </c>
      <c r="P25" s="28">
        <f>O25/D7*100000</f>
        <v>53.0652825</v>
      </c>
      <c r="Q25" s="12">
        <f>CAJICA!Q25+COTA!Q26+CHIA!Q25+ZIPAQUIRA!Q25+TABIO!Q25+TENJO!Q25+SOPO!Q25+GACHANCIPA!Q25+TOCANCIPA!Q25+NEMOCON!Q25+COGUA!Q25</f>
        <v>256</v>
      </c>
      <c r="R25" s="28">
        <f>Q25/E7*100000</f>
        <v>75.70157022</v>
      </c>
      <c r="S25" s="12">
        <f>CAJICA!S25+COTA!S26+CHIA!S25+ZIPAQUIRA!S25+TABIO!S25+TENJO!S25+SOPO!S25+GACHANCIPA!S25+TOCANCIPA!S25+NEMOCON!S25+COGUA!S25</f>
        <v>304</v>
      </c>
      <c r="T25" s="28">
        <f>S25/F7*100000</f>
        <v>87.22523334</v>
      </c>
      <c r="U25" s="12">
        <f>CAJICA!U25+COTA!U26+CHIA!U25+ZIPAQUIRA!U25+TABIO!U25+TENJO!U25+SOPO!U25+GACHANCIPA!U25+TOCANCIPA!U25+NEMOCON!U25+COGUA!U25</f>
        <v>289</v>
      </c>
      <c r="V25" s="28">
        <f>U25/G7*100000</f>
        <v>80.57298825</v>
      </c>
      <c r="W25" s="12">
        <f>CAJICA!W25+COTA!W26+CHIA!W25+ZIPAQUIRA!W25+TABIO!W25+TENJO!W25+SOPO!W25+GACHANCIPA!W25+TOCANCIPA!W25+NEMOCON!W25+COGUA!W25</f>
        <v>115</v>
      </c>
      <c r="X25" s="28">
        <f>W25/H7*100000</f>
        <v>31.21005452</v>
      </c>
      <c r="Y25" s="13">
        <f t="shared" ref="Y25:Z25" si="32">((M25+O25+Q25+S25)/4)</f>
        <v>224.75</v>
      </c>
      <c r="Z25" s="13">
        <f t="shared" si="32"/>
        <v>67.01626599</v>
      </c>
      <c r="AA25" s="13">
        <f t="shared" si="3"/>
        <v>296.5</v>
      </c>
      <c r="AB25" s="13">
        <f t="shared" si="4"/>
        <v>55.89152139</v>
      </c>
      <c r="AC25" s="14" t="s">
        <v>48</v>
      </c>
    </row>
    <row r="26" ht="14.25" customHeight="1">
      <c r="B26" s="23" t="s">
        <v>76</v>
      </c>
      <c r="C26" s="24">
        <f>CAJICA!C26+COTA!C26+CHIA!C26+ZIPAQUIRA!C26+TABIO!C26+TENJO!C26+SOPO!C26+GACHANCIPA!C26+TOCANCIPA!C26+NEMOCON!C26+COGUA!C26</f>
        <v>53351</v>
      </c>
      <c r="D26" s="24">
        <f>CAJICA!D26+COTA!D26+CHIA!D26+ZIPAQUIRA!D26+TABIO!D26+TENJO!D26+SOPO!D26+GACHANCIPA!D26+TOCANCIPA!D26+NEMOCON!D26+COGUA!D26</f>
        <v>82008</v>
      </c>
      <c r="E26" s="24">
        <f>CAJICA!E26+COTA!E26+CHIA!E26+ZIPAQUIRA!E26+TABIO!E26+TENJO!E26+SOPO!E26+GACHANCIPA!E26+TOCANCIPA!E26+NEMOCON!E26+COGUA!E26</f>
        <v>73513</v>
      </c>
      <c r="F26" s="24">
        <f>CAJICA!F26+COTA!F26+CHIA!F26+ZIPAQUIRA!F26+TABIO!F26+TENJO!F26+SOPO!F26+GACHANCIPA!F26+TOCANCIPA!F26+NEMOCON!F26+COGUA!F26</f>
        <v>74725</v>
      </c>
      <c r="G26" s="24">
        <f>CAJICA!G26+COTA!G26+CHIA!G26+ZIPAQUIRA!G26+TABIO!G26+TENJO!G26+SOPO!G26+GACHANCIPA!G26+TOCANCIPA!G26+NEMOCON!G26+COGUA!G26</f>
        <v>75349</v>
      </c>
      <c r="H26" s="24">
        <f>CAJICA!H26+COTA!H26+CHIA!H26+ZIPAQUIRA!H26+TABIO!H26+TENJO!H26+SOPO!H26+GACHANCIPA!H26+TOCANCIPA!H26+NEMOCON!H26+COGUA!H26</f>
        <v>73042</v>
      </c>
      <c r="I26" s="27"/>
      <c r="J26" s="27"/>
      <c r="L26" s="11" t="s">
        <v>77</v>
      </c>
      <c r="M26" s="12">
        <f>CAJICA!M26+COTA!M27+CHIA!M26+ZIPAQUIRA!M26+TABIO!M26+TENJO!M26+SOPO!M26+GACHANCIPA!M26+TOCANCIPA!M26+NEMOCON!M26+COGUA!M26</f>
        <v>356</v>
      </c>
      <c r="N26" s="13">
        <f>M26/C7*100000</f>
        <v>112.3513948</v>
      </c>
      <c r="O26" s="12">
        <f>CAJICA!O26+COTA!O27+CHIA!O26+ZIPAQUIRA!O26+TABIO!O26+TENJO!O26+SOPO!O26+GACHANCIPA!O26+TOCANCIPA!O26+NEMOCON!O26+COGUA!O26</f>
        <v>569</v>
      </c>
      <c r="P26" s="13">
        <f>O26/D7*100000</f>
        <v>173.5295732</v>
      </c>
      <c r="Q26" s="12">
        <f>CAJICA!Q26+COTA!Q27+CHIA!Q26+ZIPAQUIRA!Q26+TABIO!Q26+TENJO!Q26+SOPO!Q26+GACHANCIPA!Q26+TOCANCIPA!Q26+NEMOCON!Q26+COGUA!Q26</f>
        <v>377</v>
      </c>
      <c r="R26" s="13">
        <f>Q26/E7*100000</f>
        <v>111.4823905</v>
      </c>
      <c r="S26" s="12">
        <f>CAJICA!S26+COTA!S27+CHIA!S26+ZIPAQUIRA!S26+TABIO!S26+TENJO!S26+SOPO!S26+GACHANCIPA!S26+TOCANCIPA!S26+NEMOCON!S26+COGUA!S26</f>
        <v>280</v>
      </c>
      <c r="T26" s="13">
        <f>S26/F7*100000</f>
        <v>80.33903071</v>
      </c>
      <c r="U26" s="12">
        <f>CAJICA!U26+COTA!U27+CHIA!U26+ZIPAQUIRA!U26+TABIO!U26+TENJO!U26+SOPO!U26+GACHANCIPA!U26+TOCANCIPA!U26+NEMOCON!U26+COGUA!U26</f>
        <v>289</v>
      </c>
      <c r="V26" s="13">
        <f>U26/G7*100000</f>
        <v>80.57298825</v>
      </c>
      <c r="W26" s="12">
        <f>CAJICA!W26+COTA!W27+CHIA!W26+ZIPAQUIRA!W26+TABIO!W26+TENJO!W26+SOPO!W26+GACHANCIPA!W26+TOCANCIPA!W26+NEMOCON!W26+COGUA!W26</f>
        <v>150</v>
      </c>
      <c r="X26" s="13">
        <f>W26/H7*100000</f>
        <v>40.70876677</v>
      </c>
      <c r="Y26" s="13">
        <f t="shared" ref="Y26:Z26" si="33">((M26+O26+Q26+S26)/4)</f>
        <v>395.5</v>
      </c>
      <c r="Z26" s="13">
        <f t="shared" si="33"/>
        <v>119.4255973</v>
      </c>
      <c r="AA26" s="13">
        <f t="shared" si="3"/>
        <v>284.5</v>
      </c>
      <c r="AB26" s="13">
        <f t="shared" si="4"/>
        <v>60.64087751</v>
      </c>
      <c r="AC26" s="14" t="s">
        <v>22</v>
      </c>
    </row>
    <row r="27" ht="14.25" customHeight="1">
      <c r="B27" s="29" t="s">
        <v>78</v>
      </c>
      <c r="C27" s="24">
        <f>CAJICA!C27+COTA!C27+CHIA!C27+ZIPAQUIRA!C27+TABIO!C27+TENJO!C27+SOPO!C27+GACHANCIPA!C27+TOCANCIPA!C27+NEMOCON!C27+COGUA!C27</f>
        <v>27214</v>
      </c>
      <c r="D27" s="24">
        <f>CAJICA!D27+COTA!D27+CHIA!D27+ZIPAQUIRA!D27+TABIO!D27+TENJO!D27+SOPO!D27+GACHANCIPA!D27+TOCANCIPA!D27+NEMOCON!D27+COGUA!D27</f>
        <v>24884</v>
      </c>
      <c r="E27" s="24">
        <f>CAJICA!E27+COTA!E27+CHIA!E27+ZIPAQUIRA!E27+TABIO!E27+TENJO!E27+SOPO!E27+GACHANCIPA!E27+TOCANCIPA!E27+NEMOCON!E27+COGUA!E27</f>
        <v>29665</v>
      </c>
      <c r="F27" s="24">
        <f>CAJICA!F27+COTA!F27+CHIA!F27+ZIPAQUIRA!F27+TABIO!F27+TENJO!F27+SOPO!F27+GACHANCIPA!F27+TOCANCIPA!F27+NEMOCON!F27+COGUA!F27</f>
        <v>31978</v>
      </c>
      <c r="G27" s="24">
        <f>CAJICA!G27+COTA!G27+CHIA!G27+ZIPAQUIRA!G27+TABIO!G27+TENJO!G27+SOPO!G27+GACHANCIPA!G27+TOCANCIPA!G27+NEMOCON!G27+COGUA!G27</f>
        <v>37731</v>
      </c>
      <c r="H27" s="24">
        <f>CAJICA!H27+COTA!H27+CHIA!H27+ZIPAQUIRA!H27+TABIO!H27+TENJO!H27+SOPO!H27+GACHANCIPA!H27+TOCANCIPA!H27+NEMOCON!H27+COGUA!H27</f>
        <v>39909</v>
      </c>
      <c r="I27" s="27"/>
      <c r="J27" s="27"/>
      <c r="L27" s="11" t="s">
        <v>79</v>
      </c>
      <c r="M27" s="12">
        <f>CAJICA!M27+COTA!M28+CHIA!M27+ZIPAQUIRA!M27+TABIO!M27+TENJO!M27+SOPO!M27+GACHANCIPA!M27+TOCANCIPA!M27+NEMOCON!M27+COGUA!M27</f>
        <v>7</v>
      </c>
      <c r="N27" s="13">
        <f>M27/C11*100000</f>
        <v>4.25043567</v>
      </c>
      <c r="O27" s="12">
        <f>CAJICA!O27+COTA!O28+CHIA!O27+ZIPAQUIRA!O27+TABIO!O27+TENJO!O27+SOPO!O27+GACHANCIPA!O27+TOCANCIPA!O27+NEMOCON!O27+COGUA!O27</f>
        <v>6</v>
      </c>
      <c r="P27" s="13">
        <f>O27/D11*100000</f>
        <v>3.512736597</v>
      </c>
      <c r="Q27" s="12">
        <f>CAJICA!Q27+COTA!Q28+CHIA!Q27+ZIPAQUIRA!Q27+TABIO!Q27+TENJO!Q27+SOPO!Q27+GACHANCIPA!Q27+TOCANCIPA!Q27+NEMOCON!Q27+COGUA!Q27</f>
        <v>10</v>
      </c>
      <c r="R27" s="13">
        <f>Q27/E11*100000</f>
        <v>5.677237683</v>
      </c>
      <c r="S27" s="12">
        <f>CAJICA!S27+COTA!S28+CHIA!S27+ZIPAQUIRA!S27+TABIO!S27+TENJO!S27+SOPO!S27+GACHANCIPA!S27+TOCANCIPA!S27+NEMOCON!S27+COGUA!S27</f>
        <v>4</v>
      </c>
      <c r="T27" s="13">
        <f>S27/F11*100000</f>
        <v>2.206713927</v>
      </c>
      <c r="U27" s="12">
        <f>CAJICA!U27+COTA!U28+CHIA!U27+ZIPAQUIRA!U27+TABIO!U27+TENJO!U27+SOPO!U27+GACHANCIPA!U27+TOCANCIPA!U27+NEMOCON!U27+COGUA!U27</f>
        <v>8</v>
      </c>
      <c r="V27" s="13">
        <f>U27/G11*100000</f>
        <v>4.337547984</v>
      </c>
      <c r="W27" s="12">
        <f>CAJICA!W27+COTA!W28+CHIA!W27+ZIPAQUIRA!W27+TABIO!W27+TENJO!W27+SOPO!W27+GACHANCIPA!W27+TOCANCIPA!W27+NEMOCON!W27+COGUA!W27</f>
        <v>0</v>
      </c>
      <c r="X27" s="13">
        <f>W27/H11*100000</f>
        <v>0</v>
      </c>
      <c r="Y27" s="13">
        <f t="shared" ref="Y27:Z27" si="34">((M27+O27+Q27+S27)/4)</f>
        <v>6.75</v>
      </c>
      <c r="Z27" s="13">
        <f t="shared" si="34"/>
        <v>3.911780969</v>
      </c>
      <c r="AA27" s="13">
        <f t="shared" si="3"/>
        <v>6</v>
      </c>
      <c r="AB27" s="13">
        <f t="shared" si="4"/>
        <v>2.168773992</v>
      </c>
      <c r="AC27" s="14" t="s">
        <v>22</v>
      </c>
    </row>
    <row r="28" ht="14.25" customHeight="1">
      <c r="I28" s="27"/>
      <c r="J28" s="27"/>
      <c r="L28" s="11" t="s">
        <v>80</v>
      </c>
      <c r="M28" s="12">
        <f>CAJICA!M28+COTA!M29+CHIA!M28+ZIPAQUIRA!M28+TABIO!M28+TENJO!M28+SOPO!M28+GACHANCIPA!M28+TOCANCIPA!M28+NEMOCON!M28+COGUA!M28</f>
        <v>19</v>
      </c>
      <c r="N28" s="13">
        <f>M28/C11*100000</f>
        <v>11.53689682</v>
      </c>
      <c r="O28" s="12">
        <f>CAJICA!O28+COTA!O29+CHIA!O28+ZIPAQUIRA!O28+TABIO!O28+TENJO!O28+SOPO!O28+GACHANCIPA!O28+TOCANCIPA!O28+NEMOCON!O28+COGUA!O28</f>
        <v>23</v>
      </c>
      <c r="P28" s="13">
        <f>O28/D11*100000</f>
        <v>13.46549029</v>
      </c>
      <c r="Q28" s="12">
        <f>CAJICA!Q28+COTA!Q29+CHIA!Q28+ZIPAQUIRA!Q28+TABIO!Q28+TENJO!Q28+SOPO!Q28+GACHANCIPA!Q28+TOCANCIPA!Q28+NEMOCON!Q28+COGUA!Q28</f>
        <v>16</v>
      </c>
      <c r="R28" s="13">
        <f>Q28/E11*100000</f>
        <v>9.083580293</v>
      </c>
      <c r="S28" s="12">
        <f>CAJICA!S28+COTA!S29+CHIA!S28+ZIPAQUIRA!S28+TABIO!S28+TENJO!S28+SOPO!S28+GACHANCIPA!S28+TOCANCIPA!S28+NEMOCON!S28+COGUA!S28</f>
        <v>21</v>
      </c>
      <c r="T28" s="13">
        <f>S28/F11*100000</f>
        <v>11.58524812</v>
      </c>
      <c r="U28" s="12">
        <f>CAJICA!U28+COTA!U29+CHIA!U28+ZIPAQUIRA!U28+TABIO!U28+TENJO!U28+SOPO!U28+GACHANCIPA!U28+TOCANCIPA!U28+NEMOCON!U28+COGUA!U28</f>
        <v>18</v>
      </c>
      <c r="V28" s="13">
        <f>U28/G11*100000</f>
        <v>9.759482964</v>
      </c>
      <c r="W28" s="12">
        <f>CAJICA!W28+COTA!W29+CHIA!W28+ZIPAQUIRA!W28+TABIO!W28+TENJO!W28+SOPO!W28+GACHANCIPA!W28+TOCANCIPA!W28+NEMOCON!W28+COGUA!W28</f>
        <v>7</v>
      </c>
      <c r="X28" s="13">
        <f>W28/H11*100000</f>
        <v>3.694867301</v>
      </c>
      <c r="Y28" s="13">
        <f t="shared" ref="Y28:Z28" si="35">((M28+O28+Q28+S28)/4)</f>
        <v>19.75</v>
      </c>
      <c r="Z28" s="13">
        <f t="shared" si="35"/>
        <v>11.41780388</v>
      </c>
      <c r="AA28" s="13">
        <f t="shared" si="3"/>
        <v>19.5</v>
      </c>
      <c r="AB28" s="13">
        <f t="shared" si="4"/>
        <v>6.727175133</v>
      </c>
      <c r="AC28" s="14" t="s">
        <v>22</v>
      </c>
    </row>
    <row r="29" ht="14.25" customHeight="1">
      <c r="L29" s="11" t="s">
        <v>81</v>
      </c>
      <c r="M29" s="12">
        <f>CAJICA!M29+COTA!M30+CHIA!M29+ZIPAQUIRA!M29+TABIO!M29+TENJO!M29+SOPO!M29+GACHANCIPA!M29+TOCANCIPA!M29+NEMOCON!M29+COGUA!M29</f>
        <v>17</v>
      </c>
      <c r="N29" s="13">
        <f>M29/C10*100000</f>
        <v>10.92208059</v>
      </c>
      <c r="O29" s="12">
        <f>CAJICA!O29+COTA!O30+CHIA!O29+ZIPAQUIRA!O29+TABIO!O29+TENJO!O29+SOPO!O29+GACHANCIPA!O29+TOCANCIPA!O29+NEMOCON!O29+COGUA!O29</f>
        <v>15</v>
      </c>
      <c r="P29" s="13">
        <f>O29/D10*100000</f>
        <v>9.291147395</v>
      </c>
      <c r="Q29" s="12">
        <f>CAJICA!Q29+COTA!Q30+CHIA!Q29+ZIPAQUIRA!Q29+TABIO!Q29+TENJO!Q29+SOPO!Q29+GACHANCIPA!Q29+TOCANCIPA!Q29+NEMOCON!Q29+COGUA!Q29</f>
        <v>9</v>
      </c>
      <c r="R29" s="13">
        <f>Q29/E10*100000</f>
        <v>5.405697605</v>
      </c>
      <c r="S29" s="12">
        <f>CAJICA!S29+COTA!S30+CHIA!S29+ZIPAQUIRA!S29+TABIO!S29+TENJO!S29+SOPO!S29+GACHANCIPA!S29+TOCANCIPA!S29+NEMOCON!S29+COGUA!S29</f>
        <v>13</v>
      </c>
      <c r="T29" s="13">
        <f>S29/F10*100000</f>
        <v>7.585880925</v>
      </c>
      <c r="U29" s="12">
        <f>CAJICA!U29+COTA!U30+CHIA!U29+ZIPAQUIRA!U29+TABIO!U29+TENJO!U29+SOPO!U29+GACHANCIPA!U29+TOCANCIPA!U29+NEMOCON!U29+COGUA!U29</f>
        <v>17</v>
      </c>
      <c r="V29" s="13">
        <f>U29/G10*100000</f>
        <v>9.756377514</v>
      </c>
      <c r="W29" s="12">
        <f>CAJICA!W29+COTA!W30+CHIA!W29+ZIPAQUIRA!W29+TABIO!W29+TENJO!W29+SOPO!W29+GACHANCIPA!W29+TOCANCIPA!W29+NEMOCON!W29+COGUA!W29</f>
        <v>6</v>
      </c>
      <c r="X29" s="13">
        <f>W29/H10*100000</f>
        <v>3.351599551</v>
      </c>
      <c r="Y29" s="13">
        <f t="shared" ref="Y29:Z29" si="36">((M29+O29+Q29+S29)/4)</f>
        <v>13.5</v>
      </c>
      <c r="Z29" s="13">
        <f t="shared" si="36"/>
        <v>8.301201629</v>
      </c>
      <c r="AA29" s="13">
        <f t="shared" si="3"/>
        <v>15</v>
      </c>
      <c r="AB29" s="13">
        <f t="shared" si="4"/>
        <v>6.553988533</v>
      </c>
      <c r="AC29" s="14" t="s">
        <v>22</v>
      </c>
    </row>
    <row r="30" ht="14.25" customHeight="1"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L30" s="11" t="s">
        <v>83</v>
      </c>
      <c r="M30" s="12">
        <f>CAJICA!M30+COTA!M31+CHIA!M30+ZIPAQUIRA!M30+TABIO!M30+TENJO!M30+SOPO!M30+GACHANCIPA!M30+TOCANCIPA!M30+NEMOCON!M30+COGUA!M30</f>
        <v>292</v>
      </c>
      <c r="N30" s="13">
        <f>M30/C7*100000</f>
        <v>92.15339121</v>
      </c>
      <c r="O30" s="12">
        <f>CAJICA!O30+COTA!O31+CHIA!O30+ZIPAQUIRA!O30+TABIO!O30+TENJO!O30+SOPO!O30+GACHANCIPA!O30+TOCANCIPA!O30+NEMOCON!O30+COGUA!O30</f>
        <v>650</v>
      </c>
      <c r="P30" s="13">
        <f>O30/D7*100000</f>
        <v>198.2323771</v>
      </c>
      <c r="Q30" s="12">
        <f>CAJICA!Q30+COTA!Q31+CHIA!Q30+ZIPAQUIRA!Q30+TABIO!Q30+TENJO!Q30+SOPO!Q30+GACHANCIPA!Q30+TOCANCIPA!Q30+NEMOCON!Q30+COGUA!Q30</f>
        <v>118</v>
      </c>
      <c r="R30" s="13">
        <f>Q30/E7*100000</f>
        <v>34.89369252</v>
      </c>
      <c r="S30" s="12">
        <f>CAJICA!S30+COTA!S31+CHIA!S30+ZIPAQUIRA!S30+TABIO!S30+TENJO!S30+SOPO!S30+GACHANCIPA!S30+TOCANCIPA!S30+NEMOCON!S30+COGUA!S30</f>
        <v>67</v>
      </c>
      <c r="T30" s="13">
        <f>S30/F7*100000</f>
        <v>19.22398235</v>
      </c>
      <c r="U30" s="12">
        <f>CAJICA!U30+COTA!U31+CHIA!U30+ZIPAQUIRA!U30+TABIO!U30+TENJO!U30+SOPO!U30+GACHANCIPA!U30+TOCANCIPA!U30+NEMOCON!U30+COGUA!U30</f>
        <v>82</v>
      </c>
      <c r="V30" s="13">
        <f>U30/G7*100000</f>
        <v>22.86153992</v>
      </c>
      <c r="W30" s="12">
        <f>CAJICA!W30+COTA!W31+CHIA!W30+ZIPAQUIRA!W30+TABIO!W30+TENJO!W30+SOPO!W30+GACHANCIPA!W30+TOCANCIPA!W30+NEMOCON!W30+COGUA!W30</f>
        <v>20</v>
      </c>
      <c r="X30" s="13">
        <f>W30/H7*100000</f>
        <v>5.427835569</v>
      </c>
      <c r="Y30" s="13">
        <f t="shared" ref="Y30:Z30" si="37">((M30+O30+Q30+S30)/4)</f>
        <v>281.75</v>
      </c>
      <c r="Z30" s="13">
        <f t="shared" si="37"/>
        <v>86.12586081</v>
      </c>
      <c r="AA30" s="13">
        <f t="shared" si="3"/>
        <v>74.5</v>
      </c>
      <c r="AB30" s="13">
        <f t="shared" si="4"/>
        <v>14.14468774</v>
      </c>
      <c r="AC30" s="14" t="s">
        <v>22</v>
      </c>
    </row>
    <row r="31" ht="14.25" customHeight="1">
      <c r="B31" s="32" t="s">
        <v>84</v>
      </c>
      <c r="C31" s="33">
        <f>CAJICA!C31+COTA!C31+CHIA!C31+ZIPAQUIRA!C31+TABIO!C31+TENJO!C31+SOPO!C31+GACHANCIPA!C31+TOCANCIPA!C31+NEMOCON!C31+COGUA!C31</f>
        <v>22446</v>
      </c>
      <c r="D31" s="33">
        <f>CAJICA!D31+COTA!D31+CHIA!D31+ZIPAQUIRA!D31+TABIO!D31+TENJO!D31+SOPO!D31+GACHANCIPA!D31+TOCANCIPA!D31+NEMOCON!D31+COGUA!D31</f>
        <v>31683</v>
      </c>
      <c r="E31" s="33">
        <f>CAJICA!E31+COTA!E31+CHIA!E31+ZIPAQUIRA!E31+TABIO!E31+TENJO!E31+SOPO!E31+GACHANCIPA!E31+TOCANCIPA!E31+NEMOCON!E31+COGUA!E31</f>
        <v>32357</v>
      </c>
      <c r="F31" s="33">
        <f>CAJICA!F31+COTA!F31+CHIA!F31+ZIPAQUIRA!F31+TABIO!F31+TENJO!F31+SOPO!F31+GACHANCIPA!F31+TOCANCIPA!A31+NEMOCON!F31+COGUA!F31</f>
        <v>27084</v>
      </c>
      <c r="G31" s="33">
        <f>CAJICA!G31+COTA!G31+CHIA!G31+ZIPAQUIRA!G31+TABIO!G31+TENJO!G31+SOPO!G31+GACHANCIPA!G31+TOCANCIPA!G31+NEMOCON!G31+COGUA!G31</f>
        <v>26990.858</v>
      </c>
      <c r="H31" s="33">
        <f>CAJICA!H31+COTA!H31+CHIA!H31+ZIPAQUIRA!H31+TABIO!H31+TENJO!H31+SOPO!H31+GACHANCIPA!H31+TOCANCIPA!H31+NEMOCON!H31+COGUA!H31</f>
        <v>31966</v>
      </c>
      <c r="L31" s="11" t="s">
        <v>85</v>
      </c>
      <c r="M31" s="12">
        <f>CAJICA!M31+COTA!M32+CHIA!M31+ZIPAQUIRA!M31+TABIO!M31+TENJO!M31+SOPO!M31+GACHANCIPA!M31+TOCANCIPA!M31+NEMOCON!M31+COGUA!M31</f>
        <v>6</v>
      </c>
      <c r="N31" s="13">
        <f>M31/C7*100000</f>
        <v>1.893562833</v>
      </c>
      <c r="O31" s="12">
        <f>CAJICA!O31+COTA!O32+CHIA!O31+ZIPAQUIRA!O31+TABIO!O31+TENJO!O31+SOPO!O31+GACHANCIPA!O31+TOCANCIPA!O31+NEMOCON!O31+COGUA!O31</f>
        <v>2</v>
      </c>
      <c r="P31" s="13">
        <f>O31/D7*100000</f>
        <v>0.6099457758</v>
      </c>
      <c r="Q31" s="12">
        <f>CAJICA!Q31+COTA!Q32+CHIA!Q31+ZIPAQUIRA!Q31+TABIO!Q31+TENJO!Q31+SOPO!Q31+GACHANCIPA!Q31+TOCANCIPA!Q31+NEMOCON!Q31+COGUA!Q31</f>
        <v>4</v>
      </c>
      <c r="R31" s="13">
        <f>Q31/E7*100000</f>
        <v>1.182837035</v>
      </c>
      <c r="S31" s="12">
        <f>CAJICA!S31+COTA!S32+CHIA!S31+ZIPAQUIRA!S31+TABIO!S31+TENJO!S31+SOPO!S31+GACHANCIPA!S31+TOCANCIPA!S31+NEMOCON!S31+COGUA!S31</f>
        <v>4</v>
      </c>
      <c r="T31" s="13">
        <f>S31/F7*100000</f>
        <v>1.147700439</v>
      </c>
      <c r="U31" s="12">
        <f>CAJICA!U31+COTA!U32+CHIA!U31+ZIPAQUIRA!U31+TABIO!U31+TENJO!U31+SOPO!U31+GACHANCIPA!U31+TOCANCIPA!U31+NEMOCON!U31+COGUA!U31</f>
        <v>8</v>
      </c>
      <c r="V31" s="13">
        <f>U31/G7*100000</f>
        <v>2.230394139</v>
      </c>
      <c r="W31" s="12">
        <f>CAJICA!W31+COTA!W32+CHIA!W31+ZIPAQUIRA!W31+TABIO!W31+TENJO!W31+SOPO!W31+GACHANCIPA!W31+TOCANCIPA!W31+NEMOCON!W31+COGUA!W31</f>
        <v>1</v>
      </c>
      <c r="X31" s="13">
        <f>W31/H7*100000</f>
        <v>0.2713917785</v>
      </c>
      <c r="Y31" s="13">
        <f t="shared" ref="Y31:Z31" si="38">((M31+O31+Q31+S31)/4)</f>
        <v>4</v>
      </c>
      <c r="Z31" s="13">
        <f t="shared" si="38"/>
        <v>1.208511521</v>
      </c>
      <c r="AA31" s="13">
        <f t="shared" si="3"/>
        <v>6</v>
      </c>
      <c r="AB31" s="13">
        <f t="shared" si="4"/>
        <v>1.250892958</v>
      </c>
      <c r="AC31" s="14" t="s">
        <v>22</v>
      </c>
    </row>
    <row r="32" ht="14.25" customHeight="1">
      <c r="B32" s="32" t="s">
        <v>86</v>
      </c>
      <c r="C32" s="33">
        <f>CAJICA!C32+COTA!C32+CHIA!C32+ZIPAQUIRA!C32+TABIO!C32+TENJO!C32+SOPO!C32+GACHANCIPA!C32+TOCANCIPA!C32+NEMOCON!C32+COGUA!C32</f>
        <v>20728</v>
      </c>
      <c r="D32" s="33">
        <f>CAJICA!D32+COTA!D32+CHIA!D32+ZIPAQUIRA!D32+TABIO!D32+TENJO!D32+SOPO!D32+GACHANCIPA!D32+TOCANCIPA!D32+NEMOCON!D32+COGUA!D32</f>
        <v>29868</v>
      </c>
      <c r="E32" s="33">
        <f>CAJICA!E32+COTA!E32+CHIA!E32+ZIPAQUIRA!E32+TABIO!E32+TENJO!E32+SOPO!E32+GACHANCIPA!E32+TOCANCIPA!A32+NEMOCON!E32+COGUA!E32</f>
        <v>26370</v>
      </c>
      <c r="F32" s="33">
        <f>CAJICA!F32+COTA!F32+CHIA!F32+ZIPAQUIRA!F32+TABIO!F32+TENJO!F32+SOPO!F32+GACHANCIPA!F32+TOCANCIPA!F32+NEMOCON!F32+COGUA!F32</f>
        <v>31636</v>
      </c>
      <c r="G32" s="33">
        <f>CAJICA!G32+COTA!G32+CHIA!G32+ZIPAQUIRA!G32+TABIO!G32+TENJO!G32+SOPO!G32+GACHANCIPA!G32+TOCANCIPA!G32+NEMOCON!G32+COGUA!G32</f>
        <v>31874</v>
      </c>
      <c r="H32" s="33">
        <f>CAJICA!H32+COTA!H32+CHIA!H32+ZIPAQUIRA!H32+TABIO!H32+TENJO!H32+SOPO!H32+GACHANCIPA!H32+TOCANCIPA!H32+NEMOCON!H32+COGUA!H32</f>
        <v>32678</v>
      </c>
      <c r="L32" s="11" t="s">
        <v>87</v>
      </c>
      <c r="M32" s="12">
        <f>CAJICA!M32+COTA!M33+CHIA!M32+ZIPAQUIRA!M32+TABIO!M32+TENJO!M32+SOPO!M32+GACHANCIPA!M32+TOCANCIPA!M32+NEMOCON!M32+COGUA!M32</f>
        <v>61</v>
      </c>
      <c r="N32" s="34">
        <f>M32/C7*100</f>
        <v>0.01925122214</v>
      </c>
      <c r="O32" s="12">
        <f>CAJICA!O32+COTA!O33+CHIA!O32+ZIPAQUIRA!O32+TABIO!O32+TENJO!O32+SOPO!O32+GACHANCIPA!O32+TOCANCIPA!O32+NEMOCON!O32+COGUA!O32</f>
        <v>76</v>
      </c>
      <c r="P32" s="34">
        <f>O32/D7*100</f>
        <v>0.02317793948</v>
      </c>
      <c r="Q32" s="12">
        <f>CAJICA!Q32+COTA!Q33+CHIA!Q32+ZIPAQUIRA!Q32+TABIO!Q32+TENJO!Q32+SOPO!Q32+GACHANCIPA!Q32+TOCANCIPA!Q32+NEMOCON!Q32+COGUA!Q32</f>
        <v>112</v>
      </c>
      <c r="R32" s="34">
        <f>Q32/E7*100</f>
        <v>0.03311943697</v>
      </c>
      <c r="S32" s="12">
        <f>CAJICA!S32+COTA!S33+CHIA!S32+ZIPAQUIRA!S32+TABIO!S32+TENJO!S32+SOPO!S32+GACHANCIPA!S32+TOCANCIPA!S32+NEMOCON!S32+COGUA!S32</f>
        <v>114</v>
      </c>
      <c r="T32" s="34">
        <f>S32/F7*100</f>
        <v>0.0327094625</v>
      </c>
      <c r="U32" s="12">
        <f>CAJICA!U32+COTA!U33+CHIA!U32+ZIPAQUIRA!U32+TABIO!U32+TENJO!U32+SOPO!U32+GACHANCIPA!U32+TOCANCIPA!U32+NEMOCON!U32+COGUA!U32</f>
        <v>143</v>
      </c>
      <c r="V32" s="34">
        <f>U32/G7*100</f>
        <v>0.03986829523</v>
      </c>
      <c r="W32" s="12">
        <f>CAJICA!W32+COTA!W33+CHIA!W32+ZIPAQUIRA!W32+TABIO!W32+TENJO!W32+SOPO!W32+GACHANCIPA!W32+TOCANCIPA!W32+NEMOCON!W32+COGUA!W32</f>
        <v>78</v>
      </c>
      <c r="X32" s="34">
        <f>W32/H7*100</f>
        <v>0.02116855872</v>
      </c>
      <c r="Y32" s="13">
        <f t="shared" ref="Y32:Z32" si="39">((M32+O32+Q32+S32)/4)</f>
        <v>90.75</v>
      </c>
      <c r="Z32" s="35">
        <f t="shared" si="39"/>
        <v>0.02706451527</v>
      </c>
      <c r="AA32" s="13">
        <f t="shared" si="3"/>
        <v>128.5</v>
      </c>
      <c r="AB32" s="13">
        <f t="shared" si="4"/>
        <v>0.03051842697</v>
      </c>
      <c r="AC32" s="14" t="s">
        <v>48</v>
      </c>
    </row>
    <row r="33" ht="14.25" customHeight="1">
      <c r="B33" s="32" t="s">
        <v>88</v>
      </c>
      <c r="C33" s="33">
        <f>CAJICA!C33+COTA!C33+CHIA!C33+ZIPAQUIRA!C33+TABIO!C33+TENJO!C33+SOPO!C33+GACHANCIPA!C33+TOCANCIPA!C33+NEMOCON!C33+COGUA!C33</f>
        <v>20814</v>
      </c>
      <c r="D33" s="33">
        <f>CAJICA!D33+COTA!D33+CHIA!D33+ZIPAQUIRA!D33+TABIO!D33+TENJO!D33+SOPO!D33+GACHANCIPA!D33+TOCANCIPA!D33+NEMOCON!D33+COGUA!D33</f>
        <v>29816</v>
      </c>
      <c r="E33" s="33">
        <f>CAJICA!E33+COTA!E33+CHIA!E33+ZIPAQUIRA!E33+TABIO!E33+TENJO!E33+SOPO!E33+GACHANCIPA!E33+TOCANCIPA!E33+NEMOCON!E33+COGUA!E33</f>
        <v>30194</v>
      </c>
      <c r="F33" s="33">
        <f>CAJICA!F33+COTA!F33+CHIA!F33+ZIPAQUIRA!F33+TABIO!F33+TENJO!F33+SOPO!F33+GACHANCIPA!F33+TOCANCIPA!F33+NEMOCON!F33+COGUA!F33</f>
        <v>30633</v>
      </c>
      <c r="G33" s="33">
        <f>CAJICA!G33+COTA!G33+CHIA!G33+ZIPAQUIRA!G33+TABIO!G33+TENJO!G33+SOPO!G33+GACHANCIPA!G33+TOCANCIPA!G33+NEMOCON!G33+COGUA!G33</f>
        <v>30706</v>
      </c>
      <c r="H33" s="33">
        <f>CAJICA!H33+COTA!H33+CHIA!H33+ZIPAQUIRA!H33+TABIO!H33+TENJO!H33+SOPO!H33+GACHANCIPA!H33+TOCANCIPA!H33+NEMOCON!H33+COGUA!H33</f>
        <v>31288</v>
      </c>
      <c r="L33" s="11" t="s">
        <v>89</v>
      </c>
      <c r="M33" s="12">
        <f>CAJICA!M33+COTA!M34+CHIA!M33+ZIPAQUIRA!M33+TABIO!M33+TENJO!M33+SOPO!M33+GACHANCIPA!M33+TOCANCIPA!M33+NEMOCON!M33+COGUA!M33</f>
        <v>33320</v>
      </c>
      <c r="N33" s="13">
        <f>M33/C7*10000</f>
        <v>1051.55856</v>
      </c>
      <c r="O33" s="12">
        <f>CAJICA!O33+COTA!O34+CHIA!O33+ZIPAQUIRA!O33+TABIO!O33+TENJO!O33+SOPO!O33+GACHANCIPA!O33+TOCANCIPA!O33+NEMOCON!O33+COGUA!O33</f>
        <v>43672</v>
      </c>
      <c r="P33" s="13">
        <f>O33/D7*10000</f>
        <v>1331.877596</v>
      </c>
      <c r="Q33" s="12">
        <f>CAJICA!Q33+COTA!Q34+CHIA!Q33+ZIPAQUIRA!Q33+TABIO!Q33+TENJO!Q33+SOPO!Q33+GACHANCIPA!Q33+TOCANCIPA!Q33+NEMOCON!Q33+COGUA!Q33</f>
        <v>59915</v>
      </c>
      <c r="R33" s="13">
        <f>Q33/E7*10000</f>
        <v>1771.742023</v>
      </c>
      <c r="S33" s="12">
        <f>CAJICA!S33+COTA!S34+CHIA!S33+ZIPAQUIRA!S33+TABIO!S33+TENJO!S33+SOPO!S33+GACHANCIPA!S33+TOCANCIPA!S33+NEMOCON!S33+COGUA!S33</f>
        <v>50774</v>
      </c>
      <c r="T33" s="13">
        <f>S33/F7*10000</f>
        <v>1456.833552</v>
      </c>
      <c r="U33" s="12">
        <f>CAJICA!U33+COTA!U34+CHIA!U33+ZIPAQUIRA!U33+TABIO!U33+TENJO!U33+SOPO!U33+GACHANCIPA!U33+TOCANCIPA!U33+NEMOCON!U33+COGUA!U33</f>
        <v>56210</v>
      </c>
      <c r="V33" s="13">
        <f>U33/G7*10000</f>
        <v>1567.130682</v>
      </c>
      <c r="W33" s="12">
        <f>CAJICA!W33+COTA!W34+CHIA!W33+ZIPAQUIRA!W33+TABIO!W33+TENJO!W33+SOPO!W33+GACHANCIPA!W33+TOCANCIPA!W33+NEMOCON!W33+COGUA!W33</f>
        <v>28988</v>
      </c>
      <c r="X33" s="13">
        <f>W33/H7*10000</f>
        <v>786.7104874</v>
      </c>
      <c r="Y33" s="13">
        <f t="shared" ref="Y33:Z33" si="40">((M33+O33+Q33+S33)/4)</f>
        <v>46920.25</v>
      </c>
      <c r="Z33" s="13">
        <f t="shared" si="40"/>
        <v>1403.002933</v>
      </c>
      <c r="AA33" s="13">
        <f t="shared" si="3"/>
        <v>53492</v>
      </c>
      <c r="AB33" s="13">
        <f t="shared" si="4"/>
        <v>1176.920584</v>
      </c>
      <c r="AC33" s="14" t="s">
        <v>48</v>
      </c>
    </row>
    <row r="34" ht="14.25" customHeight="1">
      <c r="B34" s="32" t="s">
        <v>90</v>
      </c>
      <c r="C34" s="36">
        <f>CAJICA!C34+COTA!C34+CHIA!C34+ZIPAQUIRA!C34+TABIO!C34+TENJO!C34+SOPO!C34+GACHANCIPA!C34+TOCANCIPA!C34+NEMOCON!C34+COGUA!C34</f>
        <v>45393</v>
      </c>
      <c r="D34" s="36">
        <f>CAJICA!D34+COTA!D34+CHIA!D34+ZIPAQUIRA!D34+TABIO!D34+TENJO!D34+SOPO!D34+GACHANCIPA!D34+TOCANCIPA!A35+NEMOCON!D34+COGUA!D34</f>
        <v>36836</v>
      </c>
      <c r="E34" s="36">
        <f>CAJICA!E34+COTA!E34+CHIA!E34+ZIPAQUIRA!E34+TABIO!E34+TENJO!E34+SOPO!E34+GACHANCIPA!E34+TOCANCIPA!E34+NEMOCON!E34+COGUA!E34</f>
        <v>47133</v>
      </c>
      <c r="F34" s="36">
        <f>CAJICA!F34+COTA!F34+CHIA!F34+ZIPAQUIRA!F34+TABIO!F34+TENJO!F34+SOPO!F34+GACHANCIPA!F34+TOCANCIPA!F34+NEMOCON!F34+COGUA!F34</f>
        <v>47561</v>
      </c>
      <c r="G34" s="36">
        <f>CAJICA!G34+COTA!G34+CHIA!G34+ZIPAQUIRA!G34+TABIO!G34+TENJO!G34+SOPO!G34+GACHANCIPA!G34+TOCANCIPA!G34+NEMOCON!G34+COGUA!G34</f>
        <v>47712</v>
      </c>
      <c r="H34" s="33">
        <f>CAJICA!H34+COTA!H34+CHIA!H34+ZIPAQUIRA!H34+TABIO!H34+TENJO!H34+SOPO!H34+GACHANCIPA!H34+TOCANCIPA!H34+NEMOCON!H34+COGUA!H34</f>
        <v>44560</v>
      </c>
      <c r="L34" s="11" t="s">
        <v>91</v>
      </c>
      <c r="M34" s="12">
        <f>CAJICA!M34+COTA!M35+CHIA!M34+ZIPAQUIRA!M34+TABIO!M34+TENJO!M34+SOPO!M34+GACHANCIPA!M34+TOCANCIPA!M34+NEMOCON!M34+COGUA!M34</f>
        <v>12010</v>
      </c>
      <c r="N34" s="13">
        <f>M34/C7*10000</f>
        <v>379.0281604</v>
      </c>
      <c r="O34" s="12">
        <f>CAJICA!O34+COTA!O35+CHIA!O34+ZIPAQUIRA!O34+TABIO!O34+TENJO!O34+SOPO!O34+GACHANCIPA!O34+TOCANCIPA!O34+NEMOCON!O34+COGUA!O34</f>
        <v>13144</v>
      </c>
      <c r="P34" s="13">
        <f>O34/D7*10000</f>
        <v>400.8563639</v>
      </c>
      <c r="Q34" s="12">
        <f>CAJICA!Q34+COTA!Q35+CHIA!Q34+ZIPAQUIRA!Q34+TABIO!Q34+TENJO!Q34+SOPO!Q34+GACHANCIPA!Q34+TOCANCIPA!Q34+NEMOCON!Q34+COGUA!Q34</f>
        <v>21852</v>
      </c>
      <c r="R34" s="13">
        <f>Q34/E7*10000</f>
        <v>646.183872</v>
      </c>
      <c r="S34" s="12">
        <f>CAJICA!S34+COTA!S35+CHIA!S34+ZIPAQUIRA!S34+TABIO!S34+TENJO!S34+SOPO!S34+GACHANCIPA!S34+TOCANCIPA!S34+NEMOCON!S34+COGUA!S34</f>
        <v>18216</v>
      </c>
      <c r="T34" s="13">
        <f>S34/F7*10000</f>
        <v>522.6627798</v>
      </c>
      <c r="U34" s="12">
        <f>CAJICA!U34+COTA!U35+CHIA!U34+ZIPAQUIRA!U34+TABIO!U34+TENJO!U34+SOPO!U34+GACHANCIPA!U34+TOCANCIPA!U34+NEMOCON!U34+COGUA!U34</f>
        <v>24079</v>
      </c>
      <c r="V34" s="13">
        <f>U34/G7*10000</f>
        <v>671.3207558</v>
      </c>
      <c r="W34" s="12">
        <f>CAJICA!W34+COTA!W35+CHIA!W34+ZIPAQUIRA!W34+TABIO!W34+TENJO!W34+SOPO!W34+GACHANCIPA!W34+TOCANCIPA!W34+NEMOCON!W34+COGUA!W34</f>
        <v>13567</v>
      </c>
      <c r="X34" s="13">
        <f>W34/H7*10000</f>
        <v>368.1972258</v>
      </c>
      <c r="Y34" s="13">
        <f t="shared" ref="Y34:Z34" si="41">((M34+O34+Q34+S34)/4)</f>
        <v>16305.5</v>
      </c>
      <c r="Z34" s="13">
        <f t="shared" si="41"/>
        <v>487.182794</v>
      </c>
      <c r="AA34" s="13">
        <f t="shared" si="3"/>
        <v>21147.5</v>
      </c>
      <c r="AB34" s="13">
        <f t="shared" si="4"/>
        <v>519.7589908</v>
      </c>
      <c r="AC34" s="14" t="s">
        <v>48</v>
      </c>
    </row>
    <row r="35" ht="14.25" customHeight="1">
      <c r="B35" s="32" t="s">
        <v>92</v>
      </c>
      <c r="C35" s="33">
        <f>CAJICA!C35+COTA!C35+CHIA!C35+ZIPAQUIRA!C35+TABIO!C35+TENJO!C35+SOPO!C35+GACHANCIPA!C35+TOCANCIPA!C35+NEMOCON!C35+COGUA!C35</f>
        <v>93219</v>
      </c>
      <c r="D35" s="33">
        <f>CAJICA!D35+COTA!D35+CHIA!D35+ZIPAQUIRA!D35+TABIO!D35+TENJO!D35+SOPO!D35+GACHANCIPA!D35+TOCANCIPA!D35+NEMOCON!D35+COGUA!D35</f>
        <v>107283</v>
      </c>
      <c r="E35" s="33">
        <f>CAJICA!E35+COTA!E35+CHIA!E35+ZIPAQUIRA!E35+TABIO!E35+TENJO!E35+SOPO!E35+GACHANCIPA!E35+TOCANCIPA!E35+NEMOCON!E35+COGUA!E35</f>
        <v>101282</v>
      </c>
      <c r="F35" s="33">
        <f>CAJICA!F35+COTA!F35+CHIA!F35+ZIPAQUIRA!F35+TABIO!F35+TENJO!F35+SOPO!F35+GACHANCIPA!F35+TOCANCIPA!F35+NEMOCON!F35+COGUA!F35</f>
        <v>105201</v>
      </c>
      <c r="G35" s="33">
        <f>CAJICA!G35+COTA!G35+CHIA!G35+ZIPAQUIRA!G35+TABIO!G35+TENJO!G35+SOPO!G35+GACHANCIPA!G35+TOCANCIPA!G35+NEMOCON!G35+COGUA!G35</f>
        <v>109425</v>
      </c>
      <c r="H35" s="33">
        <f>CAJICA!H35+COTA!H35+CHIA!H35+ZIPAQUIRA!H35+TABIO!H35+TENJO!H35+SOPO!H35+GACHANCIPA!H35+TOCANCIPA!H35+NEMOCON!H35+COGUA!H35</f>
        <v>113176</v>
      </c>
      <c r="L35" s="11" t="s">
        <v>93</v>
      </c>
      <c r="M35" s="12">
        <f>CAJICA!M35+COTA!M36+CHIA!M35+ZIPAQUIRA!M35+TABIO!M35+TENJO!M35+SOPO!M35+GACHANCIPA!M35+TOCANCIPA!M35+NEMOCON!M35+COGUA!M35</f>
        <v>177</v>
      </c>
      <c r="N35" s="13">
        <f>M35/M4*1000</f>
        <v>56.94980695</v>
      </c>
      <c r="O35" s="12">
        <f>CAJICA!O35+COTA!O36+CHIA!O35+ZIPAQUIRA!O35+TABIO!O35+TENJO!O35+SOPO!O35+GACHANCIPA!O35+TOCANCIPA!O35+NEMOCON!O35+COGUA!O35</f>
        <v>194</v>
      </c>
      <c r="P35" s="13">
        <f>O35/O4*1000</f>
        <v>56.90818422</v>
      </c>
      <c r="Q35" s="12">
        <f>CAJICA!Q35+COTA!Q36+CHIA!Q35+ZIPAQUIRA!Q35+TABIO!Q35+TENJO!Q35+SOPO!Q35+GACHANCIPA!Q35+TOCANCIPA!Q35+NEMOCON!Q35+COGUA!Q35</f>
        <v>199</v>
      </c>
      <c r="R35" s="13">
        <f>Q35/Q4*1000</f>
        <v>55.99324705</v>
      </c>
      <c r="S35" s="12">
        <f>CAJICA!S35+COTA!S36+CHIA!S35+ZIPAQUIRA!S35+TABIO!S35+TENJO!S35+SOPO!S35+GACHANCIPA!S35+TOCANCIPA!S35+NEMOCON!S35+COGUA!S35</f>
        <v>143</v>
      </c>
      <c r="T35" s="13">
        <f>S35/S4*1000</f>
        <v>42.38292828</v>
      </c>
      <c r="U35" s="12">
        <f>CAJICA!U35+COTA!U36+CHIA!U35+ZIPAQUIRA!U35+TABIO!U35+TENJO!U35+SOPO!U35+GACHANCIPA!U35+TOCANCIPA!U35+NEMOCON!U35+COGUA!U35</f>
        <v>240</v>
      </c>
      <c r="V35" s="13">
        <f>U35/U4*1000</f>
        <v>73.59705612</v>
      </c>
      <c r="W35" s="12">
        <f>CAJICA!W35+COTA!W36+CHIA!W35+ZIPAQUIRA!W35+TABIO!W35+TENJO!W35+SOPO!W35+GACHANCIPA!W35+TOCANCIPA!W35+NEMOCON!W35+COGUA!W35</f>
        <v>125</v>
      </c>
      <c r="X35" s="13">
        <f>W35/W4*1000</f>
        <v>82.18277449</v>
      </c>
      <c r="Y35" s="13">
        <f t="shared" ref="Y35:Z35" si="42">((M35+O35+Q35+S35)/4)</f>
        <v>178.25</v>
      </c>
      <c r="Z35" s="13">
        <f t="shared" si="42"/>
        <v>53.05854162</v>
      </c>
      <c r="AA35" s="13">
        <f t="shared" si="3"/>
        <v>191.5</v>
      </c>
      <c r="AB35" s="13">
        <f t="shared" si="4"/>
        <v>77.8899153</v>
      </c>
      <c r="AC35" s="14" t="s">
        <v>48</v>
      </c>
    </row>
    <row r="36" ht="14.25" customHeight="1">
      <c r="B36" s="32" t="s">
        <v>94</v>
      </c>
      <c r="C36" s="20">
        <f>CAJICA!C36+COTA!C36+CHIA!C36+ZIPAQUIRA!C36+TABIO!C36+TENJO!C36+SOPO!C36+GACHANCIPA!C36+TOCANCIPA!A36+NEMOCON!C36+COGUA!C36</f>
        <v>21532</v>
      </c>
      <c r="D36" s="33">
        <f>CAJICA!D36+COTA!D36+CHIA!D36+ZIPAQUIRA!D36+TABIO!D36+TENJO!D36+SOPO!D36+GACHANCIPA!D36+TOCANCIPA!D36+NEMOCON!D36+COGUA!D36</f>
        <v>26131</v>
      </c>
      <c r="E36" s="33">
        <f>CAJICA!E36+COTA!E36+CHIA!E36+ZIPAQUIRA!E36+TABIO!E36+TENJO!E36+SOPO!E36+GACHANCIPA!E36+TOCANCIPA!E36+NEMOCON!E36+COGUA!E36</f>
        <v>101964</v>
      </c>
      <c r="F36" s="33">
        <f>CAJICA!F36+COTA!F36+CHIA!F36+ZIPAQUIRA!F36+TABIO!F36+TENJO!F36+SOPO!F36+GACHANCIPA!F36+TOCANCIPA!F36+NEMOCON!F36+COGUA!F36</f>
        <v>105100</v>
      </c>
      <c r="G36" s="33">
        <f>CAJICA!G36+COTA!G36+CHIA!G36+ZIPAQUIRA!G36+TABIO!G36+TENJO!G36+SOPO!G36+GACHANCIPA!G36+TOCANCIPA!G36+NEMOCON!G36+COGUA!G36</f>
        <v>39284</v>
      </c>
      <c r="H36" s="33">
        <f>CAJICA!H36+COTA!H36+CHIA!H36+ZIPAQUIRA!H36+TABIO!H36+TENJO!H36+SOPO!H36+GACHANCIPA!H36+TOCANCIPA!H36+NEMOCON!H36+COGUA!H36</f>
        <v>41403</v>
      </c>
      <c r="L36" s="11" t="s">
        <v>95</v>
      </c>
      <c r="M36" s="12">
        <f>CAJICA!M36+COTA!M37+CHIA!M36+ZIPAQUIRA!M36+TABIO!M36+TENJO!M36+SOPO!M36+GACHANCIPA!M36+TOCANCIPA!M36+NEMOCON!M36+COGUA!M36</f>
        <v>25</v>
      </c>
      <c r="N36" s="13">
        <f>M36/M4*1000</f>
        <v>8.043758044</v>
      </c>
      <c r="O36" s="12">
        <f>CAJICA!O36+COTA!O37+CHIA!O36+ZIPAQUIRA!O36+TABIO!O36+TENJO!O36+SOPO!O36+GACHANCIPA!O36+TOCANCIPA!O36+NEMOCON!O36+COGUA!O36</f>
        <v>15</v>
      </c>
      <c r="P36" s="13">
        <f>O36/O4*1000</f>
        <v>4.400117336</v>
      </c>
      <c r="Q36" s="12">
        <f>CAJICA!Q36+COTA!Q37+CHIA!Q36+ZIPAQUIRA!Q36+TABIO!Q36+TENJO!Q36+SOPO!Q36+GACHANCIPA!Q36+TOCANCIPA!Q36+NEMOCON!Q36+COGUA!Q36</f>
        <v>21</v>
      </c>
      <c r="R36" s="13">
        <f>Q36/Q4*1000</f>
        <v>5.908835115</v>
      </c>
      <c r="S36" s="12">
        <f>CAJICA!S36+COTA!S37+CHIA!S36+ZIPAQUIRA!S36+TABIO!S36+TENJO!S36+SOPO!S36+GACHANCIPA!S36+TOCANCIPA!S36+NEMOCON!S36+COGUA!S36</f>
        <v>19</v>
      </c>
      <c r="T36" s="13">
        <f>S36/S4*1000</f>
        <v>5.631298162</v>
      </c>
      <c r="U36" s="12">
        <f>CAJICA!U36+COTA!U37+CHIA!U36+ZIPAQUIRA!U36+TABIO!U36+TENJO!U36+SOPO!U36+GACHANCIPA!U36+TOCANCIPA!U36+NEMOCON!U36+COGUA!U36</f>
        <v>32</v>
      </c>
      <c r="V36" s="13">
        <f>U36/U4*1000</f>
        <v>9.812940816</v>
      </c>
      <c r="W36" s="12">
        <f>CAJICA!W36+COTA!W37+CHIA!W36+ZIPAQUIRA!W36+TABIO!W36+TENJO!W36+SOPO!W36+GACHANCIPA!W36+TOCANCIPA!W36+NEMOCON!W36+COGUA!W36</f>
        <v>16</v>
      </c>
      <c r="X36" s="13">
        <f>W36/W4*1000</f>
        <v>10.51939513</v>
      </c>
      <c r="Y36" s="13">
        <f t="shared" ref="Y36:Z36" si="43">((M36+O36+Q36+S36)/4)</f>
        <v>20</v>
      </c>
      <c r="Z36" s="13">
        <f t="shared" si="43"/>
        <v>5.996002165</v>
      </c>
      <c r="AA36" s="13">
        <f t="shared" si="3"/>
        <v>25.5</v>
      </c>
      <c r="AB36" s="13">
        <f t="shared" si="4"/>
        <v>10.16616798</v>
      </c>
      <c r="AC36" s="14" t="s">
        <v>48</v>
      </c>
    </row>
    <row r="37" ht="14.25" customHeight="1">
      <c r="L37" s="26" t="s">
        <v>96</v>
      </c>
      <c r="M37" s="12">
        <f>CAJICA!M37+COTA!M38+CHIA!M37+ZIPAQUIRA!M37+TABIO!M37+TENJO!M37+SOPO!M37+GACHANCIPA!M37+TOCANCIPA!M37+NEMOCON!M37+COGUA!M37</f>
        <v>1</v>
      </c>
      <c r="N37" s="12">
        <f>CAJICA!N37+COTA!N37+CHIA!N37+ZIPAQUIRA!N37+TABIO!N37+TENJO!N37+SOPO!N37+GACHANCIPA!N37+TOCANCIPA!N37+NEMOCON!N37+COGUA!N37</f>
        <v>0</v>
      </c>
      <c r="O37" s="12">
        <f>CAJICA!O37+COTA!O38+CHIA!O37+ZIPAQUIRA!O37+TABIO!O37+TENJO!O37+SOPO!O37+GACHANCIPA!O37+TOCANCIPA!O37+NEMOCON!O37+COGUA!O37</f>
        <v>5</v>
      </c>
      <c r="P37" s="12">
        <f>CAJICA!P37+COTA!P37+CHIA!P37+ZIPAQUIRA!P37+TABIO!P37+TENJO!P37+SOPO!P37+GACHANCIPA!P37+TOCANCIPA!P37+NEMOCON!P37+COGUA!P37</f>
        <v>2.145922747</v>
      </c>
      <c r="Q37" s="12">
        <f>CAJICA!Q37+COTA!Q38+CHIA!Q37+ZIPAQUIRA!Q37+TABIO!Q37+TENJO!Q37+SOPO!Q37+GACHANCIPA!Q37+TOCANCIPA!Q37+NEMOCON!Q37+COGUA!Q37</f>
        <v>0</v>
      </c>
      <c r="R37" s="12">
        <f>CAJICA!R37+COTA!R37+CHIA!R37+ZIPAQUIRA!R37+TABIO!R37+TENJO!R37+SOPO!R37+GACHANCIPA!R37+TOCANCIPA!R37+NEMOCON!R37+COGUA!R37</f>
        <v>0</v>
      </c>
      <c r="S37" s="12">
        <f>CAJICA!S37+COTA!S38+CHIA!S37+ZIPAQUIRA!S37+TABIO!S37+TENJO!S37+SOPO!S37+GACHANCIPA!S37+TOCANCIPA!S37+NEMOCON!S37+COGUA!S37</f>
        <v>1</v>
      </c>
      <c r="T37" s="12">
        <f>CAJICA!T37+COTA!T37+CHIA!T37+ZIPAQUIRA!T37+TABIO!T37+TENJO!T37+SOPO!T37+GACHANCIPA!T37+TOCANCIPA!T37+NEMOCON!T37+COGUA!T37</f>
        <v>1.145475372</v>
      </c>
      <c r="U37" s="12">
        <f>CAJICA!U37+COTA!U38+CHIA!U37+ZIPAQUIRA!U37+TABIO!U37+TENJO!U37+SOPO!U37+GACHANCIPA!U37+TOCANCIPA!U37+NEMOCON!U37+COGUA!U37</f>
        <v>7</v>
      </c>
      <c r="V37" s="12">
        <f>CAJICA!V37+COTA!V37+CHIA!V37+ZIPAQUIRA!V37+TABIO!V37+TENJO!V37+SOPO!V37+GACHANCIPA!V37+TOCANCIPA!V37+NEMOCON!V37+COGUA!V37</f>
        <v>2.249718785</v>
      </c>
      <c r="W37" s="12">
        <f>CAJICA!W37+COTA!W38+CHIA!W37+ZIPAQUIRA!W37+TABIO!W37+TENJO!W37+SOPO!W37+GACHANCIPA!W37+TOCANCIPA!W37+NEMOCON!W37+COGUA!W37</f>
        <v>2</v>
      </c>
      <c r="X37" s="12">
        <f>CAJICA!X37+COTA!X37+CHIA!X37+ZIPAQUIRA!X37+TABIO!X37+TENJO!X37+SOPO!X37+GACHANCIPA!X37+TOCANCIPA!X37+NEMOCON!X37+COGUA!X37</f>
        <v>2.583979328</v>
      </c>
      <c r="Y37" s="13">
        <f t="shared" ref="Y37:Z37" si="44">((M37+O37+Q37+S37)/4)</f>
        <v>1.75</v>
      </c>
      <c r="Z37" s="13">
        <f t="shared" si="44"/>
        <v>0.8228495298</v>
      </c>
      <c r="AA37" s="13">
        <f t="shared" si="3"/>
        <v>4</v>
      </c>
      <c r="AB37" s="13">
        <f t="shared" si="4"/>
        <v>2.416849057</v>
      </c>
      <c r="AC37" s="14" t="s">
        <v>48</v>
      </c>
    </row>
    <row r="38" ht="14.25" customHeight="1">
      <c r="L38" s="11" t="s">
        <v>97</v>
      </c>
      <c r="M38" s="12">
        <f>CAJICA!M38+COTA!M39+CHIA!M38+ZIPAQUIRA!M38+TABIO!M38+TENJO!M38+SOPO!M38+GACHANCIPA!M38+TOCANCIPA!M38+NEMOCON!M38+COGUA!M38</f>
        <v>2</v>
      </c>
      <c r="N38" s="13">
        <f>M38/C7*10000</f>
        <v>0.0631187611</v>
      </c>
      <c r="O38" s="12">
        <f>CAJICA!O38+COTA!O39+CHIA!O38+ZIPAQUIRA!O38+TABIO!O38+TENJO!O38+SOPO!O38+GACHANCIPA!O38+TOCANCIPA!O38+NEMOCON!O38+COGUA!O38</f>
        <v>5</v>
      </c>
      <c r="P38" s="13">
        <f>O38/E7*10000</f>
        <v>0.1478546293</v>
      </c>
      <c r="Q38" s="12">
        <f>CAJICA!Q38+COTA!Q39+CHIA!Q38+ZIPAQUIRA!Q38+TABIO!Q38+TENJO!Q38+SOPO!Q38+GACHANCIPA!Q38+TOCANCIPA!Q38+NEMOCON!Q38+COGUA!Q38</f>
        <v>9</v>
      </c>
      <c r="R38" s="13">
        <f>Q38/E7*10000</f>
        <v>0.2661383328</v>
      </c>
      <c r="S38" s="12">
        <f>CAJICA!S38+COTA!S39+CHIA!S38+ZIPAQUIRA!S38+TABIO!S38+TENJO!S38+SOPO!S38+GACHANCIPA!S38+TOCANCIPA!S38+NEMOCON!S38+COGUA!S38</f>
        <v>24</v>
      </c>
      <c r="T38" s="13">
        <f>S38/F7*10000</f>
        <v>0.6886202632</v>
      </c>
      <c r="U38" s="12">
        <f>CAJICA!U38+COTA!U39+CHIA!U38+ZIPAQUIRA!U38+TABIO!U38+TENJO!U38+SOPO!U38+GACHANCIPA!U38+TOCANCIPA!U38+NEMOCON!U38+COGUA!U38</f>
        <v>20</v>
      </c>
      <c r="V38" s="13">
        <f>U38/G7*10000</f>
        <v>0.5575985346</v>
      </c>
      <c r="W38" s="12">
        <f>CAJICA!W38+COTA!W39+CHIA!W38+ZIPAQUIRA!W38+TABIO!W38+TENJO!W38+SOPO!W38+GACHANCIPA!W38+TOCANCIPA!W38+NEMOCON!W38+COGUA!W38</f>
        <v>60</v>
      </c>
      <c r="X38" s="13">
        <f>W38/H7*10000</f>
        <v>1.628350671</v>
      </c>
      <c r="Y38" s="13">
        <f t="shared" ref="Y38:Z38" si="45">((M38+O38+Q38+S38)/4)</f>
        <v>10</v>
      </c>
      <c r="Z38" s="13">
        <f t="shared" si="45"/>
        <v>0.2914329966</v>
      </c>
      <c r="AA38" s="13">
        <f t="shared" si="3"/>
        <v>22</v>
      </c>
      <c r="AB38" s="13">
        <f t="shared" si="4"/>
        <v>1.092974603</v>
      </c>
      <c r="AC38" s="14" t="s">
        <v>48</v>
      </c>
    </row>
    <row r="39" ht="14.25" customHeight="1">
      <c r="L39" s="11" t="s">
        <v>98</v>
      </c>
      <c r="M39" s="12">
        <f>CAJICA!M39+COTA!M40+CHIA!M39+ZIPAQUIRA!M39+TABIO!M39+TENJO!M39+SOPO!M39+GACHANCIPA!M39+TOCANCIPA!M39+NEMOCON!M39+COGUA!M39</f>
        <v>154</v>
      </c>
      <c r="N39" s="13">
        <f>M39/C17*10000</f>
        <v>15.83808133</v>
      </c>
      <c r="O39" s="12">
        <f>CAJICA!O39+COTA!O40+CHIA!O39+ZIPAQUIRA!O39+TABIO!O39+TENJO!O39+SOPO!O39+GACHANCIPA!O39+TOCANCIPA!O39+NEMOCON!O39+COGUA!O39</f>
        <v>152</v>
      </c>
      <c r="P39" s="13">
        <f>O39/D17*10000</f>
        <v>15.27607485</v>
      </c>
      <c r="Q39" s="12">
        <f>CAJICA!Q39+COTA!Q40+CHIA!Q39+ZIPAQUIRA!Q39+TABIO!Q39+TENJO!Q39+SOPO!Q39+GACHANCIPA!Q39+TOCANCIPA!Q39+NEMOCON!Q39+COGUA!Q39</f>
        <v>238</v>
      </c>
      <c r="R39" s="13">
        <f>Q39/E17*100000</f>
        <v>232.639975</v>
      </c>
      <c r="S39" s="12">
        <f>CAJICA!S39+COTA!S40+CHIA!S39+ZIPAQUIRA!S39+TABIO!S39+TENJO!S39+SOPO!S39+GACHANCIPA!S39+TOCANCIPA!S39+NEMOCON!S39+COGUA!S39</f>
        <v>302</v>
      </c>
      <c r="T39" s="13">
        <f>S39/F17*100000</f>
        <v>290.1558387</v>
      </c>
      <c r="U39" s="12">
        <f>CAJICA!U39+COTA!U40+CHIA!U39+ZIPAQUIRA!U39+TABIO!U39+TENJO!U39+SOPO!U39+GACHANCIPA!U39+TOCANCIPA!U39+NEMOCON!U39+COGUA!U39</f>
        <v>414</v>
      </c>
      <c r="V39" s="13">
        <f>U39/G17*100000</f>
        <v>403.6228564</v>
      </c>
      <c r="W39" s="12">
        <f>CAJICA!W39+COTA!W40+CHIA!W39+ZIPAQUIRA!W39+TABIO!W39+TENJO!W39+SOPO!W39+GACHANCIPA!W39+TOCANCIPA!W39+NEMOCON!W39+COGUA!W39</f>
        <v>263</v>
      </c>
      <c r="X39" s="13">
        <f>W39/H17*100000</f>
        <v>252.5592026</v>
      </c>
      <c r="Y39" s="13">
        <f t="shared" ref="Y39:Z39" si="46">((M39+O39+Q39+S39)/4)</f>
        <v>211.5</v>
      </c>
      <c r="Z39" s="13">
        <f t="shared" si="46"/>
        <v>138.4774925</v>
      </c>
      <c r="AA39" s="13">
        <f t="shared" si="3"/>
        <v>358</v>
      </c>
      <c r="AB39" s="13">
        <f t="shared" si="4"/>
        <v>328.0910295</v>
      </c>
      <c r="AC39" s="14" t="s">
        <v>48</v>
      </c>
    </row>
    <row r="40" ht="14.25" customHeight="1">
      <c r="L40" s="11" t="s">
        <v>99</v>
      </c>
      <c r="M40" s="12">
        <f>CAJICA!M40+COTA!M41+CHIA!M40+ZIPAQUIRA!M40+TABIO!M40+TENJO!M40+SOPO!M40+GACHANCIPA!M40+TOCANCIPA!M40+NEMOCON!M40+COGUA!M40</f>
        <v>140</v>
      </c>
      <c r="N40" s="13">
        <f>M40/C7*100000</f>
        <v>44.18313277</v>
      </c>
      <c r="O40" s="12">
        <f>CAJICA!O40+COTA!O41+CHIA!O40+ZIPAQUIRA!O40+TABIO!O40+TENJO!O40+SOPO!O40+GACHANCIPA!O40+TOCANCIPA!O40+NEMOCON!O40+COGUA!O40</f>
        <v>169</v>
      </c>
      <c r="P40" s="13">
        <f>O40/D7*100000</f>
        <v>51.54041806</v>
      </c>
      <c r="Q40" s="12">
        <f>CAJICA!Q40+COTA!Q41+CHIA!Q40+ZIPAQUIRA!Q40+TABIO!Q40+TENJO!Q40+SOPO!Q40+GACHANCIPA!Q40+TOCANCIPA!Q40+NEMOCON!Q40+COGUA!Q40</f>
        <v>327</v>
      </c>
      <c r="R40" s="13">
        <f>Q40/E7*100000</f>
        <v>96.69692758</v>
      </c>
      <c r="S40" s="12">
        <f>CAJICA!S40+COTA!S41+CHIA!S40+ZIPAQUIRA!S40+TABIO!S40+TENJO!S40+SOPO!S40+GACHANCIPA!S40+TOCANCIPA!S40+NEMOCON!S40+COGUA!S40</f>
        <v>409</v>
      </c>
      <c r="T40" s="13">
        <f>S40/F7*100000</f>
        <v>117.3523699</v>
      </c>
      <c r="U40" s="12">
        <f>CAJICA!U40+COTA!U41+CHIA!U40+ZIPAQUIRA!U40+TABIO!U40+TENJO!U40+SOPO!U40+GACHANCIPA!U40+TOCANCIPA!U40+NEMOCON!U40+COGUA!U40</f>
        <v>453</v>
      </c>
      <c r="V40" s="13">
        <f>U40/G7*100000</f>
        <v>126.2960681</v>
      </c>
      <c r="W40" s="12">
        <f>CAJICA!W40+COTA!W41+CHIA!W40+ZIPAQUIRA!W40+TABIO!W40+TENJO!W40+SOPO!W40+GACHANCIPA!W40+TOCANCIPA!W40+NEMOCON!W40+COGUA!W40</f>
        <v>223</v>
      </c>
      <c r="X40" s="13">
        <f>W40/H7*100000</f>
        <v>60.5203666</v>
      </c>
      <c r="Y40" s="13">
        <f t="shared" ref="Y40:Z40" si="47">((M40+O40+Q40+S40)/4)</f>
        <v>261.25</v>
      </c>
      <c r="Z40" s="13">
        <f t="shared" si="47"/>
        <v>77.44321207</v>
      </c>
      <c r="AA40" s="13">
        <f t="shared" si="3"/>
        <v>431</v>
      </c>
      <c r="AB40" s="13">
        <f t="shared" si="4"/>
        <v>93.40821734</v>
      </c>
      <c r="AC40" s="14" t="s">
        <v>48</v>
      </c>
    </row>
    <row r="41" ht="14.25" customHeight="1">
      <c r="L41" s="11" t="s">
        <v>100</v>
      </c>
      <c r="M41" s="12">
        <f>CAJICA!M41+COTA!M42+CHIA!M41+ZIPAQUIRA!M41+TABIO!M41+TENJO!M41+SOPO!M41+GACHANCIPA!M41+TOCANCIPA!M41+NEMOCON!M41+COGUA!M41</f>
        <v>730</v>
      </c>
      <c r="N41" s="28">
        <f>M41/C7*10000</f>
        <v>23.0383478</v>
      </c>
      <c r="O41" s="12">
        <f>CAJICA!O41+COTA!O42+CHIA!O41+ZIPAQUIRA!O41+TABIO!O41+TENJO!O41+SOPO!O41+GACHANCIPA!O41+TOCANCIPA!O41+NEMOCON!O41+COGUA!O41</f>
        <v>749</v>
      </c>
      <c r="P41" s="28">
        <f>O41/D7*10000</f>
        <v>22.8424693</v>
      </c>
      <c r="Q41" s="12">
        <f>CAJICA!Q41+COTA!Q42+CHIA!Q41+ZIPAQUIRA!Q41+TABIO!Q41+TENJO!Q41+SOPO!Q41+GACHANCIPA!Q41+TOCANCIPA!Q41+NEMOCON!Q41+COGUA!Q41</f>
        <v>933</v>
      </c>
      <c r="R41" s="28">
        <f>Q41/E7*10000</f>
        <v>27.58967383</v>
      </c>
      <c r="S41" s="12">
        <f>CAJICA!S41+COTA!S42+CHIA!S41+ZIPAQUIRA!S41+TABIO!S41+TENJO!S41+SOPO!S41+GACHANCIPA!S41+TOCANCIPA!S41+NEMOCON!S41+COGUA!S41</f>
        <v>997</v>
      </c>
      <c r="T41" s="28">
        <f>S41/F7*10000</f>
        <v>28.60643343</v>
      </c>
      <c r="U41" s="12">
        <f>CAJICA!U41+COTA!U42+CHIA!U41+ZIPAQUIRA!U41+TABIO!U41+TENJO!U41+SOPO!U41+GACHANCIPA!U41+TOCANCIPA!U41+NEMOCON!U41+COGUA!U41</f>
        <v>1156</v>
      </c>
      <c r="V41" s="28">
        <f>U41/G7*10000</f>
        <v>32.2291953</v>
      </c>
      <c r="W41" s="12">
        <f>CAJICA!W41+COTA!W42+CHIA!W41+ZIPAQUIRA!W41+TABIO!W41+TENJO!W41+SOPO!W41+GACHANCIPA!W41+TOCANCIPA!W41+NEMOCON!W41+COGUA!W41</f>
        <v>636</v>
      </c>
      <c r="X41" s="28">
        <f>W41/H7*10000</f>
        <v>17.26051711</v>
      </c>
      <c r="Y41" s="13">
        <f t="shared" ref="Y41:Z41" si="48">((M41+O41+Q41+S41)/4)</f>
        <v>852.25</v>
      </c>
      <c r="Z41" s="13">
        <f t="shared" si="48"/>
        <v>25.51923109</v>
      </c>
      <c r="AA41" s="13">
        <f t="shared" si="3"/>
        <v>1076.5</v>
      </c>
      <c r="AB41" s="13">
        <f t="shared" si="4"/>
        <v>24.74485621</v>
      </c>
      <c r="AC41" s="14" t="s">
        <v>48</v>
      </c>
    </row>
    <row r="42" ht="14.25" customHeight="1">
      <c r="L42" s="11" t="s">
        <v>101</v>
      </c>
      <c r="M42" s="12">
        <f>CAJICA!M42+COTA!M43+CHIA!M42+ZIPAQUIRA!M42+TABIO!M42+TENJO!M42+SOPO!M42+GACHANCIPA!M42+TOCANCIPA!M42+NEMOCON!M42+COGUA!M42</f>
        <v>130</v>
      </c>
      <c r="N42" s="28">
        <f>M42/C7*10000</f>
        <v>4.102719472</v>
      </c>
      <c r="O42" s="12">
        <f>CAJICA!O42+COTA!O43+CHIA!O42+ZIPAQUIRA!O42+TABIO!O42+TENJO!O42+SOPO!O42+GACHANCIPA!O42+TOCANCIPA!O42+NEMOCON!O42+COGUA!O42</f>
        <v>90</v>
      </c>
      <c r="P42" s="28">
        <f>O42/D7*10000</f>
        <v>2.744755991</v>
      </c>
      <c r="Q42" s="12">
        <f>CAJICA!Q42+COTA!Q43+CHIA!Q42+ZIPAQUIRA!Q42+TABIO!Q42+TENJO!Q42+SOPO!Q42+GACHANCIPA!Q42+TOCANCIPA!Q42+NEMOCON!Q42+COGUA!Q42</f>
        <v>196</v>
      </c>
      <c r="R42" s="28">
        <f>Q42/E7*10000</f>
        <v>5.79590147</v>
      </c>
      <c r="S42" s="12">
        <f>CAJICA!S42+COTA!S43+CHIA!S42+ZIPAQUIRA!S42+TABIO!S42+TENJO!S42+SOPO!S42+GACHANCIPA!S42+TOCANCIPA!S42+NEMOCON!S42+COGUA!S42</f>
        <v>316</v>
      </c>
      <c r="T42" s="28">
        <f>S42/F7*10000</f>
        <v>9.066833466</v>
      </c>
      <c r="U42" s="12">
        <f>CAJICA!U42+COTA!U43+CHIA!U42+ZIPAQUIRA!U42+TABIO!U42+TENJO!U42+SOPO!U42+GACHANCIPA!U42+TOCANCIPA!U42+NEMOCON!U42+COGUA!U42</f>
        <v>234</v>
      </c>
      <c r="V42" s="28">
        <f>U42/G7*10000</f>
        <v>6.523902855</v>
      </c>
      <c r="W42" s="12">
        <f>CAJICA!W42+COTA!W43+CHIA!W42+ZIPAQUIRA!W42+TABIO!W42+TENJO!W42+SOPO!W42+GACHANCIPA!W42+TOCANCIPA!W42+NEMOCON!W42+COGUA!W42</f>
        <v>154</v>
      </c>
      <c r="X42" s="28">
        <f>W42/H7*10000</f>
        <v>4.179433388</v>
      </c>
      <c r="Y42" s="13">
        <f t="shared" ref="Y42:Z42" si="49">((M42+O42+Q42+S42)/4)</f>
        <v>183</v>
      </c>
      <c r="Z42" s="13">
        <f t="shared" si="49"/>
        <v>5.4275526</v>
      </c>
      <c r="AA42" s="13">
        <f t="shared" si="3"/>
        <v>275</v>
      </c>
      <c r="AB42" s="13">
        <f t="shared" si="4"/>
        <v>5.351668122</v>
      </c>
      <c r="AC42" s="14" t="s">
        <v>48</v>
      </c>
    </row>
    <row r="43" ht="14.25" customHeight="1">
      <c r="L43" s="11" t="s">
        <v>102</v>
      </c>
      <c r="M43" s="12">
        <f>CAJICA!M43+COTA!M44+CHIA!M43+ZIPAQUIRA!M43+TABIO!M43+TENJO!M43+SOPO!M43+GACHANCIPA!M43+TOCANCIPA!M43+NEMOCON!M43+COGUA!M43</f>
        <v>213</v>
      </c>
      <c r="N43" s="28">
        <f>M43/C16*10000</f>
        <v>8.603766268</v>
      </c>
      <c r="O43" s="12">
        <f>CAJICA!O43+COTA!O44+CHIA!O43+ZIPAQUIRA!O43+TABIO!O43+TENJO!O43+SOPO!O43+GACHANCIPA!O43+TOCANCIPA!O43+NEMOCON!O43+COGUA!O43</f>
        <v>329</v>
      </c>
      <c r="P43" s="28">
        <f>O43/D16*10000</f>
        <v>12.47644076</v>
      </c>
      <c r="Q43" s="12">
        <f>CAJICA!Q43+COTA!Q44+CHIA!Q43+ZIPAQUIRA!Q43+TABIO!Q43+TENJO!Q43+SOPO!Q43+GACHANCIPA!Q43+TOCANCIPA!Q43+NEMOCON!Q43+COGUA!Q43</f>
        <v>507</v>
      </c>
      <c r="R43" s="28">
        <f>Q43/E16*100000</f>
        <v>193.2105728</v>
      </c>
      <c r="S43" s="12">
        <f>CAJICA!S43+COTA!S44+CHIA!S43+ZIPAQUIRA!S43+TABIO!S43+TENJO!S43+SOPO!S43+GACHANCIPA!S43+TOCANCIPA!S43+NEMOCON!S43+COGUA!S43</f>
        <v>490</v>
      </c>
      <c r="T43" s="28">
        <f>S43/F16*100000</f>
        <v>182.3601874</v>
      </c>
      <c r="U43" s="12">
        <f>CAJICA!U43+COTA!U44+CHIA!U43+ZIPAQUIRA!U43+TABIO!U43+TENJO!U43+SOPO!U43+GACHANCIPA!U43+TOCANCIPA!U43+NEMOCON!U43+COGUA!U43</f>
        <v>629</v>
      </c>
      <c r="V43" s="28">
        <f>U43/G16*100000</f>
        <v>227.8077578</v>
      </c>
      <c r="W43" s="12">
        <f>CAJICA!W43+COTA!W44+CHIA!W43+ZIPAQUIRA!W43+TABIO!W43+TENJO!W43+SOPO!W43+GACHANCIPA!W43+TOCANCIPA!W43+NEMOCON!W43+COGUA!W43</f>
        <v>362</v>
      </c>
      <c r="X43" s="28">
        <f>W43/H16*100000</f>
        <v>127.2662713</v>
      </c>
      <c r="Y43" s="13">
        <f t="shared" ref="Y43:Z43" si="50">((M43+O43+Q43+S43)/4)</f>
        <v>384.75</v>
      </c>
      <c r="Z43" s="13">
        <f t="shared" si="50"/>
        <v>99.16274183</v>
      </c>
      <c r="AA43" s="13">
        <f t="shared" si="3"/>
        <v>559.5</v>
      </c>
      <c r="AB43" s="13">
        <f t="shared" si="4"/>
        <v>177.5370145</v>
      </c>
      <c r="AC43" s="14" t="s">
        <v>48</v>
      </c>
    </row>
    <row r="44" ht="14.25" customHeight="1">
      <c r="L44" s="11" t="s">
        <v>103</v>
      </c>
      <c r="M44" s="12">
        <f>CAJICA!M44+COTA!M45+CHIA!M44+ZIPAQUIRA!M44+TABIO!M44+TENJO!M44+SOPO!M44+GACHANCIPA!M44+TOCANCIPA!M44+NEMOCON!M44+COGUA!M44</f>
        <v>321</v>
      </c>
      <c r="N44" s="28">
        <f>M44/C7*100000</f>
        <v>101.3056116</v>
      </c>
      <c r="O44" s="12">
        <f>CAJICA!O44+COTA!O45+CHIA!O44+ZIPAQUIRA!O44+TABIO!O44+TENJO!O44+SOPO!O44+GACHANCIPA!O44+TOCANCIPA!O44+NEMOCON!O44+COGUA!O44</f>
        <v>380</v>
      </c>
      <c r="P44" s="28">
        <f>O44/D7*100000</f>
        <v>115.8896974</v>
      </c>
      <c r="Q44" s="12">
        <f>CAJICA!Q44+COTA!Q45+CHIA!Q44+ZIPAQUIRA!Q44+TABIO!Q44+TENJO!Q44+SOPO!Q44+GACHANCIPA!Q44+TOCANCIPA!Q44+NEMOCON!Q44+COGUA!Q44</f>
        <v>394</v>
      </c>
      <c r="R44" s="13">
        <f>Q44/E7*100000</f>
        <v>116.5094479</v>
      </c>
      <c r="S44" s="12">
        <f>CAJICA!S44+COTA!S45+CHIA!S44+ZIPAQUIRA!S44+TABIO!S44+TENJO!S44+SOPO!S44+GACHANCIPA!S44+TOCANCIPA!S44+NEMOCON!S44+COGUA!S44</f>
        <v>308</v>
      </c>
      <c r="T44" s="13">
        <f>S44/F7*100000</f>
        <v>88.37293378</v>
      </c>
      <c r="U44" s="12">
        <f>CAJICA!U44+COTA!U45+CHIA!U44+ZIPAQUIRA!U44+TABIO!U44+TENJO!U44+SOPO!U44+GACHANCIPA!U44+TOCANCIPA!U44+NEMOCON!U44+COGUA!U44</f>
        <v>352</v>
      </c>
      <c r="V44" s="13">
        <f>U44/G7*100000</f>
        <v>98.1373421</v>
      </c>
      <c r="W44" s="12">
        <f>CAJICA!W44+COTA!W45+CHIA!W44+ZIPAQUIRA!W44+TABIO!W44+TENJO!W44+SOPO!W44+GACHANCIPA!W44+TOCANCIPA!W44+NEMOCON!W44+COGUA!W44</f>
        <v>229</v>
      </c>
      <c r="X44" s="13">
        <f>W44/H7*100000</f>
        <v>62.14871727</v>
      </c>
      <c r="Y44" s="13">
        <f t="shared" ref="Y44:Z44" si="51">((M44+O44+Q44+S44)/4)</f>
        <v>350.75</v>
      </c>
      <c r="Z44" s="13">
        <f t="shared" si="51"/>
        <v>105.5194227</v>
      </c>
      <c r="AA44" s="13">
        <f t="shared" si="3"/>
        <v>330</v>
      </c>
      <c r="AB44" s="13">
        <f t="shared" si="4"/>
        <v>80.14302968</v>
      </c>
      <c r="AC44" s="14" t="s">
        <v>48</v>
      </c>
    </row>
    <row r="45" ht="14.25" customHeight="1">
      <c r="L45" s="11" t="s">
        <v>104</v>
      </c>
      <c r="M45" s="12">
        <f>CAJICA!M45+COTA!M46+CHIA!M45+ZIPAQUIRA!M45+TABIO!M45+TENJO!M45+SOPO!M45+GACHANCIPA!M45+TOCANCIPA!M45+NEMOCON!M45+COGUA!M45</f>
        <v>2750</v>
      </c>
      <c r="N45" s="28">
        <f>M45/M4*100</f>
        <v>88.48133848</v>
      </c>
      <c r="O45" s="12">
        <f>CAJICA!O45+COTA!O46+CHIA!O45+ZIPAQUIRA!O45+TABIO!O45+TENJO!O45+SOPO!O45+GACHANCIPA!O45+TOCANCIPA!O45+NEMOCON!O45+COGUA!O45</f>
        <v>2608</v>
      </c>
      <c r="P45" s="28">
        <f>O45/O4*100</f>
        <v>76.50337342</v>
      </c>
      <c r="Q45" s="12">
        <f>CAJICA!Q45+COTA!Q46+CHIA!Q45+ZIPAQUIRA!Q45+TABIO!Q45+TENJO!Q45+SOPO!Q45+GACHANCIPA!Q45+TOCANCIPA!Q45+NEMOCON!Q45+COGUA!Q45</f>
        <v>2583</v>
      </c>
      <c r="R45" s="13">
        <f>Q45/Q4*100</f>
        <v>72.67867192</v>
      </c>
      <c r="S45" s="12">
        <f>CAJICA!S45+COTA!S46+CHIA!S45+ZIPAQUIRA!S45+TABIO!S45+TENJO!S45+SOPO!S45+GACHANCIPA!S45+TOCANCIPA!S45+NEMOCON!S45+COGUA!S45</f>
        <v>2474</v>
      </c>
      <c r="T45" s="13">
        <f>S45/S4*100</f>
        <v>73.32542976</v>
      </c>
      <c r="U45" s="12">
        <f>CAJICA!U45+COTA!U46+CHIA!U45+ZIPAQUIRA!U45+TABIO!U45+TENJO!U45+SOPO!U45+GACHANCIPA!U45+TOCANCIPA!U45+NEMOCON!U45+COGUA!U45</f>
        <v>2386</v>
      </c>
      <c r="V45" s="13">
        <f>U45/U4*100</f>
        <v>73.16773996</v>
      </c>
      <c r="W45" s="12">
        <f>CAJICA!W45+COTA!W46+CHIA!W45+ZIPAQUIRA!W45+TABIO!W45+TENJO!W45+SOPO!W45+GACHANCIPA!W45+TOCANCIPA!W45+NEMOCON!W45+COGUA!W45</f>
        <v>1111</v>
      </c>
      <c r="X45" s="13">
        <f>W45/W4*100</f>
        <v>73.04404997</v>
      </c>
      <c r="Y45" s="13">
        <f t="shared" ref="Y45:Z45" si="52">((M45+O45+Q45+S45)/4)</f>
        <v>2603.75</v>
      </c>
      <c r="Z45" s="13">
        <f t="shared" si="52"/>
        <v>77.7472034</v>
      </c>
      <c r="AA45" s="13">
        <f t="shared" si="3"/>
        <v>2430</v>
      </c>
      <c r="AB45" s="13">
        <f t="shared" si="4"/>
        <v>73.10589496</v>
      </c>
      <c r="AC45" s="14" t="s">
        <v>105</v>
      </c>
    </row>
    <row r="46" ht="14.25" customHeight="1">
      <c r="L46" s="11" t="s">
        <v>106</v>
      </c>
      <c r="M46" s="12">
        <f>CAJICA!M46+COTA!M47+CHIA!M46+ZIPAQUIRA!M46+TABIO!M46+TENJO!M46+SOPO!M46+GACHANCIPA!M46+TOCANCIPA!M46+NEMOCON!M46+COGUA!M46</f>
        <v>2455</v>
      </c>
      <c r="N46" s="28">
        <f>M46/M4*100</f>
        <v>78.98970399</v>
      </c>
      <c r="O46" s="12">
        <f>CAJICA!O46+COTA!O47+CHIA!O46+ZIPAQUIRA!O46+TABIO!O46+TENJO!O46+SOPO!O46+GACHANCIPA!O46+TOCANCIPA!O46+NEMOCON!O46+COGUA!O46</f>
        <v>2337</v>
      </c>
      <c r="P46" s="28">
        <f>O46/O4*100</f>
        <v>68.5538281</v>
      </c>
      <c r="Q46" s="12">
        <f>CAJICA!Q46+COTA!Q47+CHIA!Q46+ZIPAQUIRA!Q46+TABIO!Q46+TENJO!Q46+SOPO!Q46+GACHANCIPA!Q46+TOCANCIPA!Q46+NEMOCON!Q46+COGUA!Q46</f>
        <v>2327</v>
      </c>
      <c r="R46" s="13">
        <f>Q46/Q4*100</f>
        <v>65.47552054</v>
      </c>
      <c r="S46" s="12">
        <f>CAJICA!S46+COTA!S47+CHIA!S46+ZIPAQUIRA!S46+TABIO!S46+TENJO!S46+SOPO!S46+GACHANCIPA!S46+TOCANCIPA!S46+NEMOCON!S46+COGUA!S46</f>
        <v>2297</v>
      </c>
      <c r="T46" s="13">
        <f>S46/S4*100</f>
        <v>68.07943094</v>
      </c>
      <c r="U46" s="12">
        <f>CAJICA!U46+COTA!U47+CHIA!U46+ZIPAQUIRA!U46+TABIO!U46+TENJO!U46+SOPO!U46+GACHANCIPA!U46+TOCANCIPA!U46+NEMOCON!U46+COGUA!U46</f>
        <v>2233</v>
      </c>
      <c r="V46" s="13">
        <f>U46/U4*100</f>
        <v>68.47592763</v>
      </c>
      <c r="W46" s="12">
        <f>CAJICA!W46+COTA!W47+CHIA!W46+ZIPAQUIRA!W46+TABIO!W46+TENJO!W46+SOPO!W46+GACHANCIPA!W46+TOCANCIPA!W46+NEMOCON!W46+COGUA!W46</f>
        <v>1048</v>
      </c>
      <c r="X46" s="13">
        <f>W46/W4*100</f>
        <v>68.90203813</v>
      </c>
      <c r="Y46" s="13">
        <f t="shared" ref="Y46:Z46" si="53">((M46+O46+Q46+S46)/4)</f>
        <v>2354</v>
      </c>
      <c r="Z46" s="13">
        <f t="shared" si="53"/>
        <v>70.27462089</v>
      </c>
      <c r="AA46" s="13">
        <f t="shared" si="3"/>
        <v>2265</v>
      </c>
      <c r="AB46" s="13">
        <f t="shared" si="4"/>
        <v>68.68898288</v>
      </c>
      <c r="AC46" s="14" t="s">
        <v>105</v>
      </c>
    </row>
    <row r="47" ht="14.25" customHeight="1">
      <c r="L47" s="11" t="s">
        <v>107</v>
      </c>
      <c r="M47" s="12">
        <f>CAJICA!M47+COTA!M48+CHIA!M47+ZIPAQUIRA!M47+TABIO!M47+TENJO!M47+SOPO!M47+GACHANCIPA!M47+TOCANCIPA!M47+NEMOCON!M47+COGUA!M47</f>
        <v>81</v>
      </c>
      <c r="N47" s="13">
        <f>M47/C7*100000</f>
        <v>25.56309825</v>
      </c>
      <c r="O47" s="12">
        <f>CAJICA!O47+COTA!O48+CHIA!O47+ZIPAQUIRA!O47+TABIO!O47+TENJO!O47+SOPO!O47+GACHANCIPA!O47+TOCANCIPA!O47+NEMOCON!O47+COGUA!O47</f>
        <v>77</v>
      </c>
      <c r="P47" s="13">
        <f>O47/D7*100000</f>
        <v>23.48291237</v>
      </c>
      <c r="Q47" s="12">
        <f>CAJICA!Q47+COTA!Q48+CHIA!Q47+ZIPAQUIRA!Q47+TABIO!Q47+TENJO!Q47+SOPO!Q47+GACHANCIPA!Q47+TOCANCIPA!Q47+NEMOCON!Q47+COGUA!Q47</f>
        <v>74</v>
      </c>
      <c r="R47" s="13">
        <f>Q47/E7*100000</f>
        <v>21.88248514</v>
      </c>
      <c r="S47" s="12">
        <f>CAJICA!S47+COTA!S48+CHIA!S47+ZIPAQUIRA!S47+TABIO!S47+TENJO!S47+SOPO!S47+GACHANCIPA!S47+TOCANCIPA!S47+NEMOCON!S47+COGUA!S47</f>
        <v>61</v>
      </c>
      <c r="T47" s="13">
        <f>S47/F7*100000</f>
        <v>17.50243169</v>
      </c>
      <c r="U47" s="12">
        <f>CAJICA!U47+COTA!U48+CHIA!U47+ZIPAQUIRA!U47+TABIO!U47+TENJO!U47+SOPO!U47+GACHANCIPA!U47+TOCANCIPA!U47+NEMOCON!U47+COGUA!U47</f>
        <v>90</v>
      </c>
      <c r="V47" s="13">
        <f>U47/G7*100000</f>
        <v>25.09193406</v>
      </c>
      <c r="W47" s="12">
        <f>CAJICA!W47+COTA!W48+CHIA!W47+ZIPAQUIRA!W47+TABIO!W47+TENJO!W47+SOPO!W47+GACHANCIPA!W47+TOCANCIPA!W47+NEMOCON!W47+COGUA!W47</f>
        <v>41</v>
      </c>
      <c r="X47" s="13">
        <f>W47/H7*100000</f>
        <v>11.12706292</v>
      </c>
      <c r="Y47" s="13">
        <f t="shared" ref="Y47:Z47" si="54">((M47+O47+Q47+S47)/4)</f>
        <v>73.25</v>
      </c>
      <c r="Z47" s="13">
        <f t="shared" si="54"/>
        <v>22.10773186</v>
      </c>
      <c r="AA47" s="13">
        <f t="shared" si="3"/>
        <v>75.5</v>
      </c>
      <c r="AB47" s="13">
        <f t="shared" si="4"/>
        <v>18.10949849</v>
      </c>
      <c r="AC47" s="14" t="s">
        <v>48</v>
      </c>
    </row>
    <row r="48" ht="14.25" customHeight="1">
      <c r="L48" s="11" t="s">
        <v>108</v>
      </c>
      <c r="M48" s="12">
        <f>CAJICA!M48+COTA!M49+CHIA!M48+ZIPAQUIRA!M48+TABIO!M48+TENJO!M48+SOPO!M48+GACHANCIPA!M48+TOCANCIPA!M48+NEMOCON!M48+COGUA!M48</f>
        <v>42</v>
      </c>
      <c r="N48" s="13">
        <f>M48/C7*100000</f>
        <v>13.25493983</v>
      </c>
      <c r="O48" s="12">
        <f>CAJICA!O48+COTA!O49+CHIA!O48+ZIPAQUIRA!O48+TABIO!O48+TENJO!O48+SOPO!O48+GACHANCIPA!O48+TOCANCIPA!O48+NEMOCON!O48+COGUA!O48</f>
        <v>55</v>
      </c>
      <c r="P48" s="13">
        <f>O48/D7*100000</f>
        <v>16.77350884</v>
      </c>
      <c r="Q48" s="12">
        <f>CAJICA!Q48+COTA!Q49+CHIA!Q48+ZIPAQUIRA!Q48+TABIO!Q48+TENJO!Q48+SOPO!Q48+GACHANCIPA!Q48+TOCANCIPA!Q48+NEMOCON!Q48+COGUA!Q48</f>
        <v>43</v>
      </c>
      <c r="R48" s="13">
        <f>Q48/E7*100000</f>
        <v>12.71549812</v>
      </c>
      <c r="S48" s="12">
        <f>CAJICA!S48+COTA!S49+CHIA!S48+ZIPAQUIRA!S48+TABIO!S48+TENJO!S48+SOPO!S48+GACHANCIPA!S48+TOCANCIPA!S48+NEMOCON!S48+COGUA!S48</f>
        <v>39</v>
      </c>
      <c r="T48" s="13">
        <f>S48/F7*100000</f>
        <v>11.19007928</v>
      </c>
      <c r="U48" s="12">
        <f>CAJICA!U48+COTA!U49+CHIA!U48+ZIPAQUIRA!U48+TABIO!U48+TENJO!U48+SOPO!U48+GACHANCIPA!U48+TOCANCIPA!U48+NEMOCON!U48+COGUA!U48</f>
        <v>41</v>
      </c>
      <c r="V48" s="13">
        <f>U48/G7*100000</f>
        <v>11.43076996</v>
      </c>
      <c r="W48" s="12">
        <f>CAJICA!W48+COTA!W49+CHIA!W48+ZIPAQUIRA!W48+TABIO!W48+TENJO!W48+SOPO!W48+GACHANCIPA!W48+TOCANCIPA!W48+NEMOCON!W48+COGUA!W48</f>
        <v>32</v>
      </c>
      <c r="X48" s="13">
        <f>W48/H7*100000</f>
        <v>8.684536911</v>
      </c>
      <c r="Y48" s="13">
        <f t="shared" ref="Y48:Z48" si="55">((M48+O48+Q48+S48)/4)</f>
        <v>44.75</v>
      </c>
      <c r="Z48" s="13">
        <f t="shared" si="55"/>
        <v>13.48350652</v>
      </c>
      <c r="AA48" s="13">
        <f t="shared" si="3"/>
        <v>40</v>
      </c>
      <c r="AB48" s="13">
        <f t="shared" si="4"/>
        <v>10.05765344</v>
      </c>
      <c r="AC48" s="37" t="s">
        <v>22</v>
      </c>
    </row>
    <row r="49" ht="14.25" customHeight="1">
      <c r="L49" s="11" t="s">
        <v>109</v>
      </c>
      <c r="M49" s="12">
        <f>CAJICA!M49+COTA!M50+CHIA!M49+ZIPAQUIRA!M49+TABIO!M49+TENJO!M49+SOPO!M49+GACHANCIPA!M49+TOCANCIPA!M49+NEMOCON!M49+COGUA!M49</f>
        <v>112</v>
      </c>
      <c r="N49" s="13">
        <f>M49/C7*100000</f>
        <v>35.34650622</v>
      </c>
      <c r="O49" s="12">
        <f>CAJICA!O49+COTA!O50+CHIA!O49+ZIPAQUIRA!O49+TABIO!O49+TENJO!O49+SOPO!O49+GACHANCIPA!O49+TOCANCIPA!O49+NEMOCON!O49+COGUA!O49</f>
        <v>123</v>
      </c>
      <c r="P49" s="13">
        <f>O49/D7*100000</f>
        <v>37.51166521</v>
      </c>
      <c r="Q49" s="12">
        <f>CAJICA!Q49+COTA!Q50+CHIA!Q49+ZIPAQUIRA!Q49+TABIO!Q49+TENJO!Q49+SOPO!Q49+GACHANCIPA!Q49+TOCANCIPA!Q49+NEMOCON!Q49+COGUA!Q49</f>
        <v>121</v>
      </c>
      <c r="R49" s="13">
        <f>Q49/E7*100000</f>
        <v>35.7808203</v>
      </c>
      <c r="S49" s="12">
        <f>CAJICA!S49+COTA!S50+CHIA!S49+ZIPAQUIRA!S49+TABIO!S49+TENJO!S49+SOPO!S49+GACHANCIPA!S49+TOCANCIPA!S49+NEMOCON!S49+COGUA!S49</f>
        <v>91</v>
      </c>
      <c r="T49" s="13">
        <f>S49/F7*100000</f>
        <v>26.11018498</v>
      </c>
      <c r="U49" s="12">
        <f>CAJICA!U49+COTA!U50+CHIA!U49+ZIPAQUIRA!U49+TABIO!U49+TENJO!U49+SOPO!U49+GACHANCIPA!U49+TOCANCIPA!U49+NEMOCON!U49+COGUA!U49</f>
        <v>100</v>
      </c>
      <c r="V49" s="13">
        <f>U49/G7*100000</f>
        <v>27.87992673</v>
      </c>
      <c r="W49" s="12">
        <f>CAJICA!W49+COTA!W50+CHIA!W49+ZIPAQUIRA!W49+TABIO!W49+TENJO!W49+SOPO!W49+GACHANCIPA!W49+TOCANCIPA!W49+NEMOCON!W49+COGUA!W49</f>
        <v>47</v>
      </c>
      <c r="X49" s="13">
        <f>W49/H7*100000</f>
        <v>12.75541359</v>
      </c>
      <c r="Y49" s="13">
        <f t="shared" ref="Y49:Z49" si="56">((M49+O49+Q49+S49)/4)</f>
        <v>111.75</v>
      </c>
      <c r="Z49" s="13">
        <f t="shared" si="56"/>
        <v>33.68729418</v>
      </c>
      <c r="AA49" s="13">
        <f t="shared" si="3"/>
        <v>95.5</v>
      </c>
      <c r="AB49" s="13">
        <f t="shared" si="4"/>
        <v>20.31767016</v>
      </c>
      <c r="AC49" s="37" t="s">
        <v>22</v>
      </c>
    </row>
    <row r="50" ht="14.25" customHeight="1">
      <c r="L50" s="11" t="s">
        <v>110</v>
      </c>
      <c r="M50" s="12">
        <f>CAJICA!M50+COTA!M51+CHIA!M50+ZIPAQUIRA!M50+TABIO!M50+TENJO!M50+SOPO!M50+GACHANCIPA!M50+TOCANCIPA!M50+NEMOCON!M50+COGUA!M50</f>
        <v>10</v>
      </c>
      <c r="N50" s="13">
        <f>M50/C7*100000</f>
        <v>3.155938055</v>
      </c>
      <c r="O50" s="12">
        <f>CAJICA!O50+COTA!O51+CHIA!O50+ZIPAQUIRA!O50+TABIO!O50+TENJO!O50+SOPO!O50+GACHANCIPA!O50+TOCANCIPA!O50+NEMOCON!O50+COGUA!O50</f>
        <v>11</v>
      </c>
      <c r="P50" s="13">
        <f>O50/D7*100000</f>
        <v>3.354701767</v>
      </c>
      <c r="Q50" s="12">
        <f>CAJICA!Q50+COTA!Q51+CHIA!Q50+ZIPAQUIRA!Q50+TABIO!Q50+TENJO!Q50+SOPO!Q50+GACHANCIPA!Q50+TOCANCIPA!Q50+NEMOCON!Q50+COGUA!Q50</f>
        <v>11</v>
      </c>
      <c r="R50" s="13">
        <f>Q50/E7*100000</f>
        <v>3.252801845</v>
      </c>
      <c r="S50" s="12">
        <f>CAJICA!S50+COTA!S51+CHIA!S50+ZIPAQUIRA!S50+TABIO!S50+TENJO!S50+SOPO!S50+GACHANCIPA!S50+TOCANCIPA!S50+NEMOCON!S50+COGUA!S50</f>
        <v>19</v>
      </c>
      <c r="T50" s="13">
        <f>S50/F7*100000</f>
        <v>5.451577084</v>
      </c>
      <c r="U50" s="12">
        <f>CAJICA!U50+COTA!U51+CHIA!U50+ZIPAQUIRA!U50+TABIO!U50+TENJO!U50+SOPO!U50+GACHANCIPA!U50+TOCANCIPA!U50+NEMOCON!U50+COGUA!U50</f>
        <v>17</v>
      </c>
      <c r="V50" s="13">
        <f>U50/G7*100000</f>
        <v>4.739587544</v>
      </c>
      <c r="W50" s="12">
        <f>CAJICA!W50+COTA!W51+CHIA!W50+ZIPAQUIRA!W50+TABIO!W50+TENJO!W50+SOPO!W50+GACHANCIPA!W50+TOCANCIPA!W50+NEMOCON!W50+COGUA!W50</f>
        <v>4</v>
      </c>
      <c r="X50" s="13">
        <f>W50/H7*100000</f>
        <v>1.085567114</v>
      </c>
      <c r="Y50" s="13">
        <f t="shared" ref="Y50:Z50" si="57">((M50+O50+Q50+S50)/4)</f>
        <v>12.75</v>
      </c>
      <c r="Z50" s="13">
        <f t="shared" si="57"/>
        <v>3.803754688</v>
      </c>
      <c r="AA50" s="13">
        <f t="shared" si="3"/>
        <v>18</v>
      </c>
      <c r="AB50" s="13">
        <f t="shared" si="4"/>
        <v>2.912577329</v>
      </c>
      <c r="AC50" s="14" t="s">
        <v>48</v>
      </c>
    </row>
    <row r="51" ht="14.25" customHeight="1">
      <c r="L51" s="11" t="s">
        <v>111</v>
      </c>
      <c r="M51" s="12">
        <f>CAJICA!M51+COTA!M52+CHIA!M51+ZIPAQUIRA!M51+TABIO!M51+TENJO!M51+SOPO!M51+GACHANCIPA!M51+TOCANCIPA!M51+NEMOCON!M51+COGUA!M51</f>
        <v>1</v>
      </c>
      <c r="N51" s="13">
        <f>M51/C7*100000</f>
        <v>0.3155938055</v>
      </c>
      <c r="O51" s="12">
        <f>CAJICA!O51+COTA!O52+CHIA!O51+ZIPAQUIRA!O51+TABIO!O51+TENJO!O51+SOPO!O51+GACHANCIPA!O51+TOCANCIPA!O51+NEMOCON!O51+COGUA!O51</f>
        <v>3</v>
      </c>
      <c r="P51" s="13">
        <f>O51/D7*100000</f>
        <v>0.9149186637</v>
      </c>
      <c r="Q51" s="12">
        <f>CAJICA!Q51+COTA!Q52+CHIA!Q51+ZIPAQUIRA!Q51+TABIO!Q51+TENJO!Q51+SOPO!Q51+GACHANCIPA!Q51+TOCANCIPA!Q51+NEMOCON!Q51+COGUA!Q51</f>
        <v>5</v>
      </c>
      <c r="R51" s="13">
        <f>Q51/E7*100000</f>
        <v>1.478546293</v>
      </c>
      <c r="S51" s="12">
        <f>CAJICA!S51+COTA!S52+CHIA!S51+ZIPAQUIRA!S51+TABIO!S51+TENJO!S51+SOPO!S51+GACHANCIPA!S51+TOCANCIPA!S51+NEMOCON!S51+COGUA!S51</f>
        <v>10</v>
      </c>
      <c r="T51" s="13">
        <f>S51/F7*100000</f>
        <v>2.869251097</v>
      </c>
      <c r="U51" s="12">
        <f>CAJICA!U51+COTA!U52+CHIA!U51+ZIPAQUIRA!U51+TABIO!U51+TENJO!U51+SOPO!U51+GACHANCIPA!U51+TOCANCIPA!U51+NEMOCON!U51+COGUA!U51</f>
        <v>6</v>
      </c>
      <c r="V51" s="13">
        <f>U51/G7*100000</f>
        <v>1.672795604</v>
      </c>
      <c r="W51" s="12">
        <f>CAJICA!W51+COTA!W52+CHIA!W51+ZIPAQUIRA!W51+TABIO!W51+TENJO!W51+SOPO!W51+GACHANCIPA!W51+TOCANCIPA!W51+NEMOCON!W51+COGUA!W51</f>
        <v>2</v>
      </c>
      <c r="X51" s="13">
        <f>W51/H7*100000</f>
        <v>0.5427835569</v>
      </c>
      <c r="Y51" s="13">
        <f t="shared" ref="Y51:Z51" si="58">((M51+O51+Q51+S51)/4)</f>
        <v>4.75</v>
      </c>
      <c r="Z51" s="13">
        <f t="shared" si="58"/>
        <v>1.394577465</v>
      </c>
      <c r="AA51" s="13">
        <f t="shared" si="3"/>
        <v>8</v>
      </c>
      <c r="AB51" s="13">
        <f t="shared" si="4"/>
        <v>1.10778958</v>
      </c>
      <c r="AC51" s="14" t="s">
        <v>48</v>
      </c>
    </row>
    <row r="52" ht="14.25" customHeight="1">
      <c r="L52" s="11" t="s">
        <v>112</v>
      </c>
      <c r="M52" s="12">
        <f>CAJICA!M52+COTA!M53+CHIA!M52+ZIPAQUIRA!M52+TABIO!M52+TENJO!M52+SOPO!M52+GACHANCIPA!M52+TOCANCIPA!M52+NEMOCON!M52+COGUA!M52</f>
        <v>28</v>
      </c>
      <c r="N52" s="13">
        <f>M52/C7*100000</f>
        <v>8.836626555</v>
      </c>
      <c r="O52" s="12">
        <f>CAJICA!O52+COTA!O53+CHIA!O52+ZIPAQUIRA!O52+TABIO!O52+TENJO!O52+SOPO!O52+GACHANCIPA!O52+TOCANCIPA!O52+NEMOCON!O52+COGUA!O52</f>
        <v>20</v>
      </c>
      <c r="P52" s="13">
        <f>O52/D7*100000</f>
        <v>6.099457758</v>
      </c>
      <c r="Q52" s="12">
        <f>CAJICA!Q52+COTA!Q53+CHIA!Q52+ZIPAQUIRA!Q52+TABIO!Q52+TENJO!Q52+SOPO!Q52+GACHANCIPA!Q52+TOCANCIPA!Q52+NEMOCON!Q52+COGUA!Q52</f>
        <v>46</v>
      </c>
      <c r="R52" s="13">
        <f>Q52/E7*100000</f>
        <v>13.6026259</v>
      </c>
      <c r="S52" s="12">
        <f>CAJICA!S52+COTA!S53+CHIA!S52+ZIPAQUIRA!S52+TABIO!S52+TENJO!S52+SOPO!S52+GACHANCIPA!S52+TOCANCIPA!S52+NEMOCON!S52+COGUA!S52</f>
        <v>50</v>
      </c>
      <c r="T52" s="13">
        <f>S52/F7*100000</f>
        <v>14.34625548</v>
      </c>
      <c r="U52" s="12">
        <f>CAJICA!U52+COTA!U53+CHIA!U52+ZIPAQUIRA!U52+TABIO!U52+TENJO!U52+SOPO!U52+GACHANCIPA!U52+TOCANCIPA!U52+NEMOCON!U52+COGUA!U52</f>
        <v>30</v>
      </c>
      <c r="V52" s="13">
        <f>U52/G7*100000</f>
        <v>8.363978019</v>
      </c>
      <c r="W52" s="12">
        <f>CAJICA!W52+COTA!W53+CHIA!W52+ZIPAQUIRA!W52+TABIO!W52+TENJO!W52+SOPO!W52+GACHANCIPA!W52+TOCANCIPA!W52+NEMOCON!W52+COGUA!W52</f>
        <v>12</v>
      </c>
      <c r="X52" s="13">
        <f>W52/H7*100000</f>
        <v>3.256701341</v>
      </c>
      <c r="Y52" s="13">
        <f t="shared" ref="Y52:Z52" si="59">((M52+O52+Q52+S52)/4)</f>
        <v>36</v>
      </c>
      <c r="Z52" s="13">
        <f t="shared" si="59"/>
        <v>10.72124142</v>
      </c>
      <c r="AA52" s="13">
        <f t="shared" si="3"/>
        <v>40</v>
      </c>
      <c r="AB52" s="13">
        <f t="shared" si="4"/>
        <v>5.81033968</v>
      </c>
      <c r="AC52" s="14" t="s">
        <v>48</v>
      </c>
    </row>
    <row r="53" ht="14.25" customHeight="1">
      <c r="L53" s="11" t="s">
        <v>113</v>
      </c>
      <c r="M53" s="12">
        <f>CAJICA!M53+COTA!M54+CHIA!M53+ZIPAQUIRA!M53+TABIO!M53+TENJO!M53+SOPO!M53+GACHANCIPA!M53+TOCANCIPA!M53+NEMOCON!M53+COGUA!M53</f>
        <v>3</v>
      </c>
      <c r="N53" s="13">
        <f>M53/C17*100000</f>
        <v>3.085340519</v>
      </c>
      <c r="O53" s="12">
        <f>CAJICA!O53+COTA!O54+CHIA!O53+ZIPAQUIRA!O53+TABIO!O53+TENJO!O53+SOPO!O53+GACHANCIPA!O53+TOCANCIPA!O53+NEMOCON!O53+COGUA!O53</f>
        <v>1</v>
      </c>
      <c r="P53" s="13">
        <f>O53/D17*100000</f>
        <v>1.005004925</v>
      </c>
      <c r="Q53" s="12">
        <f>CAJICA!Q53+COTA!Q54+CHIA!Q53+ZIPAQUIRA!Q53+TABIO!Q53+TENJO!Q53+SOPO!Q53+GACHANCIPA!Q53+TOCANCIPA!Q53+NEMOCON!Q53+COGUA!Q53</f>
        <v>8</v>
      </c>
      <c r="R53" s="13">
        <f>Q53/E17*100000</f>
        <v>7.819831092</v>
      </c>
      <c r="S53" s="12">
        <f>CAJICA!S53+COTA!S54+CHIA!S53+ZIPAQUIRA!S53+TABIO!S53+TENJO!S53+SOPO!S53+GACHANCIPA!S53+TOCANCIPA!S53+NEMOCON!S53+COGUA!S53</f>
        <v>4</v>
      </c>
      <c r="T53" s="13">
        <f>S53/F17*100000</f>
        <v>3.843123691</v>
      </c>
      <c r="U53" s="12">
        <f>CAJICA!U53+COTA!U54+CHIA!U53+ZIPAQUIRA!U53+TABIO!U53+TENJO!U53+SOPO!U53+GACHANCIPA!U53+TOCANCIPA!U53+NEMOCON!U53+COGUA!U53</f>
        <v>2</v>
      </c>
      <c r="V53" s="13">
        <f>U53/G17*100000</f>
        <v>1.949868871</v>
      </c>
      <c r="W53" s="12">
        <f>CAJICA!W53+COTA!W54+CHIA!W53+ZIPAQUIRA!W53+TABIO!W53+TENJO!W53+SOPO!W53+GACHANCIPA!W53+TOCANCIPA!W53+NEMOCON!W53+COGUA!W53</f>
        <v>2</v>
      </c>
      <c r="X53" s="13">
        <f>W53/H17*100000</f>
        <v>1.920602301</v>
      </c>
      <c r="Y53" s="13">
        <f t="shared" ref="Y53:Z53" si="60">((M53+O53+Q53+S53)/4)</f>
        <v>4</v>
      </c>
      <c r="Z53" s="13">
        <f t="shared" si="60"/>
        <v>3.938325056</v>
      </c>
      <c r="AA53" s="13">
        <f t="shared" si="3"/>
        <v>3</v>
      </c>
      <c r="AB53" s="13">
        <f t="shared" si="4"/>
        <v>1.935235586</v>
      </c>
      <c r="AC53" s="37" t="s">
        <v>22</v>
      </c>
    </row>
    <row r="54" ht="14.25" customHeight="1">
      <c r="L54" s="11" t="s">
        <v>114</v>
      </c>
      <c r="M54" s="12">
        <f>CAJICA!M54+COTA!M55+CHIA!M54+ZIPAQUIRA!M54+TABIO!M54+TENJO!M54+SOPO!M54+GACHANCIPA!M54+TOCANCIPA!M54+NEMOCON!M54+COGUA!M54</f>
        <v>18</v>
      </c>
      <c r="N54" s="13">
        <f>M54/C19*100000</f>
        <v>10.45211191</v>
      </c>
      <c r="O54" s="12">
        <f>CAJICA!O54+COTA!O55+CHIA!O54+ZIPAQUIRA!O54+TABIO!O54+TENJO!O54+SOPO!O54+GACHANCIPA!O54+TOCANCIPA!O54+NEMOCON!O54+COGUA!O54</f>
        <v>29</v>
      </c>
      <c r="P54" s="13">
        <f>O54/D19*100000</f>
        <v>13.36085362</v>
      </c>
      <c r="Q54" s="12">
        <f>CAJICA!Q54+COTA!Q55+CHIA!Q54+ZIPAQUIRA!Q54+TABIO!Q54+TENJO!Q54+SOPO!Q54+GACHANCIPA!Q54+TOCANCIPA!Q54+NEMOCON!Q54+COGUA!Q54</f>
        <v>30</v>
      </c>
      <c r="R54" s="13">
        <f>Q54/E19*100000</f>
        <v>13.999916</v>
      </c>
      <c r="S54" s="12">
        <f>CAJICA!S54+COTA!S55+CHIA!S54+ZIPAQUIRA!S54+TABIO!S54+TENJO!S54+SOPO!S54+GACHANCIPA!S54+TOCANCIPA!S54+NEMOCON!S54+COGUA!S54</f>
        <v>16</v>
      </c>
      <c r="T54" s="13">
        <f>S54/F19*100000</f>
        <v>7.276564006</v>
      </c>
      <c r="U54" s="12">
        <f>CAJICA!U54+COTA!U55+CHIA!U54+ZIPAQUIRA!U54+TABIO!U54+TENJO!U54+SOPO!U54+GACHANCIPA!U54+TOCANCIPA!U54+NEMOCON!U54+COGUA!U54</f>
        <v>11</v>
      </c>
      <c r="V54" s="13">
        <f>U54/G19*100000</f>
        <v>4.800349116</v>
      </c>
      <c r="W54" s="12">
        <f>CAJICA!W54+COTA!W55+CHIA!W54+ZIPAQUIRA!W54+TABIO!W54+TENJO!W54+SOPO!W54+GACHANCIPA!W54+TOCANCIPA!W54+NEMOCON!W54+COGUA!W54</f>
        <v>5</v>
      </c>
      <c r="X54" s="13">
        <f>W54/H19*100000</f>
        <v>2.14422945</v>
      </c>
      <c r="Y54" s="13">
        <f t="shared" ref="Y54:Z54" si="61">((M54+O54+Q54+S54)/4)</f>
        <v>23.25</v>
      </c>
      <c r="Z54" s="13">
        <f t="shared" si="61"/>
        <v>11.27236138</v>
      </c>
      <c r="AA54" s="13">
        <f t="shared" si="3"/>
        <v>13.5</v>
      </c>
      <c r="AB54" s="13">
        <f t="shared" si="4"/>
        <v>3.472289283</v>
      </c>
      <c r="AC54" s="37" t="s">
        <v>22</v>
      </c>
    </row>
    <row r="55" ht="14.25" customHeight="1">
      <c r="L55" s="11" t="s">
        <v>115</v>
      </c>
      <c r="M55" s="12">
        <f>CAJICA!M55+COTA!M56+CHIA!M55+ZIPAQUIRA!M55+TABIO!M55+TENJO!M55+SOPO!M55+GACHANCIPA!M55+TOCANCIPA!M55+NEMOCON!M55+COGUA!M55</f>
        <v>93</v>
      </c>
      <c r="N55" s="13">
        <f>M55/C19*100000</f>
        <v>54.00257819</v>
      </c>
      <c r="O55" s="12">
        <f>CAJICA!O55+COTA!O56+CHIA!O55+ZIPAQUIRA!O55+TABIO!O55+TENJO!O55+SOPO!O55+GACHANCIPA!O55+TOCANCIPA!O55+NEMOCON!O55+COGUA!O55</f>
        <v>92</v>
      </c>
      <c r="P55" s="13">
        <f>O55/D19*100000</f>
        <v>42.38615631</v>
      </c>
      <c r="Q55" s="12">
        <f>CAJICA!Q55+COTA!Q56+CHIA!Q55+ZIPAQUIRA!Q55+TABIO!Q55+TENJO!Q55+SOPO!Q55+GACHANCIPA!Q55+TOCANCIPA!Q55+NEMOCON!Q55+COGUA!Q55</f>
        <v>97</v>
      </c>
      <c r="R55" s="13">
        <f>Q55/E19*100000</f>
        <v>45.26639507</v>
      </c>
      <c r="S55" s="12">
        <f>CAJICA!S55+COTA!S56+CHIA!S55+ZIPAQUIRA!S55+TABIO!S55+TENJO!S55+SOPO!S55+GACHANCIPA!S55+TOCANCIPA!S55+NEMOCON!S55+COGUA!S55</f>
        <v>88</v>
      </c>
      <c r="T55" s="13">
        <f>S55/F19*100000</f>
        <v>40.02110204</v>
      </c>
      <c r="U55" s="12">
        <f>CAJICA!U55+COTA!U56+CHIA!U55+ZIPAQUIRA!U55+TABIO!U55+TENJO!U55+SOPO!U55+GACHANCIPA!U55+TOCANCIPA!U55+NEMOCON!U55+COGUA!U55</f>
        <v>88</v>
      </c>
      <c r="V55" s="13">
        <f>U55/G19*100000</f>
        <v>38.40279293</v>
      </c>
      <c r="W55" s="12">
        <f>CAJICA!W55+COTA!W56+CHIA!W55+ZIPAQUIRA!W55+TABIO!W55+TENJO!W55+SOPO!W55+GACHANCIPA!W55+TOCANCIPA!W55+NEMOCON!W55+COGUA!W55</f>
        <v>48</v>
      </c>
      <c r="X55" s="13">
        <f>W55/H19*100000</f>
        <v>20.58460272</v>
      </c>
      <c r="Y55" s="13">
        <f t="shared" ref="Y55:Z55" si="62">((M55+O55+Q55+S55)/4)</f>
        <v>92.5</v>
      </c>
      <c r="Z55" s="13">
        <f t="shared" si="62"/>
        <v>45.4190579</v>
      </c>
      <c r="AA55" s="13">
        <f t="shared" si="3"/>
        <v>88</v>
      </c>
      <c r="AB55" s="13">
        <f t="shared" si="4"/>
        <v>29.49369782</v>
      </c>
      <c r="AC55" s="37" t="s">
        <v>22</v>
      </c>
    </row>
    <row r="56" ht="14.25" customHeight="1">
      <c r="L56" s="11" t="s">
        <v>116</v>
      </c>
      <c r="M56" s="12">
        <f>CAJICA!M56+COTA!M57+CHIA!M56+ZIPAQUIRA!M56+TABIO!M56+TENJO!M56+SOPO!M56+GACHANCIPA!M56+TOCANCIPA!M56+NEMOCON!M56+COGUA!M56</f>
        <v>0</v>
      </c>
      <c r="N56" s="13">
        <f>M56/C7*100000</f>
        <v>0</v>
      </c>
      <c r="O56" s="12">
        <f>CAJICA!O56+COTA!O57+CHIA!O56+ZIPAQUIRA!O56+TABIO!O56+TENJO!O56+SOPO!O56+GACHANCIPA!O56+TOCANCIPA!O56+NEMOCON!O56+COGUA!O56</f>
        <v>0</v>
      </c>
      <c r="P56" s="13">
        <f>O56/D7*100000</f>
        <v>0</v>
      </c>
      <c r="Q56" s="12">
        <f>CAJICA!Q56+COTA!Q57+CHIA!Q56+ZIPAQUIRA!Q56+TABIO!Q56+TENJO!Q56+SOPO!Q56+GACHANCIPA!Q56+TOCANCIPA!Q56+NEMOCON!Q56+COGUA!Q56</f>
        <v>0</v>
      </c>
      <c r="R56" s="13">
        <f>Q56/E7*100000</f>
        <v>0</v>
      </c>
      <c r="S56" s="12">
        <f>CAJICA!S56+COTA!S57+CHIA!S56+ZIPAQUIRA!S56+TABIO!S56+TENJO!S56+SOPO!S56+GACHANCIPA!S56+TOCANCIPA!S56+NEMOCON!S56+COGUA!S56</f>
        <v>0</v>
      </c>
      <c r="T56" s="13">
        <f>S56/F7*100000</f>
        <v>0</v>
      </c>
      <c r="U56" s="12">
        <f>CAJICA!U56+COTA!U57+CHIA!U56+ZIPAQUIRA!U56+TABIO!U56+TENJO!U56+SOPO!U56+GACHANCIPA!U56+TOCANCIPA!U56+NEMOCON!U56+COGUA!U56</f>
        <v>0</v>
      </c>
      <c r="V56" s="13">
        <f>U56/G7*100000</f>
        <v>0</v>
      </c>
      <c r="W56" s="12">
        <f>CAJICA!W56+COTA!W57+CHIA!W56+ZIPAQUIRA!W56+TABIO!W56+TENJO!W56+SOPO!W56+GACHANCIPA!W56+TOCANCIPA!W56+NEMOCON!W56+COGUA!W56</f>
        <v>0</v>
      </c>
      <c r="X56" s="13">
        <f>W56/H7*100000</f>
        <v>0</v>
      </c>
      <c r="Y56" s="13">
        <f t="shared" ref="Y56:Z56" si="63">((M56+O56+Q56+S56)/4)</f>
        <v>0</v>
      </c>
      <c r="Z56" s="13">
        <f t="shared" si="63"/>
        <v>0</v>
      </c>
      <c r="AA56" s="13">
        <f t="shared" si="3"/>
        <v>0</v>
      </c>
      <c r="AB56" s="13">
        <f t="shared" si="4"/>
        <v>0</v>
      </c>
      <c r="AC56" s="37" t="s">
        <v>22</v>
      </c>
    </row>
    <row r="57" ht="14.25" customHeight="1">
      <c r="L57" s="11" t="s">
        <v>117</v>
      </c>
      <c r="M57" s="12">
        <f>CAJICA!M57+COTA!M58+CHIA!M57+ZIPAQUIRA!M57+TABIO!M57+TENJO!M57+SOPO!M57+GACHANCIPA!M57+TOCANCIPA!M57+NEMOCON!M57+COGUA!M57</f>
        <v>0</v>
      </c>
      <c r="N57" s="13">
        <f>M57/M4*100000</f>
        <v>0</v>
      </c>
      <c r="O57" s="12">
        <f>CAJICA!O57+COTA!O58+CHIA!O57+ZIPAQUIRA!O57+TABIO!O57+TENJO!O57+SOPO!O57+GACHANCIPA!O57+TOCANCIPA!O57+NEMOCON!O57+COGUA!O57</f>
        <v>0</v>
      </c>
      <c r="P57" s="13">
        <f>O57/O4*100000</f>
        <v>0</v>
      </c>
      <c r="Q57" s="12">
        <f>CAJICA!Q57+COTA!Q58+CHIA!Q57+ZIPAQUIRA!Q57+TABIO!Q57+TENJO!Q57+SOPO!Q57+GACHANCIPA!Q57+TOCANCIPA!Q57+NEMOCON!Q57+COGUA!Q57</f>
        <v>0</v>
      </c>
      <c r="R57" s="13">
        <f>Q57/Q4*100000</f>
        <v>0</v>
      </c>
      <c r="S57" s="12">
        <f>CAJICA!S57+COTA!S58+CHIA!S57+ZIPAQUIRA!S57+TABIO!S57+TENJO!S57+SOPO!S57+GACHANCIPA!S57+TOCANCIPA!S57+NEMOCON!S57+COGUA!S57</f>
        <v>0</v>
      </c>
      <c r="T57" s="13">
        <f>S57/S4*100000</f>
        <v>0</v>
      </c>
      <c r="U57" s="12">
        <f>CAJICA!U57+COTA!U58+CHIA!U57+ZIPAQUIRA!U57+TABIO!U57+TENJO!U57+SOPO!U57+GACHANCIPA!U57+TOCANCIPA!U57+NEMOCON!U57+COGUA!U57</f>
        <v>0</v>
      </c>
      <c r="V57" s="13">
        <f>U57/U4*100000</f>
        <v>0</v>
      </c>
      <c r="W57" s="12">
        <f>CAJICA!W57+COTA!W58+CHIA!W57+ZIPAQUIRA!W57+TABIO!W57+TENJO!W57+SOPO!W57+GACHANCIPA!W57+TOCANCIPA!W57+NEMOCON!W57+COGUA!W57</f>
        <v>0</v>
      </c>
      <c r="X57" s="13">
        <f>W57/W4*100000</f>
        <v>0</v>
      </c>
      <c r="Y57" s="13">
        <f t="shared" ref="Y57:Z57" si="64">((M57+O57+Q57+S57)/4)</f>
        <v>0</v>
      </c>
      <c r="Z57" s="13">
        <f t="shared" si="64"/>
        <v>0</v>
      </c>
      <c r="AA57" s="13">
        <f t="shared" si="3"/>
        <v>0</v>
      </c>
      <c r="AB57" s="13">
        <f t="shared" si="4"/>
        <v>0</v>
      </c>
      <c r="AC57" s="14" t="s">
        <v>48</v>
      </c>
    </row>
    <row r="58" ht="14.25" customHeight="1">
      <c r="L58" s="11" t="s">
        <v>118</v>
      </c>
      <c r="M58" s="12">
        <f>CAJICA!M58+COTA!M59+CHIA!M58+ZIPAQUIRA!M58+TABIO!M58+TENJO!M58+SOPO!M58+GACHANCIPA!M58+TOCANCIPA!M58+NEMOCON!M58+COGUA!M58</f>
        <v>238</v>
      </c>
      <c r="N58" s="28">
        <f>M58/C7*100000</f>
        <v>75.11132571</v>
      </c>
      <c r="O58" s="12">
        <f>CAJICA!O58+COTA!O59+CHIA!O58+ZIPAQUIRA!O58+TABIO!O58+TENJO!O58+SOPO!O58+GACHANCIPA!O58+TOCANCIPA!O58+NEMOCON!O58+COGUA!O58</f>
        <v>228</v>
      </c>
      <c r="P58" s="28">
        <f>O58/D7*100000</f>
        <v>69.53381844</v>
      </c>
      <c r="Q58" s="12">
        <f>CAJICA!Q58+COTA!Q59+CHIA!Q58+ZIPAQUIRA!Q58+TABIO!Q58+TENJO!Q58+SOPO!Q58+GACHANCIPA!Q58+TOCANCIPA!Q58+NEMOCON!Q58+COGUA!Q58</f>
        <v>276</v>
      </c>
      <c r="R58" s="28">
        <f>Q58/E7*100000</f>
        <v>81.61575539</v>
      </c>
      <c r="S58" s="12">
        <f>CAJICA!S58+COTA!S59+CHIA!S58+ZIPAQUIRA!S58+TABIO!S58+TENJO!S58+SOPO!S58+GACHANCIPA!S58+TOCANCIPA!S58+NEMOCON!S58+COGUA!S58</f>
        <v>239</v>
      </c>
      <c r="T58" s="28">
        <f>S58/F7*100000</f>
        <v>68.57510121</v>
      </c>
      <c r="U58" s="12">
        <f>CAJICA!U58+COTA!U59+CHIA!U58+ZIPAQUIRA!U58+TABIO!U58+TENJO!U58+SOPO!U58+GACHANCIPA!U58+TOCANCIPA!U58+NEMOCON!U58+COGUA!U58</f>
        <v>264</v>
      </c>
      <c r="V58" s="28">
        <f>U58/G7*100000</f>
        <v>73.60300657</v>
      </c>
      <c r="W58" s="12">
        <f>CAJICA!W58+COTA!W59+CHIA!W58+ZIPAQUIRA!W58+TABIO!W58+TENJO!W58+SOPO!W58+GACHANCIPA!W58+TOCANCIPA!W58+NEMOCON!W58+COGUA!W58</f>
        <v>125</v>
      </c>
      <c r="X58" s="28">
        <f>W58/H7*100000</f>
        <v>33.92397231</v>
      </c>
      <c r="Y58" s="13">
        <f t="shared" ref="Y58:Z58" si="65">((M58+O58+Q58+S58)/4)</f>
        <v>245.25</v>
      </c>
      <c r="Z58" s="13">
        <f t="shared" si="65"/>
        <v>73.70900019</v>
      </c>
      <c r="AA58" s="13">
        <f t="shared" si="3"/>
        <v>251.5</v>
      </c>
      <c r="AB58" s="13">
        <f t="shared" si="4"/>
        <v>53.76348944</v>
      </c>
      <c r="AC58" s="37" t="s">
        <v>22</v>
      </c>
    </row>
    <row r="59" ht="14.25" customHeight="1">
      <c r="L59" s="38" t="s">
        <v>119</v>
      </c>
      <c r="M59" s="12">
        <f>CAJICA!M59+COTA!M60+CHIA!M59+ZIPAQUIRA!M59+TABIO!M59+TENJO!M59+SOPO!M59+GACHANCIPA!M59+TOCANCIPA!M59+NEMOCON!M59+COGUA!M59</f>
        <v>1</v>
      </c>
      <c r="N59" s="28">
        <f>M59/C7*100000</f>
        <v>0.3155938055</v>
      </c>
      <c r="O59" s="12">
        <f>CAJICA!O59+COTA!O60+CHIA!O59+ZIPAQUIRA!O59+TABIO!O59+TENJO!O59+SOPO!O59+GACHANCIPA!O59+TOCANCIPA!O59+NEMOCON!O59+COGUA!O59</f>
        <v>3</v>
      </c>
      <c r="P59" s="28">
        <f>O59/D7*100000</f>
        <v>0.9149186637</v>
      </c>
      <c r="Q59" s="12">
        <f>CAJICA!Q59+COTA!Q60+CHIA!Q59+ZIPAQUIRA!Q59+TABIO!Q59+TENJO!Q59+SOPO!Q59+GACHANCIPA!Q59+TOCANCIPA!Q59+NEMOCON!Q59+COGUA!Q59</f>
        <v>2</v>
      </c>
      <c r="R59" s="28">
        <f>Q59/E7*100000</f>
        <v>0.5914185173</v>
      </c>
      <c r="S59" s="12">
        <f>CAJICA!S59+COTA!S60+CHIA!S59+ZIPAQUIRA!S59+TABIO!S59+TENJO!S59+SOPO!S59+GACHANCIPA!S59+TOCANCIPA!S59+NEMOCON!S59+COGUA!S59</f>
        <v>1</v>
      </c>
      <c r="T59" s="39">
        <f>S59/F7*100000</f>
        <v>0.2869251097</v>
      </c>
      <c r="U59" s="12">
        <f>CAJICA!U59+COTA!U60+CHIA!U59+ZIPAQUIRA!U59+TABIO!U59+TENJO!U59+SOPO!U59+GACHANCIPA!U59+TOCANCIPA!U59+NEMOCON!U59+COGUA!U59</f>
        <v>2</v>
      </c>
      <c r="V59" s="39">
        <f>U59/G7*100000</f>
        <v>0.5575985346</v>
      </c>
      <c r="W59" s="12">
        <f>CAJICA!W59+COTA!W60+CHIA!W59+ZIPAQUIRA!W59+TABIO!W59+TENJO!W59+SOPO!W59+GACHANCIPA!W59+TOCANCIPA!W59+NEMOCON!W59+COGUA!W59</f>
        <v>0</v>
      </c>
      <c r="X59" s="39">
        <f>W59/H7*100000</f>
        <v>0</v>
      </c>
      <c r="Y59" s="40">
        <f t="shared" ref="Y59:Z59" si="66">((M59+O59+Q59+S59)/4)</f>
        <v>1.75</v>
      </c>
      <c r="Z59" s="40">
        <f t="shared" si="66"/>
        <v>0.5272140241</v>
      </c>
      <c r="AA59" s="13">
        <f t="shared" si="3"/>
        <v>1.5</v>
      </c>
      <c r="AB59" s="13">
        <f t="shared" si="4"/>
        <v>0.2787992673</v>
      </c>
      <c r="AC59" s="41" t="s">
        <v>22</v>
      </c>
    </row>
    <row r="60" ht="14.25" customHeight="1">
      <c r="L60" s="11" t="s">
        <v>120</v>
      </c>
      <c r="M60" s="12">
        <f>CAJICA!M60+COTA!M61+CHIA!M60+ZIPAQUIRA!M60+TABIO!M60+TENJO!M60+SOPO!M60+GACHANCIPA!M60+TOCANCIPA!M60+NEMOCON!M60+COGUA!M60</f>
        <v>12</v>
      </c>
      <c r="N60" s="28">
        <f>M60/C17*100000</f>
        <v>12.34136207</v>
      </c>
      <c r="O60" s="12">
        <f>CAJICA!O60+COTA!O61+CHIA!O60+ZIPAQUIRA!O60+TABIO!O60+TENJO!O60+SOPO!O60+GACHANCIPA!O60+TOCANCIPA!O60+NEMOCON!O60+COGUA!O60</f>
        <v>14</v>
      </c>
      <c r="P60" s="28">
        <f>O60/D17*100000</f>
        <v>14.07006894</v>
      </c>
      <c r="Q60" s="12">
        <f>CAJICA!Q60+COTA!Q61+CHIA!Q60+ZIPAQUIRA!Q60+TABIO!Q60+TENJO!Q60+SOPO!Q60+GACHANCIPA!Q60+TOCANCIPA!Q60+NEMOCON!Q60+COGUA!Q60</f>
        <v>15</v>
      </c>
      <c r="R60" s="28">
        <f>Q60/E17*100000</f>
        <v>14.6621833</v>
      </c>
      <c r="S60" s="12">
        <f>CAJICA!S60+COTA!S61+CHIA!S60+ZIPAQUIRA!S60+TABIO!S60+TENJO!S60+SOPO!S60+GACHANCIPA!S60+TOCANCIPA!S60+NEMOCON!S60+COGUA!S60</f>
        <v>16</v>
      </c>
      <c r="T60" s="28">
        <f>S60/F17*100000</f>
        <v>15.37249476</v>
      </c>
      <c r="U60" s="12">
        <f>CAJICA!U60+COTA!U61+CHIA!U60+ZIPAQUIRA!U60+TABIO!U60+TENJO!U60+SOPO!U60+GACHANCIPA!U60+TOCANCIPA!U60+NEMOCON!U60+COGUA!U60</f>
        <v>14</v>
      </c>
      <c r="V60" s="28">
        <f>U60/G17*100000</f>
        <v>13.6490821</v>
      </c>
      <c r="W60" s="12">
        <f>CAJICA!W60+COTA!W61+CHIA!W60+ZIPAQUIRA!W60+TABIO!W60+TENJO!W60+SOPO!W60+GACHANCIPA!W60+TOCANCIPA!W60+NEMOCON!W60+COGUA!W60</f>
        <v>9</v>
      </c>
      <c r="X60" s="28">
        <f>W60/H17*100000</f>
        <v>8.642710354</v>
      </c>
      <c r="Y60" s="40">
        <f>((M60+O60+Q60+S60)/4)</f>
        <v>14.25</v>
      </c>
      <c r="Z60" s="40">
        <f>((N60+P60+R60+T60)/1)</f>
        <v>56.44610908</v>
      </c>
      <c r="AA60" s="13">
        <f t="shared" si="3"/>
        <v>15</v>
      </c>
      <c r="AB60" s="13">
        <f t="shared" si="4"/>
        <v>11.14589623</v>
      </c>
      <c r="AC60" s="37" t="s">
        <v>48</v>
      </c>
    </row>
    <row r="61" ht="14.25" customHeight="1">
      <c r="L61" s="11" t="s">
        <v>121</v>
      </c>
      <c r="M61" s="12">
        <f>CAJICA!M61+COTA!M62+CHIA!M61+ZIPAQUIRA!M61+TABIO!M61+TENJO!M61+SOPO!M61+GACHANCIPA!M61+TOCANCIPA!M61+NEMOCON!M61+COGUA!M61</f>
        <v>1767</v>
      </c>
      <c r="N61" s="28">
        <f>M61/C15*1000</f>
        <v>64.72290392</v>
      </c>
      <c r="O61" s="12">
        <f>CAJICA!O61+COTA!O62+CHIA!O61+ZIPAQUIRA!O61+TABIO!O61+TENJO!O61+SOPO!O61+GACHANCIPA!O61+TOCANCIPA!O61+NEMOCON!O61+COGUA!O61</f>
        <v>1778</v>
      </c>
      <c r="P61" s="28">
        <f>O61/D15*1000</f>
        <v>63.78933018</v>
      </c>
      <c r="Q61" s="12">
        <f>CAJICA!Q61+COTA!Q62+CHIA!Q61+ZIPAQUIRA!Q61+TABIO!Q61+TENJO!Q61+SOPO!Q61+GACHANCIPA!Q61+TOCANCIPA!Q61+NEMOCON!Q61+COGUA!Q61</f>
        <v>3134</v>
      </c>
      <c r="R61" s="28">
        <f>Q61/E15*1000</f>
        <v>110.31327</v>
      </c>
      <c r="S61" s="12">
        <f>CAJICA!S61+COTA!S62+CHIA!S61+ZIPAQUIRA!S61+TABIO!S61+TENJO!S61+SOPO!S61+GACHANCIPA!S61+TOCANCIPA!S61+NEMOCON!S61+COGUA!S61</f>
        <v>1612</v>
      </c>
      <c r="T61" s="28">
        <f>S61/F15*1000</f>
        <v>57.60640389</v>
      </c>
      <c r="U61" s="12">
        <f>CAJICA!U61+COTA!U62+CHIA!U61+ZIPAQUIRA!U61+TABIO!U61+TENJO!U61+SOPO!U61+GACHANCIPA!U61+TOCANCIPA!U61+NEMOCON!U61+COGUA!U61</f>
        <v>2500</v>
      </c>
      <c r="V61" s="28">
        <f>U61/G15*1000</f>
        <v>89.73116543</v>
      </c>
      <c r="W61" s="12">
        <f>CAJICA!W61+COTA!W62+CHIA!W61+ZIPAQUIRA!W61+TABIO!W61+TENJO!W61+SOPO!W61+GACHANCIPA!W61+TOCANCIPA!W61+NEMOCON!W61+COGUA!W61</f>
        <v>1315</v>
      </c>
      <c r="X61" s="28">
        <f>W61/H23*1000</f>
        <v>41.28858049</v>
      </c>
      <c r="Y61" s="40">
        <f t="shared" ref="Y61:Z61" si="67">((M61+O61+Q61+S61)/1)</f>
        <v>8291</v>
      </c>
      <c r="Z61" s="40">
        <f t="shared" si="67"/>
        <v>296.431908</v>
      </c>
      <c r="AA61" s="13">
        <f t="shared" si="3"/>
        <v>2056</v>
      </c>
      <c r="AB61" s="13">
        <f t="shared" si="4"/>
        <v>65.50987296</v>
      </c>
      <c r="AC61" s="37" t="s">
        <v>48</v>
      </c>
    </row>
    <row r="62" ht="14.25" customHeight="1">
      <c r="L62" s="11" t="s">
        <v>122</v>
      </c>
      <c r="M62" s="12">
        <f>CAJICA!M62+COTA!M63+CHIA!M62+ZIPAQUIRA!M62+TABIO!M62+TENJO!M62+SOPO!M62+GACHANCIPA!M62+TOCANCIPA!M62+NEMOCON!M62+COGUA!M62</f>
        <v>2910</v>
      </c>
      <c r="N62" s="28">
        <f>M62/C15*1000</f>
        <v>106.5895022</v>
      </c>
      <c r="O62" s="12">
        <f>CAJICA!O62+COTA!O63+CHIA!O62+ZIPAQUIRA!O62+TABIO!O62+TENJO!O62+SOPO!O62+GACHANCIPA!O62+TOCANCIPA!O62+NEMOCON!O62+COGUA!O62</f>
        <v>4122</v>
      </c>
      <c r="P62" s="28">
        <f>O62/D15*1000</f>
        <v>147.88505</v>
      </c>
      <c r="Q62" s="12">
        <f>CAJICA!Q62+COTA!Q63+CHIA!Q62+ZIPAQUIRA!Q62+TABIO!Q62+TENJO!Q62+SOPO!Q62+GACHANCIPA!Q62+TOCANCIPA!Q62+NEMOCON!Q62+COGUA!Q62</f>
        <v>12840</v>
      </c>
      <c r="R62" s="28">
        <f>Q62/E15*1000</f>
        <v>451.9535375</v>
      </c>
      <c r="S62" s="12">
        <f>CAJICA!S62+COTA!S63+CHIA!S62+ZIPAQUIRA!S62+TABIO!S62+TENJO!S62+SOPO!S62+GACHANCIPA!S62+TOCANCIPA!S62+NEMOCON!S62+COGUA!S62</f>
        <v>11085</v>
      </c>
      <c r="T62" s="28">
        <f>S62/F15*1000</f>
        <v>396.1333667</v>
      </c>
      <c r="U62" s="12">
        <f>CAJICA!U62+COTA!U63+CHIA!U62+ZIPAQUIRA!U62+TABIO!U62+TENJO!U62+SOPO!U62+GACHANCIPA!U62+TOCANCIPA!U62+NEMOCON!U62+COGUA!U62</f>
        <v>10903</v>
      </c>
      <c r="V62" s="28">
        <f>U62/G15*1000</f>
        <v>391.3355587</v>
      </c>
      <c r="W62" s="12">
        <f>CAJICA!W62+COTA!W63+CHIA!W62+ZIPAQUIRA!W62+TABIO!W62+TENJO!W62+SOPO!W62+GACHANCIPA!W62+TOCANCIPA!W62+NEMOCON!W62+COGUA!W62</f>
        <v>5602</v>
      </c>
      <c r="X62" s="28">
        <f>W62/H15*1000</f>
        <v>200.2717003</v>
      </c>
      <c r="Y62" s="40">
        <f t="shared" ref="Y62:Z62" si="68">((M62+O62+Q62+S62)/1)</f>
        <v>30957</v>
      </c>
      <c r="Z62" s="40">
        <f t="shared" si="68"/>
        <v>1102.561456</v>
      </c>
      <c r="AA62" s="13">
        <f t="shared" si="3"/>
        <v>10994</v>
      </c>
      <c r="AB62" s="13">
        <f t="shared" si="4"/>
        <v>295.8036295</v>
      </c>
      <c r="AC62" s="37" t="s">
        <v>48</v>
      </c>
    </row>
    <row r="63" ht="14.25" customHeight="1">
      <c r="L63" s="11" t="s">
        <v>123</v>
      </c>
      <c r="M63" s="12">
        <f>CAJICA!M63+COTA!M64+CHIA!M63+ZIPAQUIRA!M63+TABIO!M63+TENJO!M63+SOPO!M63+GACHANCIPA!M63+TOCANCIPA!M63+NEMOCON!M63+COGUA!M63</f>
        <v>27</v>
      </c>
      <c r="N63" s="28">
        <f>M63/C17*100000</f>
        <v>27.76806467</v>
      </c>
      <c r="O63" s="12">
        <f>CAJICA!O63+COTA!O64+CHIA!O63+ZIPAQUIRA!O63+TABIO!O63+TENJO!O63+SOPO!O63+GACHANCIPA!O63+TOCANCIPA!O63+NEMOCON!O63+COGUA!O63</f>
        <v>161</v>
      </c>
      <c r="P63" s="28">
        <f>O63/D17*100000</f>
        <v>161.8057928</v>
      </c>
      <c r="Q63" s="12">
        <f>CAJICA!Q63+COTA!Q64+CHIA!Q63+ZIPAQUIRA!Q63+TABIO!Q63+TENJO!Q63+SOPO!Q63+GACHANCIPA!Q63+TOCANCIPA!Q63+NEMOCON!Q63+COGUA!Q63</f>
        <v>248</v>
      </c>
      <c r="R63" s="28">
        <f>Q63/E17*100000</f>
        <v>242.4147638</v>
      </c>
      <c r="S63" s="12">
        <f>CAJICA!S63+COTA!S64+CHIA!S63+ZIPAQUIRA!S63+TABIO!S63+TENJO!S63+SOPO!S63+GACHANCIPA!S63+TOCANCIPA!S63+NEMOCON!S63+COGUA!S63</f>
        <v>239</v>
      </c>
      <c r="T63" s="28">
        <f>S63/F17*100000</f>
        <v>229.6266405</v>
      </c>
      <c r="U63" s="12">
        <f>CAJICA!U63+COTA!U64+CHIA!U63+ZIPAQUIRA!U63+TABIO!U63+TENJO!U63+SOPO!U63+GACHANCIPA!U63+TOCANCIPA!U63+NEMOCON!U63+COGUA!U63</f>
        <v>252</v>
      </c>
      <c r="V63" s="28">
        <f>U63/G17*100000</f>
        <v>245.6834778</v>
      </c>
      <c r="W63" s="12">
        <f>CAJICA!W63+COTA!W64+CHIA!W63+ZIPAQUIRA!W63+TABIO!W63+TENJO!W63+SOPO!W63+GACHANCIPA!W63+TOCANCIPA!W63+NEMOCON!W63+COGUA!W63</f>
        <v>139</v>
      </c>
      <c r="X63" s="28">
        <f>W63/H17*100000</f>
        <v>133.4818599</v>
      </c>
      <c r="Y63" s="40">
        <f t="shared" ref="Y63:Z63" si="69">((M63+O63+Q63+S63)/1)</f>
        <v>675</v>
      </c>
      <c r="Z63" s="40">
        <f t="shared" si="69"/>
        <v>661.6152619</v>
      </c>
      <c r="AA63" s="13">
        <f t="shared" si="3"/>
        <v>245.5</v>
      </c>
      <c r="AB63" s="13">
        <f t="shared" si="4"/>
        <v>189.5826688</v>
      </c>
      <c r="AC63" s="37" t="s">
        <v>48</v>
      </c>
    </row>
    <row r="64" ht="14.25" customHeight="1">
      <c r="L64" s="11" t="s">
        <v>124</v>
      </c>
      <c r="M64" s="12">
        <f>CAJICA!M64+COTA!M65+CHIA!M64+ZIPAQUIRA!M64+TABIO!M64+TENJO!M64+SOPO!M64+GACHANCIPA!M64+TOCANCIPA!M64+NEMOCON!M64+COGUA!M64</f>
        <v>17</v>
      </c>
      <c r="N64" s="28">
        <f>M64/C17*100000</f>
        <v>17.48359627</v>
      </c>
      <c r="O64" s="12">
        <f>CAJICA!O64+COTA!O65+CHIA!O64+ZIPAQUIRA!O64+TABIO!O64+TENJO!O64+SOPO!O64+GACHANCIPA!O64+TOCANCIPA!O64+NEMOCON!O64+COGUA!O64</f>
        <v>23</v>
      </c>
      <c r="P64" s="28">
        <f>O64/D17*100000</f>
        <v>23.11511326</v>
      </c>
      <c r="Q64" s="12">
        <f>CAJICA!Q64+COTA!Q65+CHIA!Q64+ZIPAQUIRA!Q64+TABIO!Q64+TENJO!Q64+SOPO!Q64+GACHANCIPA!Q64+TOCANCIPA!Q64+NEMOCON!Q64+COGUA!Q64</f>
        <v>37</v>
      </c>
      <c r="R64" s="28">
        <f>Q64/E17*100000</f>
        <v>36.1667188</v>
      </c>
      <c r="S64" s="12">
        <f>CAJICA!S64+COTA!S65+CHIA!S64+ZIPAQUIRA!S64+TABIO!S64+TENJO!S64+SOPO!S64+GACHANCIPA!S64+TOCANCIPA!S64+NEMOCON!S64+COGUA!S64</f>
        <v>19</v>
      </c>
      <c r="T64" s="28">
        <f>S64/F17*100000</f>
        <v>18.25483753</v>
      </c>
      <c r="U64" s="12">
        <f>CAJICA!U64+COTA!U65+CHIA!U64+ZIPAQUIRA!U64+TABIO!U64+TENJO!U64+SOPO!U64+GACHANCIPA!U64+TOCANCIPA!U64+NEMOCON!U64+COGUA!U64</f>
        <v>25</v>
      </c>
      <c r="V64" s="28">
        <f>U64/G17*100000</f>
        <v>24.37336089</v>
      </c>
      <c r="W64" s="12">
        <f>CAJICA!W64+COTA!W65+CHIA!W64+ZIPAQUIRA!W64+TABIO!W64+TENJO!W64+SOPO!W64+GACHANCIPA!W64+TOCANCIPA!W64+NEMOCON!W64+COGUA!W64</f>
        <v>12</v>
      </c>
      <c r="X64" s="28">
        <f>W64/H17*100000</f>
        <v>11.52361381</v>
      </c>
      <c r="Y64" s="40">
        <f t="shared" ref="Y64:Z64" si="70">((M64+O64+Q64+S64)/1)</f>
        <v>96</v>
      </c>
      <c r="Z64" s="40">
        <f t="shared" si="70"/>
        <v>95.02026587</v>
      </c>
      <c r="AA64" s="13">
        <f t="shared" si="3"/>
        <v>22</v>
      </c>
      <c r="AB64" s="13">
        <f t="shared" si="4"/>
        <v>17.94848735</v>
      </c>
      <c r="AC64" s="37" t="s">
        <v>125</v>
      </c>
    </row>
    <row r="65" ht="14.25" customHeight="1">
      <c r="L65" s="42" t="s">
        <v>126</v>
      </c>
      <c r="M65" s="12">
        <f>CAJICA!M65+COTA!M66+CHIA!M65+ZIPAQUIRA!M65+TABIO!M65+TENJO!M65+SOPO!M65+GACHANCIPA!M65+TOCANCIPA!M65+NEMOCON!M65+COGUA!M65</f>
        <v>86</v>
      </c>
      <c r="N65" s="28">
        <f>M65/C17*100000</f>
        <v>88.4464282</v>
      </c>
      <c r="O65" s="12">
        <f>CAJICA!O65+COTA!O66+CHIA!O65+ZIPAQUIRA!O65+TABIO!O65+TENJO!O65+SOPO!O65+GACHANCIPA!O65+TOCANCIPA!O65+NEMOCON!O65+COGUA!O65</f>
        <v>94</v>
      </c>
      <c r="P65" s="28">
        <f>O65/D17*100000</f>
        <v>94.47046291</v>
      </c>
      <c r="Q65" s="12">
        <f>CAJICA!Q65+COTA!Q66+CHIA!Q65+ZIPAQUIRA!Q65+TABIO!Q65+TENJO!Q65+SOPO!Q65+GACHANCIPA!Q65+TOCANCIPA!Q65+NEMOCON!Q65+COGUA!Q65</f>
        <v>136</v>
      </c>
      <c r="R65" s="28">
        <f>Q65/E17*100000</f>
        <v>132.9371286</v>
      </c>
      <c r="S65" s="12">
        <f>CAJICA!S65+COTA!S66+CHIA!S65+ZIPAQUIRA!S65+TABIO!S65+TENJO!S65+SOPO!S65+GACHANCIPA!S65+TOCANCIPA!S65+NEMOCON!S65+COGUA!S65</f>
        <v>159</v>
      </c>
      <c r="T65" s="28">
        <f>S65/F17*100000</f>
        <v>152.7641667</v>
      </c>
      <c r="U65" s="12">
        <f>CAJICA!U65+COTA!U66+CHIA!U65+ZIPAQUIRA!U65+TABIO!U65+TENJO!U65+SOPO!U65+GACHANCIPA!U65+TOCANCIPA!U65+NEMOCON!U65+COGUA!U65</f>
        <v>154</v>
      </c>
      <c r="V65" s="28">
        <f>U65/G17*100000</f>
        <v>150.1399031</v>
      </c>
      <c r="W65" s="12">
        <f>CAJICA!W65+COTA!W66+CHIA!W65+ZIPAQUIRA!W65+TABIO!W65+TENJO!W65+SOPO!W65+GACHANCIPA!W65+TOCANCIPA!W65+NEMOCON!W65+COGUA!W65</f>
        <v>70</v>
      </c>
      <c r="X65" s="28">
        <f>W65/H17*100000</f>
        <v>67.22108053</v>
      </c>
      <c r="Y65" s="40">
        <f t="shared" ref="Y65:Z65" si="71">((M65+O65+Q65+S65)/1)</f>
        <v>475</v>
      </c>
      <c r="Z65" s="40">
        <f t="shared" si="71"/>
        <v>468.6181864</v>
      </c>
      <c r="AA65" s="13">
        <f t="shared" si="3"/>
        <v>156.5</v>
      </c>
      <c r="AB65" s="13">
        <f t="shared" si="4"/>
        <v>108.6804918</v>
      </c>
      <c r="AC65" s="37" t="s">
        <v>48</v>
      </c>
    </row>
    <row r="66" ht="14.25" customHeight="1">
      <c r="L66" s="42" t="s">
        <v>127</v>
      </c>
      <c r="M66" s="12">
        <f>CAJICA!M66+COTA!M67+CHIA!M66+ZIPAQUIRA!M66+TABIO!M66+TENJO!M66+SOPO!M66+GACHANCIPA!M66+TOCANCIPA!M66+NEMOCON!M66+COGUA!M66</f>
        <v>125</v>
      </c>
      <c r="N66" s="28">
        <f>M66/C17*100000</f>
        <v>128.5558549</v>
      </c>
      <c r="O66" s="12">
        <f>CAJICA!O66+COTA!O67+CHIA!O66+ZIPAQUIRA!O66+TABIO!O66+TENJO!O66+SOPO!O66+GACHANCIPA!O66+TOCANCIPA!O66+NEMOCON!O66+COGUA!O66</f>
        <v>67</v>
      </c>
      <c r="P66" s="28">
        <f>O66/D17*100000</f>
        <v>67.33532994</v>
      </c>
      <c r="Q66" s="12">
        <f>CAJICA!Q66+COTA!Q67+CHIA!Q66+ZIPAQUIRA!Q66+TABIO!Q66+TENJO!Q66+SOPO!Q66+GACHANCIPA!Q66+TOCANCIPA!Q66+NEMOCON!Q66+COGUA!Q66</f>
        <v>149</v>
      </c>
      <c r="R66" s="28">
        <f>Q66/E17*100000</f>
        <v>145.6443541</v>
      </c>
      <c r="S66" s="12">
        <f>CAJICA!S66+COTA!S67+CHIA!S66+ZIPAQUIRA!S66+TABIO!S66+TENJO!S66+SOPO!S66+GACHANCIPA!S66+TOCANCIPA!S66+NEMOCON!S66+COGUA!S66</f>
        <v>270</v>
      </c>
      <c r="T66" s="28">
        <f>S66/F17*100000</f>
        <v>259.4108491</v>
      </c>
      <c r="U66" s="12">
        <f>CAJICA!U66+COTA!U67+CHIA!U66+ZIPAQUIRA!U66+TABIO!U66+TENJO!U66+SOPO!U66+GACHANCIPA!U66+TOCANCIPA!U66+NEMOCON!U66+COGUA!U66</f>
        <v>326</v>
      </c>
      <c r="V66" s="28">
        <f>U66/G17*100000</f>
        <v>317.828626</v>
      </c>
      <c r="W66" s="12">
        <f>CAJICA!W66+COTA!W67+CHIA!W66+ZIPAQUIRA!W66+TABIO!W66+TENJO!W66+SOPO!W66+GACHANCIPA!W66+TOCANCIPA!W66+NEMOCON!W66+COGUA!W66</f>
        <v>162</v>
      </c>
      <c r="X66" s="28">
        <f>W66/H17*100000</f>
        <v>155.5687864</v>
      </c>
      <c r="Y66" s="40">
        <f t="shared" ref="Y66:Z66" si="72">((M66+O66+Q66+S66)/1)</f>
        <v>611</v>
      </c>
      <c r="Z66" s="40">
        <f t="shared" si="72"/>
        <v>600.9463881</v>
      </c>
      <c r="AA66" s="13">
        <f t="shared" si="3"/>
        <v>298</v>
      </c>
      <c r="AB66" s="13">
        <f t="shared" si="4"/>
        <v>236.6987062</v>
      </c>
      <c r="AC66" s="37" t="s">
        <v>48</v>
      </c>
    </row>
    <row r="67" ht="14.25" customHeight="1">
      <c r="L67" s="11" t="s">
        <v>128</v>
      </c>
      <c r="M67" s="12">
        <f>CAJICA!M67+COTA!M68+CHIA!M67+ZIPAQUIRA!M67+TABIO!M67+TENJO!M67+SOPO!M67+GACHANCIPA!M67+TOCANCIPA!M67+NEMOCON!M67+COGUA!M67</f>
        <v>17</v>
      </c>
      <c r="N67" s="28">
        <f>M67/C17*100000</f>
        <v>17.48359627</v>
      </c>
      <c r="O67" s="12">
        <f>CAJICA!O67+COTA!O68+CHIA!O67+ZIPAQUIRA!O67+TABIO!O67+TENJO!O67+SOPO!O67+GACHANCIPA!O67+TOCANCIPA!O67+NEMOCON!O67+COGUA!O67</f>
        <v>17</v>
      </c>
      <c r="P67" s="28">
        <f>O67/D17*100000</f>
        <v>17.08508372</v>
      </c>
      <c r="Q67" s="12">
        <f>CAJICA!Q67+COTA!Q68+CHIA!Q67+ZIPAQUIRA!Q67+TABIO!Q67+TENJO!Q67+SOPO!Q67+GACHANCIPA!Q67+TOCANCIPA!Q67+NEMOCON!Q67+COGUA!Q67</f>
        <v>21</v>
      </c>
      <c r="R67" s="28">
        <f>Q67/E17*100000</f>
        <v>20.52705662</v>
      </c>
      <c r="S67" s="12">
        <f>CAJICA!S67+COTA!S68+CHIA!S67+ZIPAQUIRA!S67+TABIO!S67+TENJO!S67+SOPO!S67+GACHANCIPA!S67+TOCANCIPA!S67+NEMOCON!S67+COGUA!S67</f>
        <v>15</v>
      </c>
      <c r="T67" s="28">
        <f>S67/F17*100000</f>
        <v>14.41171384</v>
      </c>
      <c r="U67" s="12">
        <f>CAJICA!U67+COTA!U68+CHIA!U67+ZIPAQUIRA!U67+TABIO!U67+TENJO!U67+SOPO!U67+GACHANCIPA!U67+TOCANCIPA!U67+NEMOCON!U67+COGUA!U67</f>
        <v>22</v>
      </c>
      <c r="V67" s="28">
        <f>U67/G17*100000</f>
        <v>21.44855758</v>
      </c>
      <c r="W67" s="12">
        <f>CAJICA!W67+COTA!W68+CHIA!W67+ZIPAQUIRA!W67+TABIO!W67+TENJO!W67+SOPO!W67+GACHANCIPA!W67+TOCANCIPA!W67+NEMOCON!W67+COGUA!W67</f>
        <v>19</v>
      </c>
      <c r="X67" s="28">
        <f>W67/H17*100000</f>
        <v>18.24572186</v>
      </c>
      <c r="Y67" s="40">
        <f t="shared" ref="Y67:Z67" si="73">((M67+O67+Q67+S67)/1)</f>
        <v>70</v>
      </c>
      <c r="Z67" s="40">
        <f t="shared" si="73"/>
        <v>69.50745045</v>
      </c>
      <c r="AA67" s="13">
        <f t="shared" si="3"/>
        <v>18.5</v>
      </c>
      <c r="AB67" s="13">
        <f t="shared" si="4"/>
        <v>19.84713972</v>
      </c>
      <c r="AC67" s="37" t="s">
        <v>48</v>
      </c>
    </row>
    <row r="68" ht="14.25" customHeight="1">
      <c r="L68" s="11" t="s">
        <v>129</v>
      </c>
      <c r="M68" s="12">
        <f>CAJICA!M68+COTA!M69+CHIA!M68+ZIPAQUIRA!M68+TABIO!M68+TENJO!M68+SOPO!M68+GACHANCIPA!M68+TOCANCIPA!M68+NEMOCON!M68+COGUA!M68</f>
        <v>17</v>
      </c>
      <c r="N68" s="28">
        <f>M68/C11*100000</f>
        <v>10.32248663</v>
      </c>
      <c r="O68" s="12">
        <f>CAJICA!O68+COTA!O69+CHIA!O68+ZIPAQUIRA!O68+TABIO!O68+TENJO!O68+SOPO!O68+GACHANCIPA!O68+TOCANCIPA!O68+NEMOCON!O68+COGUA!O68</f>
        <v>35</v>
      </c>
      <c r="P68" s="28">
        <f>O68/D11*100000</f>
        <v>20.49096349</v>
      </c>
      <c r="Q68" s="12">
        <f>CAJICA!Q68+COTA!Q69+CHIA!Q68+ZIPAQUIRA!Q68+TABIO!Q68+TENJO!Q68+SOPO!Q68+GACHANCIPA!Q68+TOCANCIPA!Q68+NEMOCON!Q68+COGUA!Q68</f>
        <v>70</v>
      </c>
      <c r="R68" s="28">
        <f>Q68/E11*100000</f>
        <v>39.74066378</v>
      </c>
      <c r="S68" s="12">
        <f>CAJICA!S68+COTA!S69+CHIA!S68+ZIPAQUIRA!S68+TABIO!S68+TENJO!S68+SOPO!S68+GACHANCIPA!S68+TOCANCIPA!S68+NEMOCON!S68+COGUA!S68</f>
        <v>57</v>
      </c>
      <c r="T68" s="28">
        <f>S68/F11*100000</f>
        <v>31.44567346</v>
      </c>
      <c r="U68" s="12">
        <f>CAJICA!U68+COTA!U69+CHIA!U68+ZIPAQUIRA!U68+TABIO!U68+TENJO!U68+SOPO!U68+GACHANCIPA!U68+TOCANCIPA!U68+NEMOCON!U68+COGUA!U68</f>
        <v>66</v>
      </c>
      <c r="V68" s="28">
        <f>U68/G11*100000</f>
        <v>35.78477087</v>
      </c>
      <c r="W68" s="12">
        <f>CAJICA!W68+COTA!W69+CHIA!W68+ZIPAQUIRA!W68+TABIO!W68+TENJO!W68+SOPO!W68+GACHANCIPA!W68+TOCANCIPA!W68+NEMOCON!W68+COGUA!W68</f>
        <v>34</v>
      </c>
      <c r="X68" s="28">
        <f>W68/H11*100000</f>
        <v>17.94649832</v>
      </c>
      <c r="Y68" s="40">
        <f t="shared" ref="Y68:Z68" si="74">((M68+O68+Q68+S68)/2)</f>
        <v>89.5</v>
      </c>
      <c r="Z68" s="40">
        <f t="shared" si="74"/>
        <v>50.99989368</v>
      </c>
      <c r="AA68" s="13">
        <f t="shared" si="3"/>
        <v>61.5</v>
      </c>
      <c r="AB68" s="13">
        <f t="shared" si="4"/>
        <v>26.8656346</v>
      </c>
      <c r="AC68" s="37" t="s">
        <v>48</v>
      </c>
    </row>
    <row r="69" ht="14.25" customHeight="1">
      <c r="L69" s="11" t="s">
        <v>130</v>
      </c>
      <c r="M69" s="12">
        <f>CAJICA!M69+COTA!M70+CHIA!M69+ZIPAQUIRA!M69+TABIO!M69+TENJO!M69+SOPO!M69+GACHANCIPA!M69+TOCANCIPA!M69+NEMOCON!M69+COGUA!M69</f>
        <v>19</v>
      </c>
      <c r="N69" s="28">
        <f>M69/C11*100000</f>
        <v>11.53689682</v>
      </c>
      <c r="O69" s="12">
        <f>CAJICA!O69+COTA!O70+CHIA!O69+ZIPAQUIRA!O69+TABIO!O69+TENJO!O69+SOPO!O69+GACHANCIPA!O69+TOCANCIPA!O69+NEMOCON!O69+COGUA!O69</f>
        <v>52</v>
      </c>
      <c r="P69" s="28">
        <f>O69/D11*100000</f>
        <v>30.44371718</v>
      </c>
      <c r="Q69" s="12">
        <f>CAJICA!Q69+COTA!Q70+CHIA!Q69+ZIPAQUIRA!Q69+TABIO!Q69+TENJO!Q69+SOPO!Q69+GACHANCIPA!Q69+TOCANCIPA!Q69+NEMOCON!Q69+COGUA!Q69</f>
        <v>96</v>
      </c>
      <c r="R69" s="28">
        <f>Q69/E11*100000</f>
        <v>54.50148176</v>
      </c>
      <c r="S69" s="12">
        <f>CAJICA!S69+COTA!S70+CHIA!S69+ZIPAQUIRA!S69+TABIO!S69+TENJO!S69+SOPO!S69+GACHANCIPA!S69+TOCANCIPA!S69+NEMOCON!S69+COGUA!S69</f>
        <v>80</v>
      </c>
      <c r="T69" s="28">
        <f>S69/F11*100000</f>
        <v>44.13427854</v>
      </c>
      <c r="U69" s="12">
        <f>CAJICA!U69+COTA!U70+CHIA!U69+ZIPAQUIRA!U69+TABIO!U69+TENJO!U69+SOPO!U69+GACHANCIPA!U69+TOCANCIPA!U69+NEMOCON!U69+COGUA!U69</f>
        <v>61</v>
      </c>
      <c r="V69" s="28">
        <f>U69/G11*100000</f>
        <v>33.07380338</v>
      </c>
      <c r="W69" s="12">
        <f>CAJICA!W69+COTA!W70+CHIA!W69+ZIPAQUIRA!W69+TABIO!W69+TENJO!W69+SOPO!W69+GACHANCIPA!W69+TOCANCIPA!W69+NEMOCON!W69+COGUA!W69</f>
        <v>20</v>
      </c>
      <c r="X69" s="28">
        <f>W69/H11*100000</f>
        <v>10.55676372</v>
      </c>
      <c r="Y69" s="13">
        <f t="shared" ref="Y69:Z69" si="75">((M69+O69+Q69+S69)/2)</f>
        <v>123.5</v>
      </c>
      <c r="Z69" s="13">
        <f t="shared" si="75"/>
        <v>70.30818715</v>
      </c>
      <c r="AA69" s="13">
        <f t="shared" si="3"/>
        <v>70.5</v>
      </c>
      <c r="AB69" s="13">
        <f t="shared" si="4"/>
        <v>21.81528355</v>
      </c>
      <c r="AC69" s="37" t="s">
        <v>48</v>
      </c>
    </row>
    <row r="70" ht="14.25" customHeight="1">
      <c r="L70" s="38" t="s">
        <v>131</v>
      </c>
      <c r="M70" s="12">
        <f>CAJICA!M70+COTA!M71+CHIA!M70+ZIPAQUIRA!M70+TABIO!M70+TENJO!M70+SOPO!M70+GACHANCIPA!M70+TOCANCIPA!M70+NEMOCON!M70+COGUA!M70</f>
        <v>32</v>
      </c>
      <c r="N70" s="39">
        <f>M70/C7*100000</f>
        <v>10.09900178</v>
      </c>
      <c r="O70" s="12">
        <f>CAJICA!O70+COTA!O71+CHIA!O70+ZIPAQUIRA!O70+TABIO!O70+TENJO!O70+SOPO!O70+GACHANCIPA!O70+TOCANCIPA!O70+NEMOCON!O70+COGUA!O70</f>
        <v>26</v>
      </c>
      <c r="P70" s="39">
        <f>O70/D7*100000</f>
        <v>7.929295086</v>
      </c>
      <c r="Q70" s="12">
        <f>CAJICA!Q70+COTA!Q71+CHIA!Q70+ZIPAQUIRA!Q70+TABIO!Q70+TENJO!Q70+SOPO!Q70+GACHANCIPA!Q70+TOCANCIPA!Q70+NEMOCON!Q70+COGUA!Q70</f>
        <v>41</v>
      </c>
      <c r="R70" s="39">
        <f>Q70/E7*100000</f>
        <v>12.1240796</v>
      </c>
      <c r="S70" s="12">
        <f>CAJICA!S70+COTA!S71+CHIA!S70+ZIPAQUIRA!S70+TABIO!S70+TENJO!S70+SOPO!S70+GACHANCIPA!S70+TOCANCIPA!S70+NEMOCON!S70+COGUA!S70</f>
        <v>36</v>
      </c>
      <c r="T70" s="39">
        <f>S70/F7*100000</f>
        <v>10.32930395</v>
      </c>
      <c r="U70" s="12">
        <f>CAJICA!U70+COTA!U71+CHIA!U70+ZIPAQUIRA!U70+TABIO!U70+TENJO!U70+SOPO!U70+GACHANCIPA!U70+TOCANCIPA!U70+NEMOCON!U70+COGUA!U70</f>
        <v>38</v>
      </c>
      <c r="V70" s="39">
        <f>U70/G7*100000</f>
        <v>10.59437216</v>
      </c>
      <c r="W70" s="12">
        <f>CAJICA!W70+COTA!W71+CHIA!W70+ZIPAQUIRA!W70+TABIO!W70+TENJO!W70+SOPO!W70+GACHANCIPA!W70+TOCANCIPA!W70+NEMOCON!W70+COGUA!W70</f>
        <v>14</v>
      </c>
      <c r="X70" s="39">
        <f>W70/H7*100000</f>
        <v>3.799484898</v>
      </c>
      <c r="Y70" s="40">
        <f t="shared" ref="Y70:Z70" si="76">((M70+O70+Q70+S70)/1)</f>
        <v>135</v>
      </c>
      <c r="Z70" s="40">
        <f t="shared" si="76"/>
        <v>40.48168042</v>
      </c>
      <c r="AA70" s="40">
        <f t="shared" si="3"/>
        <v>37</v>
      </c>
      <c r="AB70" s="40">
        <f t="shared" si="4"/>
        <v>7.196928528</v>
      </c>
      <c r="AC70" s="43" t="s">
        <v>22</v>
      </c>
    </row>
    <row r="71" ht="14.25" customHeight="1">
      <c r="L71" s="44"/>
    </row>
    <row r="72" ht="14.25" customHeight="1">
      <c r="L72" s="44"/>
    </row>
    <row r="73" ht="14.25" customHeight="1">
      <c r="L73" s="44"/>
    </row>
    <row r="74" ht="14.25" customHeight="1">
      <c r="L74" s="44"/>
    </row>
    <row r="75" ht="14.25" customHeight="1">
      <c r="L75" s="44"/>
    </row>
    <row r="76" ht="14.25" customHeight="1">
      <c r="L76" s="44"/>
    </row>
    <row r="77" ht="14.25" customHeight="1">
      <c r="L77" s="44"/>
    </row>
    <row r="78" ht="14.25" customHeight="1">
      <c r="L78" s="44"/>
    </row>
    <row r="79" ht="14.25" customHeight="1">
      <c r="L79" s="44"/>
    </row>
    <row r="80" ht="14.25" customHeight="1">
      <c r="L80" s="44"/>
    </row>
    <row r="81" ht="14.25" customHeight="1">
      <c r="L81" s="44"/>
    </row>
    <row r="82" ht="14.25" customHeight="1">
      <c r="L82" s="44"/>
    </row>
    <row r="83" ht="14.25" customHeight="1">
      <c r="L83" s="44"/>
    </row>
    <row r="84" ht="14.25" customHeight="1">
      <c r="L84" s="44"/>
    </row>
    <row r="85" ht="14.25" customHeight="1">
      <c r="L85" s="44"/>
    </row>
    <row r="86" ht="14.25" customHeight="1">
      <c r="L86" s="44"/>
    </row>
    <row r="87" ht="14.25" customHeight="1">
      <c r="L87" s="44"/>
    </row>
    <row r="88" ht="14.25" customHeight="1">
      <c r="L88" s="44"/>
    </row>
    <row r="89" ht="14.25" customHeight="1">
      <c r="L89" s="44"/>
    </row>
    <row r="90" ht="14.25" customHeight="1">
      <c r="L90" s="44"/>
    </row>
    <row r="91" ht="14.25" customHeight="1">
      <c r="L91" s="44"/>
    </row>
    <row r="92" ht="14.25" customHeight="1">
      <c r="L92" s="44"/>
    </row>
    <row r="93" ht="14.25" customHeight="1">
      <c r="L93" s="44"/>
    </row>
    <row r="94" ht="14.25" customHeight="1">
      <c r="L94" s="44"/>
    </row>
    <row r="95" ht="14.25" customHeight="1">
      <c r="L95" s="44"/>
    </row>
    <row r="96" ht="14.25" customHeight="1">
      <c r="L96" s="44"/>
    </row>
    <row r="97" ht="14.25" customHeight="1">
      <c r="L97" s="44"/>
    </row>
    <row r="98" ht="14.25" customHeight="1">
      <c r="L98" s="44"/>
    </row>
    <row r="99" ht="14.25" customHeight="1">
      <c r="L99" s="44"/>
    </row>
    <row r="100" ht="14.25" customHeight="1">
      <c r="L100" s="44"/>
    </row>
    <row r="101" ht="14.25" customHeight="1">
      <c r="L101" s="44"/>
    </row>
    <row r="102" ht="14.25" customHeight="1">
      <c r="L102" s="44"/>
    </row>
    <row r="103" ht="14.25" customHeight="1">
      <c r="L103" s="44"/>
    </row>
    <row r="104" ht="14.25" customHeight="1">
      <c r="L104" s="44"/>
    </row>
    <row r="105" ht="14.25" customHeight="1">
      <c r="L105" s="44"/>
    </row>
    <row r="106" ht="14.25" customHeight="1">
      <c r="L106" s="44"/>
    </row>
    <row r="107" ht="14.25" customHeight="1">
      <c r="L107" s="44"/>
    </row>
    <row r="108" ht="14.25" customHeight="1">
      <c r="L108" s="44"/>
    </row>
    <row r="109" ht="14.25" customHeight="1">
      <c r="L109" s="44"/>
    </row>
    <row r="110" ht="14.25" customHeight="1">
      <c r="L110" s="44"/>
    </row>
    <row r="111" ht="14.25" customHeight="1">
      <c r="L111" s="44"/>
    </row>
    <row r="112" ht="14.25" customHeight="1">
      <c r="L112" s="44"/>
    </row>
    <row r="113" ht="14.25" customHeight="1">
      <c r="L113" s="44"/>
    </row>
    <row r="114" ht="14.25" customHeight="1">
      <c r="L114" s="44"/>
    </row>
    <row r="115" ht="14.25" customHeight="1">
      <c r="L115" s="44"/>
    </row>
    <row r="116" ht="14.25" customHeight="1">
      <c r="L116" s="44"/>
    </row>
    <row r="117" ht="14.25" customHeight="1">
      <c r="L117" s="44"/>
    </row>
    <row r="118" ht="14.25" customHeight="1">
      <c r="L118" s="44"/>
    </row>
    <row r="119" ht="14.25" customHeight="1">
      <c r="L119" s="44"/>
    </row>
    <row r="120" ht="14.25" customHeight="1">
      <c r="L120" s="44"/>
    </row>
    <row r="121" ht="14.25" customHeight="1">
      <c r="L121" s="44"/>
    </row>
    <row r="122" ht="14.25" customHeight="1">
      <c r="L122" s="44"/>
    </row>
    <row r="123" ht="14.25" customHeight="1">
      <c r="L123" s="44"/>
    </row>
    <row r="124" ht="14.25" customHeight="1">
      <c r="L124" s="44"/>
    </row>
    <row r="125" ht="14.25" customHeight="1">
      <c r="L125" s="44"/>
    </row>
    <row r="126" ht="14.25" customHeight="1">
      <c r="L126" s="44"/>
    </row>
    <row r="127" ht="14.25" customHeight="1">
      <c r="L127" s="44"/>
    </row>
    <row r="128" ht="14.25" customHeight="1">
      <c r="L128" s="44"/>
    </row>
    <row r="129" ht="14.25" customHeight="1">
      <c r="L129" s="44"/>
    </row>
    <row r="130" ht="14.25" customHeight="1">
      <c r="L130" s="44"/>
    </row>
    <row r="131" ht="14.25" customHeight="1">
      <c r="L131" s="44"/>
    </row>
    <row r="132" ht="14.25" customHeight="1">
      <c r="L132" s="44"/>
    </row>
    <row r="133" ht="14.25" customHeight="1">
      <c r="L133" s="44"/>
    </row>
    <row r="134" ht="14.25" customHeight="1">
      <c r="L134" s="44"/>
    </row>
    <row r="135" ht="14.25" customHeight="1">
      <c r="L135" s="44"/>
    </row>
    <row r="136" ht="14.25" customHeight="1">
      <c r="L136" s="44"/>
    </row>
    <row r="137" ht="14.25" customHeight="1">
      <c r="L137" s="44"/>
    </row>
    <row r="138" ht="14.25" customHeight="1">
      <c r="L138" s="44"/>
    </row>
    <row r="139" ht="14.25" customHeight="1">
      <c r="L139" s="44"/>
    </row>
    <row r="140" ht="14.25" customHeight="1">
      <c r="L140" s="44"/>
    </row>
    <row r="141" ht="14.25" customHeight="1">
      <c r="L141" s="44"/>
    </row>
    <row r="142" ht="14.25" customHeight="1">
      <c r="L142" s="44"/>
    </row>
    <row r="143" ht="14.25" customHeight="1">
      <c r="L143" s="44"/>
    </row>
    <row r="144" ht="14.25" customHeight="1">
      <c r="L144" s="44"/>
    </row>
    <row r="145" ht="14.25" customHeight="1">
      <c r="L145" s="44"/>
    </row>
    <row r="146" ht="14.25" customHeight="1">
      <c r="L146" s="44"/>
    </row>
    <row r="147" ht="14.25" customHeight="1">
      <c r="L147" s="44"/>
    </row>
    <row r="148" ht="14.25" customHeight="1">
      <c r="L148" s="44"/>
    </row>
    <row r="149" ht="14.25" customHeight="1">
      <c r="L149" s="44"/>
    </row>
    <row r="150" ht="14.25" customHeight="1">
      <c r="L150" s="44"/>
    </row>
    <row r="151" ht="14.25" customHeight="1">
      <c r="L151" s="44"/>
    </row>
    <row r="152" ht="14.25" customHeight="1">
      <c r="L152" s="44"/>
    </row>
    <row r="153" ht="14.25" customHeight="1">
      <c r="L153" s="44"/>
    </row>
    <row r="154" ht="14.25" customHeight="1">
      <c r="L154" s="44"/>
    </row>
    <row r="155" ht="14.25" customHeight="1">
      <c r="L155" s="44"/>
    </row>
    <row r="156" ht="14.25" customHeight="1">
      <c r="L156" s="44"/>
    </row>
    <row r="157" ht="14.25" customHeight="1">
      <c r="L157" s="44"/>
    </row>
    <row r="158" ht="14.25" customHeight="1">
      <c r="L158" s="44"/>
    </row>
    <row r="159" ht="14.25" customHeight="1">
      <c r="L159" s="44"/>
    </row>
    <row r="160" ht="14.25" customHeight="1">
      <c r="L160" s="44"/>
    </row>
    <row r="161" ht="14.25" customHeight="1">
      <c r="L161" s="44"/>
    </row>
    <row r="162" ht="14.25" customHeight="1">
      <c r="L162" s="44"/>
    </row>
    <row r="163" ht="14.25" customHeight="1">
      <c r="L163" s="44"/>
    </row>
    <row r="164" ht="14.25" customHeight="1">
      <c r="L164" s="44"/>
    </row>
    <row r="165" ht="14.25" customHeight="1">
      <c r="L165" s="44"/>
    </row>
    <row r="166" ht="14.25" customHeight="1">
      <c r="L166" s="44"/>
    </row>
    <row r="167" ht="14.25" customHeight="1">
      <c r="L167" s="44"/>
    </row>
    <row r="168" ht="14.25" customHeight="1">
      <c r="L168" s="44"/>
    </row>
    <row r="169" ht="14.25" customHeight="1">
      <c r="L169" s="44"/>
    </row>
    <row r="170" ht="14.25" customHeight="1">
      <c r="L170" s="44"/>
    </row>
    <row r="171" ht="14.25" customHeight="1">
      <c r="L171" s="44"/>
    </row>
    <row r="172" ht="14.25" customHeight="1">
      <c r="L172" s="44"/>
    </row>
    <row r="173" ht="14.25" customHeight="1">
      <c r="L173" s="44"/>
    </row>
    <row r="174" ht="14.25" customHeight="1">
      <c r="L174" s="44"/>
    </row>
    <row r="175" ht="14.25" customHeight="1">
      <c r="L175" s="44"/>
    </row>
    <row r="176" ht="14.25" customHeight="1">
      <c r="L176" s="44"/>
    </row>
    <row r="177" ht="14.25" customHeight="1">
      <c r="L177" s="44"/>
    </row>
    <row r="178" ht="14.25" customHeight="1">
      <c r="L178" s="44"/>
    </row>
    <row r="179" ht="14.25" customHeight="1">
      <c r="L179" s="44"/>
    </row>
    <row r="180" ht="14.25" customHeight="1">
      <c r="L180" s="44"/>
    </row>
    <row r="181" ht="14.25" customHeight="1">
      <c r="L181" s="44"/>
    </row>
    <row r="182" ht="14.25" customHeight="1">
      <c r="L182" s="44"/>
    </row>
    <row r="183" ht="14.25" customHeight="1">
      <c r="L183" s="44"/>
    </row>
    <row r="184" ht="14.25" customHeight="1">
      <c r="L184" s="44"/>
    </row>
    <row r="185" ht="14.25" customHeight="1">
      <c r="L185" s="44"/>
    </row>
    <row r="186" ht="14.25" customHeight="1">
      <c r="L186" s="44"/>
    </row>
    <row r="187" ht="14.25" customHeight="1">
      <c r="L187" s="44"/>
    </row>
    <row r="188" ht="14.25" customHeight="1">
      <c r="L188" s="44"/>
    </row>
    <row r="189" ht="14.25" customHeight="1">
      <c r="L189" s="44"/>
    </row>
    <row r="190" ht="14.25" customHeight="1">
      <c r="L190" s="44"/>
    </row>
    <row r="191" ht="14.25" customHeight="1">
      <c r="L191" s="44"/>
    </row>
    <row r="192" ht="14.25" customHeight="1">
      <c r="L192" s="44"/>
    </row>
    <row r="193" ht="14.25" customHeight="1">
      <c r="L193" s="44"/>
    </row>
    <row r="194" ht="14.25" customHeight="1">
      <c r="L194" s="44"/>
    </row>
    <row r="195" ht="14.25" customHeight="1">
      <c r="L195" s="44"/>
    </row>
    <row r="196" ht="14.25" customHeight="1">
      <c r="L196" s="44"/>
    </row>
    <row r="197" ht="14.25" customHeight="1">
      <c r="L197" s="44"/>
    </row>
    <row r="198" ht="14.25" customHeight="1">
      <c r="L198" s="44"/>
    </row>
    <row r="199" ht="14.25" customHeight="1">
      <c r="L199" s="44"/>
    </row>
    <row r="200" ht="14.25" customHeight="1">
      <c r="L200" s="44"/>
    </row>
    <row r="201" ht="14.25" customHeight="1">
      <c r="L201" s="44"/>
    </row>
    <row r="202" ht="14.25" customHeight="1">
      <c r="L202" s="44"/>
    </row>
    <row r="203" ht="14.25" customHeight="1">
      <c r="L203" s="44"/>
    </row>
    <row r="204" ht="14.25" customHeight="1">
      <c r="L204" s="44"/>
    </row>
    <row r="205" ht="14.25" customHeight="1">
      <c r="L205" s="44"/>
    </row>
    <row r="206" ht="14.25" customHeight="1">
      <c r="L206" s="44"/>
    </row>
    <row r="207" ht="14.25" customHeight="1">
      <c r="L207" s="44"/>
    </row>
    <row r="208" ht="14.25" customHeight="1">
      <c r="L208" s="44"/>
    </row>
    <row r="209" ht="14.25" customHeight="1">
      <c r="L209" s="44"/>
    </row>
    <row r="210" ht="14.25" customHeight="1">
      <c r="L210" s="44"/>
    </row>
    <row r="211" ht="14.25" customHeight="1">
      <c r="L211" s="44"/>
    </row>
    <row r="212" ht="14.25" customHeight="1">
      <c r="L212" s="44"/>
    </row>
    <row r="213" ht="14.25" customHeight="1">
      <c r="L213" s="44"/>
    </row>
    <row r="214" ht="14.25" customHeight="1">
      <c r="L214" s="44"/>
    </row>
    <row r="215" ht="14.25" customHeight="1">
      <c r="L215" s="44"/>
    </row>
    <row r="216" ht="14.25" customHeight="1">
      <c r="L216" s="44"/>
    </row>
    <row r="217" ht="14.25" customHeight="1">
      <c r="L217" s="44"/>
    </row>
    <row r="218" ht="14.25" customHeight="1">
      <c r="L218" s="44"/>
    </row>
    <row r="219" ht="14.25" customHeight="1">
      <c r="L219" s="44"/>
    </row>
    <row r="220" ht="14.25" customHeight="1">
      <c r="L220" s="44"/>
    </row>
    <row r="221" ht="14.25" customHeight="1">
      <c r="L221" s="44"/>
    </row>
    <row r="222" ht="14.25" customHeight="1">
      <c r="L222" s="44"/>
    </row>
    <row r="223" ht="14.25" customHeight="1">
      <c r="L223" s="44"/>
    </row>
    <row r="224" ht="14.25" customHeight="1">
      <c r="L224" s="44"/>
    </row>
    <row r="225" ht="14.25" customHeight="1">
      <c r="L225" s="44"/>
    </row>
    <row r="226" ht="14.25" customHeight="1">
      <c r="L226" s="44"/>
    </row>
    <row r="227" ht="14.25" customHeight="1">
      <c r="L227" s="44"/>
    </row>
    <row r="228" ht="14.25" customHeight="1">
      <c r="L228" s="44"/>
    </row>
    <row r="229" ht="14.25" customHeight="1">
      <c r="L229" s="44"/>
    </row>
    <row r="230" ht="14.25" customHeight="1">
      <c r="L230" s="44"/>
    </row>
    <row r="231" ht="14.25" customHeight="1">
      <c r="L231" s="44"/>
    </row>
    <row r="232" ht="14.25" customHeight="1">
      <c r="L232" s="44"/>
    </row>
    <row r="233" ht="14.25" customHeight="1">
      <c r="L233" s="44"/>
    </row>
    <row r="234" ht="14.25" customHeight="1">
      <c r="L234" s="44"/>
    </row>
    <row r="235" ht="14.25" customHeight="1">
      <c r="L235" s="44"/>
    </row>
    <row r="236" ht="14.25" customHeight="1">
      <c r="L236" s="44"/>
    </row>
    <row r="237" ht="14.25" customHeight="1">
      <c r="L237" s="44"/>
    </row>
    <row r="238" ht="14.25" customHeight="1">
      <c r="L238" s="44"/>
    </row>
    <row r="239" ht="14.25" customHeight="1">
      <c r="L239" s="44"/>
    </row>
    <row r="240" ht="14.25" customHeight="1">
      <c r="L240" s="44"/>
    </row>
    <row r="241" ht="14.25" customHeight="1">
      <c r="L241" s="44"/>
    </row>
    <row r="242" ht="14.25" customHeight="1">
      <c r="L242" s="44"/>
    </row>
    <row r="243" ht="14.25" customHeight="1">
      <c r="L243" s="44"/>
    </row>
    <row r="244" ht="14.25" customHeight="1">
      <c r="L244" s="44"/>
    </row>
    <row r="245" ht="14.25" customHeight="1">
      <c r="L245" s="44"/>
    </row>
    <row r="246" ht="14.25" customHeight="1">
      <c r="L246" s="44"/>
    </row>
    <row r="247" ht="14.25" customHeight="1">
      <c r="L247" s="44"/>
    </row>
    <row r="248" ht="14.25" customHeight="1">
      <c r="L248" s="44"/>
    </row>
    <row r="249" ht="14.25" customHeight="1">
      <c r="L249" s="44"/>
    </row>
    <row r="250" ht="14.25" customHeight="1">
      <c r="L250" s="44"/>
    </row>
    <row r="251" ht="14.25" customHeight="1">
      <c r="L251" s="44"/>
    </row>
    <row r="252" ht="14.25" customHeight="1">
      <c r="L252" s="44"/>
    </row>
    <row r="253" ht="14.25" customHeight="1">
      <c r="L253" s="44"/>
    </row>
    <row r="254" ht="14.25" customHeight="1">
      <c r="L254" s="44"/>
    </row>
    <row r="255" ht="14.25" customHeight="1">
      <c r="L255" s="44"/>
    </row>
    <row r="256" ht="14.25" customHeight="1">
      <c r="L256" s="44"/>
    </row>
    <row r="257" ht="14.25" customHeight="1">
      <c r="L257" s="44"/>
    </row>
    <row r="258" ht="14.25" customHeight="1">
      <c r="L258" s="44"/>
    </row>
    <row r="259" ht="14.25" customHeight="1">
      <c r="L259" s="44"/>
    </row>
    <row r="260" ht="14.25" customHeight="1">
      <c r="L260" s="44"/>
    </row>
    <row r="261" ht="14.25" customHeight="1">
      <c r="L261" s="44"/>
    </row>
    <row r="262" ht="14.25" customHeight="1">
      <c r="L262" s="44"/>
    </row>
    <row r="263" ht="14.25" customHeight="1">
      <c r="L263" s="44"/>
    </row>
    <row r="264" ht="14.25" customHeight="1">
      <c r="L264" s="44"/>
    </row>
    <row r="265" ht="14.25" customHeight="1">
      <c r="L265" s="44"/>
    </row>
    <row r="266" ht="14.25" customHeight="1">
      <c r="L266" s="44"/>
    </row>
    <row r="267" ht="14.25" customHeight="1">
      <c r="L267" s="44"/>
    </row>
    <row r="268" ht="14.25" customHeight="1">
      <c r="L268" s="44"/>
    </row>
    <row r="269" ht="14.25" customHeight="1">
      <c r="L269" s="44"/>
    </row>
    <row r="270" ht="14.25" customHeight="1">
      <c r="L270" s="4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H1"/>
    <mergeCell ref="B2:H4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30" width="12.86"/>
  </cols>
  <sheetData>
    <row r="1" ht="77.25" customHeight="1">
      <c r="A1" s="5"/>
      <c r="C1" s="1"/>
      <c r="D1" s="2" t="s">
        <v>132</v>
      </c>
      <c r="E1" s="3"/>
      <c r="F1" s="3"/>
      <c r="G1" s="3"/>
      <c r="H1" s="3"/>
      <c r="I1" s="4"/>
      <c r="J1" s="5"/>
      <c r="K1" s="5"/>
      <c r="L1" s="6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73.5" customHeight="1">
      <c r="A2" s="5"/>
      <c r="B2" s="45" t="s">
        <v>133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  <c r="AD2" s="46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>
        <v>336.0</v>
      </c>
      <c r="N3" s="13">
        <f>M3/C7*1000</f>
        <v>3.754483591</v>
      </c>
      <c r="O3" s="12">
        <v>493.0</v>
      </c>
      <c r="P3" s="13">
        <f>O3/D7*1000</f>
        <v>5.339832115</v>
      </c>
      <c r="Q3" s="47">
        <v>425.0</v>
      </c>
      <c r="R3" s="13">
        <f>Q3/E7*1000</f>
        <v>4.46161437</v>
      </c>
      <c r="S3" s="12">
        <v>397.0</v>
      </c>
      <c r="T3" s="13">
        <f>S3/F7*1000</f>
        <v>4.032872482</v>
      </c>
      <c r="U3" s="12">
        <v>394.0</v>
      </c>
      <c r="V3" s="13">
        <f>U3/G7*1000</f>
        <v>3.878639917</v>
      </c>
      <c r="W3" s="12">
        <v>221.0</v>
      </c>
      <c r="X3" s="13">
        <f>W3/H7*1000</f>
        <v>2.112851106</v>
      </c>
      <c r="Y3" s="13">
        <f t="shared" ref="Y3:Z3" si="1">((M3+O3+Q3+S3)/4)</f>
        <v>412.75</v>
      </c>
      <c r="Z3" s="13">
        <f t="shared" si="1"/>
        <v>4.397200639</v>
      </c>
      <c r="AA3" s="13">
        <f t="shared" ref="AA3:AA70" si="3">((S3+U3)/2)</f>
        <v>395.5</v>
      </c>
      <c r="AB3" s="13">
        <f t="shared" ref="AB3:AB70" si="4">(V3+X3)/2</f>
        <v>2.995745511</v>
      </c>
      <c r="AC3" s="14" t="s">
        <v>22</v>
      </c>
      <c r="AD3" s="48"/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>
        <v>891.0</v>
      </c>
      <c r="N4" s="13">
        <f>M4/C7*1000</f>
        <v>9.956085951</v>
      </c>
      <c r="O4" s="12">
        <v>890.0</v>
      </c>
      <c r="P4" s="13">
        <f>O4/D7*1000</f>
        <v>9.639859193</v>
      </c>
      <c r="Q4" s="47">
        <v>869.0</v>
      </c>
      <c r="R4" s="13">
        <f>Q4/E7*1000</f>
        <v>9.122689146</v>
      </c>
      <c r="S4" s="12">
        <v>842.0</v>
      </c>
      <c r="T4" s="13">
        <f>S4/F7*1000</f>
        <v>8.553346675</v>
      </c>
      <c r="U4" s="12">
        <v>859.0</v>
      </c>
      <c r="V4" s="13">
        <f>U4/G7*1000</f>
        <v>8.456222559</v>
      </c>
      <c r="W4" s="12">
        <v>372.0</v>
      </c>
      <c r="X4" s="13">
        <f>W4/H7*1000</f>
        <v>3.556473355</v>
      </c>
      <c r="Y4" s="13">
        <f t="shared" ref="Y4:Z4" si="2">((M4+O4+Q4+S4)/4)</f>
        <v>873</v>
      </c>
      <c r="Z4" s="13">
        <f t="shared" si="2"/>
        <v>9.317995241</v>
      </c>
      <c r="AA4" s="13">
        <f t="shared" si="3"/>
        <v>850.5</v>
      </c>
      <c r="AB4" s="13">
        <f t="shared" si="4"/>
        <v>6.006347957</v>
      </c>
      <c r="AC4" s="14" t="s">
        <v>24</v>
      </c>
      <c r="AD4" s="48"/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>
        <v>0.0</v>
      </c>
      <c r="N5" s="13">
        <f>M5/C12*100000</f>
        <v>0</v>
      </c>
      <c r="O5" s="12">
        <v>1.0</v>
      </c>
      <c r="P5" s="13">
        <f>O5/D12*100000</f>
        <v>112.3595506</v>
      </c>
      <c r="Q5" s="47">
        <v>0.0</v>
      </c>
      <c r="R5" s="13">
        <f>Q5/E12*100000</f>
        <v>0</v>
      </c>
      <c r="S5" s="12">
        <v>0.0</v>
      </c>
      <c r="T5" s="13">
        <f>S5/F12*100000</f>
        <v>0</v>
      </c>
      <c r="U5" s="12">
        <v>0.0</v>
      </c>
      <c r="V5" s="13">
        <f>U5/G12*100000</f>
        <v>0</v>
      </c>
      <c r="W5" s="12">
        <v>0.0</v>
      </c>
      <c r="X5" s="13">
        <f>W5/H12*100000</f>
        <v>0</v>
      </c>
      <c r="Y5" s="13">
        <f t="shared" ref="Y5:Z5" si="5">((M5+O5+Q5+S5)/4)</f>
        <v>0.25</v>
      </c>
      <c r="Z5" s="13">
        <f t="shared" si="5"/>
        <v>28.08988764</v>
      </c>
      <c r="AA5" s="13">
        <f t="shared" si="3"/>
        <v>0</v>
      </c>
      <c r="AB5" s="13">
        <f t="shared" si="4"/>
        <v>0</v>
      </c>
      <c r="AC5" s="14" t="s">
        <v>33</v>
      </c>
      <c r="AD5" s="48"/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>
        <v>48.0</v>
      </c>
      <c r="N6" s="13">
        <f>M6/M4*1000</f>
        <v>53.87205387</v>
      </c>
      <c r="O6" s="12">
        <v>42.0</v>
      </c>
      <c r="P6" s="13">
        <f>O6/O4*1000</f>
        <v>47.19101124</v>
      </c>
      <c r="Q6" s="47">
        <v>32.0</v>
      </c>
      <c r="R6" s="13">
        <f>Q6/Q4*1000</f>
        <v>36.82393556</v>
      </c>
      <c r="S6" s="12">
        <v>31.0</v>
      </c>
      <c r="T6" s="13">
        <f>S6/S4*1000</f>
        <v>36.81710214</v>
      </c>
      <c r="U6" s="12">
        <v>30.0</v>
      </c>
      <c r="V6" s="13">
        <f>U6/U4*1000</f>
        <v>34.92433062</v>
      </c>
      <c r="W6" s="12">
        <v>15.0</v>
      </c>
      <c r="X6" s="13">
        <f>W6/W4*1000</f>
        <v>40.32258065</v>
      </c>
      <c r="Y6" s="13">
        <f t="shared" ref="Y6:Z6" si="6">((M6+O6+Q6+S6)/4)</f>
        <v>38.25</v>
      </c>
      <c r="Z6" s="13">
        <f t="shared" si="6"/>
        <v>43.6760257</v>
      </c>
      <c r="AA6" s="13">
        <f t="shared" si="3"/>
        <v>30.5</v>
      </c>
      <c r="AB6" s="13">
        <f t="shared" si="4"/>
        <v>37.62345563</v>
      </c>
      <c r="AC6" s="14" t="s">
        <v>22</v>
      </c>
      <c r="AD6" s="48"/>
    </row>
    <row r="7" ht="14.25" customHeight="1">
      <c r="A7" s="5"/>
      <c r="B7" s="55" t="s">
        <v>35</v>
      </c>
      <c r="C7" s="56">
        <v>89493.0</v>
      </c>
      <c r="D7" s="56">
        <v>92325.0</v>
      </c>
      <c r="E7" s="56">
        <v>95257.0</v>
      </c>
      <c r="F7" s="57">
        <v>98441.0</v>
      </c>
      <c r="G7" s="57">
        <v>101582.0</v>
      </c>
      <c r="H7" s="58">
        <v>104598.0</v>
      </c>
      <c r="I7" s="5"/>
      <c r="J7" s="5"/>
      <c r="K7" s="5"/>
      <c r="L7" s="11" t="s">
        <v>36</v>
      </c>
      <c r="M7" s="12">
        <v>11.0</v>
      </c>
      <c r="N7" s="59">
        <f>M7/902*1000</f>
        <v>12.19512195</v>
      </c>
      <c r="O7" s="12">
        <v>6.0</v>
      </c>
      <c r="P7" s="59">
        <f>O7/896*1000</f>
        <v>6.696428571</v>
      </c>
      <c r="Q7" s="47">
        <v>5.0</v>
      </c>
      <c r="R7" s="59">
        <f>Q7/874*1000</f>
        <v>5.720823799</v>
      </c>
      <c r="S7" s="12">
        <v>12.0</v>
      </c>
      <c r="T7" s="59">
        <f>S7/854*1000</f>
        <v>14.05152225</v>
      </c>
      <c r="U7" s="12">
        <v>7.0</v>
      </c>
      <c r="V7" s="59">
        <f>4/859*1000</f>
        <v>4.656577416</v>
      </c>
      <c r="W7" s="12">
        <v>4.0</v>
      </c>
      <c r="X7" s="59">
        <f>4/376*1000</f>
        <v>10.63829787</v>
      </c>
      <c r="Y7" s="13">
        <f t="shared" ref="Y7:Z7" si="7">((M7+O7+Q7+S7)/4)</f>
        <v>8.5</v>
      </c>
      <c r="Z7" s="13">
        <f t="shared" si="7"/>
        <v>9.665974142</v>
      </c>
      <c r="AA7" s="13">
        <f t="shared" si="3"/>
        <v>9.5</v>
      </c>
      <c r="AB7" s="13">
        <f t="shared" si="4"/>
        <v>7.647437644</v>
      </c>
      <c r="AC7" s="14" t="s">
        <v>37</v>
      </c>
      <c r="AD7" s="48"/>
    </row>
    <row r="8" ht="14.25" customHeight="1">
      <c r="A8" s="5"/>
      <c r="B8" s="55" t="s">
        <v>38</v>
      </c>
      <c r="C8" s="57">
        <v>64093.0</v>
      </c>
      <c r="D8" s="53">
        <v>67711.0</v>
      </c>
      <c r="E8" s="57">
        <v>70689.0</v>
      </c>
      <c r="F8" s="57"/>
      <c r="G8" s="57"/>
      <c r="H8" s="58"/>
      <c r="I8" s="5"/>
      <c r="J8" s="5"/>
      <c r="K8" s="5"/>
      <c r="L8" s="11" t="s">
        <v>39</v>
      </c>
      <c r="M8" s="12"/>
      <c r="N8" s="13">
        <f>M8/C15*1000</f>
        <v>0</v>
      </c>
      <c r="O8" s="12">
        <v>0.0</v>
      </c>
      <c r="P8" s="13">
        <f>O8/D15*1000</f>
        <v>0</v>
      </c>
      <c r="Q8" s="47">
        <v>0.0</v>
      </c>
      <c r="R8" s="13">
        <f>Q8/E15*1000</f>
        <v>0</v>
      </c>
      <c r="S8" s="12">
        <v>0.0</v>
      </c>
      <c r="T8" s="13">
        <f>S8/F15*1000</f>
        <v>0</v>
      </c>
      <c r="U8" s="12">
        <v>0.0</v>
      </c>
      <c r="V8" s="13">
        <f>U8/G15*1000</f>
        <v>0</v>
      </c>
      <c r="W8" s="12">
        <v>0.0</v>
      </c>
      <c r="X8" s="13">
        <f>W8/H15*1000</f>
        <v>0</v>
      </c>
      <c r="Y8" s="13">
        <f t="shared" ref="Y8:Z8" si="8">((M8+O8+Q8+S8)/4)</f>
        <v>0</v>
      </c>
      <c r="Z8" s="13">
        <f t="shared" si="8"/>
        <v>0</v>
      </c>
      <c r="AA8" s="13">
        <f t="shared" si="3"/>
        <v>0</v>
      </c>
      <c r="AB8" s="13">
        <f t="shared" si="4"/>
        <v>0</v>
      </c>
      <c r="AC8" s="14" t="s">
        <v>37</v>
      </c>
      <c r="AD8" s="48"/>
    </row>
    <row r="9" ht="14.25" customHeight="1">
      <c r="A9" s="5"/>
      <c r="B9" s="55" t="s">
        <v>40</v>
      </c>
      <c r="C9" s="57">
        <v>28874.0</v>
      </c>
      <c r="D9" s="53">
        <v>28967.0</v>
      </c>
      <c r="E9" s="57">
        <v>29031.0</v>
      </c>
      <c r="F9" s="57"/>
      <c r="G9" s="57"/>
      <c r="H9" s="58"/>
      <c r="I9" s="5"/>
      <c r="J9" s="5"/>
      <c r="K9" s="5"/>
      <c r="L9" s="11" t="s">
        <v>41</v>
      </c>
      <c r="M9" s="12">
        <v>6.0</v>
      </c>
      <c r="N9" s="13">
        <f>M9/C7*100000</f>
        <v>6.704434984</v>
      </c>
      <c r="O9" s="12">
        <v>23.0</v>
      </c>
      <c r="P9" s="13">
        <f>O9/D7*100000</f>
        <v>24.91199567</v>
      </c>
      <c r="Q9" s="47">
        <v>19.0</v>
      </c>
      <c r="R9" s="13">
        <f>Q9/E7*100000</f>
        <v>19.94604071</v>
      </c>
      <c r="S9" s="12">
        <v>21.0</v>
      </c>
      <c r="T9" s="13">
        <f>S9/F7*100000</f>
        <v>21.33257484</v>
      </c>
      <c r="U9" s="12">
        <v>22.0</v>
      </c>
      <c r="V9" s="13">
        <f>U9/G7*100000</f>
        <v>21.65738024</v>
      </c>
      <c r="W9" s="12">
        <v>15.0</v>
      </c>
      <c r="X9" s="13">
        <f>W9/H7*100000</f>
        <v>14.34061837</v>
      </c>
      <c r="Y9" s="13">
        <f t="shared" ref="Y9:Z9" si="9">((M9+O9+Q9+S9)/4)</f>
        <v>17.25</v>
      </c>
      <c r="Z9" s="13">
        <f t="shared" si="9"/>
        <v>18.22376155</v>
      </c>
      <c r="AA9" s="13">
        <f t="shared" si="3"/>
        <v>21.5</v>
      </c>
      <c r="AB9" s="13">
        <f t="shared" si="4"/>
        <v>17.99899931</v>
      </c>
      <c r="AC9" s="14" t="s">
        <v>22</v>
      </c>
      <c r="AD9" s="48"/>
    </row>
    <row r="10" ht="14.25" customHeight="1">
      <c r="A10" s="5"/>
      <c r="B10" s="55" t="s">
        <v>42</v>
      </c>
      <c r="C10" s="57">
        <v>44606.0</v>
      </c>
      <c r="D10" s="57">
        <v>46370.0</v>
      </c>
      <c r="E10" s="57">
        <v>47812.0</v>
      </c>
      <c r="F10" s="60">
        <v>49160.0</v>
      </c>
      <c r="G10" s="53">
        <v>48606.0</v>
      </c>
      <c r="H10" s="58">
        <v>50045.0</v>
      </c>
      <c r="I10" s="5"/>
      <c r="J10" s="5"/>
      <c r="K10" s="5"/>
      <c r="L10" s="11" t="s">
        <v>43</v>
      </c>
      <c r="M10" s="12">
        <v>0.0</v>
      </c>
      <c r="N10" s="13">
        <f>M10/C15*100000</f>
        <v>0</v>
      </c>
      <c r="O10" s="12">
        <v>0.0</v>
      </c>
      <c r="P10" s="13">
        <f t="shared" ref="P10:P11" si="11">O10/D15*100000</f>
        <v>0</v>
      </c>
      <c r="Q10" s="47">
        <v>1.0</v>
      </c>
      <c r="R10" s="13">
        <f>Q10/E15*100000</f>
        <v>13.41921632</v>
      </c>
      <c r="S10" s="12">
        <v>0.0</v>
      </c>
      <c r="T10" s="13">
        <f>S10/F15*100000</f>
        <v>0</v>
      </c>
      <c r="U10" s="12">
        <v>0.0</v>
      </c>
      <c r="V10" s="13">
        <f>U10/G15*100000</f>
        <v>0</v>
      </c>
      <c r="W10" s="12">
        <v>1.0</v>
      </c>
      <c r="X10" s="13">
        <f>W10/H15*100000</f>
        <v>14.63914507</v>
      </c>
      <c r="Y10" s="13">
        <f t="shared" ref="Y10:Z10" si="10">((M10+O10+Q10+S10)/4)</f>
        <v>0.25</v>
      </c>
      <c r="Z10" s="13">
        <f t="shared" si="10"/>
        <v>3.354804079</v>
      </c>
      <c r="AA10" s="13">
        <f t="shared" si="3"/>
        <v>0</v>
      </c>
      <c r="AB10" s="13">
        <f t="shared" si="4"/>
        <v>7.319572537</v>
      </c>
      <c r="AC10" s="14" t="s">
        <v>22</v>
      </c>
      <c r="AD10" s="48"/>
    </row>
    <row r="11" ht="14.25" customHeight="1">
      <c r="A11" s="5"/>
      <c r="B11" s="55" t="s">
        <v>44</v>
      </c>
      <c r="C11" s="57">
        <v>48361.0</v>
      </c>
      <c r="D11" s="57">
        <v>50308.0</v>
      </c>
      <c r="E11" s="57">
        <v>51908.0</v>
      </c>
      <c r="F11" s="60">
        <v>53394.0</v>
      </c>
      <c r="G11" s="53">
        <v>52976.0</v>
      </c>
      <c r="H11" s="58">
        <v>54553.0</v>
      </c>
      <c r="I11" s="5"/>
      <c r="J11" s="5"/>
      <c r="K11" s="5"/>
      <c r="L11" s="11" t="s">
        <v>45</v>
      </c>
      <c r="M11" s="12">
        <v>0.0</v>
      </c>
      <c r="N11" s="13">
        <f>M11/C15*100000</f>
        <v>0</v>
      </c>
      <c r="O11" s="12">
        <v>0.0</v>
      </c>
      <c r="P11" s="13">
        <f t="shared" si="11"/>
        <v>0</v>
      </c>
      <c r="Q11" s="47">
        <v>0.0</v>
      </c>
      <c r="R11" s="13">
        <f>Q11/F16*100000</f>
        <v>0</v>
      </c>
      <c r="S11" s="12">
        <v>0.0</v>
      </c>
      <c r="T11" s="13">
        <f>S11/F15*100000</f>
        <v>0</v>
      </c>
      <c r="U11" s="12">
        <v>0.0</v>
      </c>
      <c r="V11" s="13">
        <f>U11/G15*100000</f>
        <v>0</v>
      </c>
      <c r="W11" s="12">
        <v>0.0</v>
      </c>
      <c r="X11" s="13">
        <f>W11/H15*100000</f>
        <v>0</v>
      </c>
      <c r="Y11" s="13">
        <f t="shared" ref="Y11:Z11" si="12">((M11+O11+Q11+S11)/4)</f>
        <v>0</v>
      </c>
      <c r="Z11" s="13">
        <f t="shared" si="12"/>
        <v>0</v>
      </c>
      <c r="AA11" s="13">
        <f t="shared" si="3"/>
        <v>0</v>
      </c>
      <c r="AB11" s="13">
        <f t="shared" si="4"/>
        <v>0</v>
      </c>
      <c r="AC11" s="14" t="s">
        <v>22</v>
      </c>
      <c r="AD11" s="48"/>
    </row>
    <row r="12" ht="14.25" customHeight="1">
      <c r="A12" s="5"/>
      <c r="B12" s="55" t="s">
        <v>46</v>
      </c>
      <c r="C12" s="53">
        <v>891.0</v>
      </c>
      <c r="D12" s="57">
        <v>890.0</v>
      </c>
      <c r="E12" s="53">
        <v>870.0</v>
      </c>
      <c r="F12" s="53">
        <v>842.0</v>
      </c>
      <c r="G12" s="57">
        <v>864.0</v>
      </c>
      <c r="H12" s="58">
        <v>372.0</v>
      </c>
      <c r="I12" s="5"/>
      <c r="J12" s="5"/>
      <c r="K12" s="5"/>
      <c r="L12" s="11" t="s">
        <v>47</v>
      </c>
      <c r="M12" s="12">
        <v>217.0</v>
      </c>
      <c r="N12" s="13">
        <f>M12/C7*100000</f>
        <v>242.4770652</v>
      </c>
      <c r="O12" s="12">
        <v>275.0</v>
      </c>
      <c r="P12" s="13">
        <f>O12/D7*100000</f>
        <v>297.8608178</v>
      </c>
      <c r="Q12" s="47">
        <v>363.0</v>
      </c>
      <c r="R12" s="13">
        <f>Q12/E7*100000</f>
        <v>381.0743567</v>
      </c>
      <c r="S12" s="12">
        <v>514.0</v>
      </c>
      <c r="T12" s="13">
        <f>S12/F7*100000</f>
        <v>522.1401652</v>
      </c>
      <c r="U12" s="12">
        <v>734.0</v>
      </c>
      <c r="V12" s="13">
        <f>U12/G7*100000</f>
        <v>722.5689591</v>
      </c>
      <c r="W12" s="12">
        <v>379.0</v>
      </c>
      <c r="X12" s="13">
        <f>W12/H7*100000</f>
        <v>362.3396241</v>
      </c>
      <c r="Y12" s="13">
        <f t="shared" ref="Y12:Z12" si="13">((M12+O12+Q12+S12)/4)</f>
        <v>342.25</v>
      </c>
      <c r="Z12" s="13">
        <f t="shared" si="13"/>
        <v>360.8881012</v>
      </c>
      <c r="AA12" s="13">
        <f t="shared" si="3"/>
        <v>624</v>
      </c>
      <c r="AB12" s="13">
        <f t="shared" si="4"/>
        <v>542.4542916</v>
      </c>
      <c r="AC12" s="14" t="s">
        <v>48</v>
      </c>
      <c r="AD12" s="48"/>
    </row>
    <row r="13" ht="14.25" customHeight="1">
      <c r="A13" s="5"/>
      <c r="B13" s="55" t="s">
        <v>49</v>
      </c>
      <c r="C13" s="53">
        <v>336.0</v>
      </c>
      <c r="D13" s="57">
        <v>485.0</v>
      </c>
      <c r="E13" s="53">
        <v>438.0</v>
      </c>
      <c r="F13" s="53">
        <v>428.0</v>
      </c>
      <c r="G13" s="57">
        <v>395.0</v>
      </c>
      <c r="H13" s="58">
        <v>221.0</v>
      </c>
      <c r="I13" s="5"/>
      <c r="J13" s="5"/>
      <c r="K13" s="5"/>
      <c r="L13" s="11" t="s">
        <v>50</v>
      </c>
      <c r="M13" s="12">
        <v>154.0</v>
      </c>
      <c r="N13" s="13">
        <f>M13/C11*100000</f>
        <v>318.4384111</v>
      </c>
      <c r="O13" s="12">
        <v>230.0</v>
      </c>
      <c r="P13" s="13">
        <f>O13/D11*100000</f>
        <v>457.1837481</v>
      </c>
      <c r="Q13" s="47">
        <v>310.0</v>
      </c>
      <c r="R13" s="13">
        <f>Q13/E11*100000</f>
        <v>597.2104493</v>
      </c>
      <c r="S13" s="12">
        <v>365.0</v>
      </c>
      <c r="T13" s="13">
        <f>S13/F11*100000</f>
        <v>683.5974079</v>
      </c>
      <c r="U13" s="12">
        <v>597.0</v>
      </c>
      <c r="V13" s="13">
        <f>U13/G11*100000</f>
        <v>1126.9254</v>
      </c>
      <c r="W13" s="12">
        <v>290.0</v>
      </c>
      <c r="X13" s="13">
        <f>W13/H11*100000</f>
        <v>531.5931296</v>
      </c>
      <c r="Y13" s="13">
        <f t="shared" ref="Y13:Z13" si="14">((M13+O13+Q13+S13)/4)</f>
        <v>264.75</v>
      </c>
      <c r="Z13" s="13">
        <f t="shared" si="14"/>
        <v>514.1075041</v>
      </c>
      <c r="AA13" s="13">
        <f t="shared" si="3"/>
        <v>481</v>
      </c>
      <c r="AB13" s="13">
        <f t="shared" si="4"/>
        <v>829.2592649</v>
      </c>
      <c r="AC13" s="14" t="s">
        <v>48</v>
      </c>
      <c r="AD13" s="48"/>
    </row>
    <row r="14" ht="14.25" customHeight="1">
      <c r="A14" s="5"/>
      <c r="B14" s="55" t="s">
        <v>51</v>
      </c>
      <c r="C14" s="53">
        <v>891.0</v>
      </c>
      <c r="D14" s="53">
        <v>890.0</v>
      </c>
      <c r="E14" s="53">
        <v>1446.0</v>
      </c>
      <c r="F14" s="53">
        <v>1310.0</v>
      </c>
      <c r="G14" s="53">
        <v>1310.0</v>
      </c>
      <c r="H14" s="58">
        <v>1323.0</v>
      </c>
      <c r="I14" s="5"/>
      <c r="J14" s="5"/>
      <c r="K14" s="5"/>
      <c r="L14" s="11" t="s">
        <v>52</v>
      </c>
      <c r="M14" s="12">
        <v>3.0</v>
      </c>
      <c r="N14" s="13">
        <f>M14/M4*1000</f>
        <v>3.367003367</v>
      </c>
      <c r="O14" s="12">
        <v>5.0</v>
      </c>
      <c r="P14" s="13">
        <f>O14/O4*1000</f>
        <v>5.617977528</v>
      </c>
      <c r="Q14" s="47">
        <v>3.0</v>
      </c>
      <c r="R14" s="13">
        <f>Q14/Q4*1000</f>
        <v>3.452243959</v>
      </c>
      <c r="S14" s="12">
        <v>7.0</v>
      </c>
      <c r="T14" s="13">
        <f>S14/S4*1000</f>
        <v>8.313539192</v>
      </c>
      <c r="U14" s="12">
        <v>4.0</v>
      </c>
      <c r="V14" s="13">
        <f>U14/U4*1000</f>
        <v>4.656577416</v>
      </c>
      <c r="W14" s="12">
        <v>6.0</v>
      </c>
      <c r="X14" s="13">
        <f>W14/W4*1000</f>
        <v>16.12903226</v>
      </c>
      <c r="Y14" s="13">
        <f t="shared" ref="Y14:Z14" si="15">((M14+O14+Q14+S14)/4)</f>
        <v>4.5</v>
      </c>
      <c r="Z14" s="13">
        <f t="shared" si="15"/>
        <v>5.187691012</v>
      </c>
      <c r="AA14" s="13">
        <f t="shared" si="3"/>
        <v>5.5</v>
      </c>
      <c r="AB14" s="13">
        <f t="shared" si="4"/>
        <v>10.39280484</v>
      </c>
      <c r="AC14" s="14" t="s">
        <v>22</v>
      </c>
      <c r="AD14" s="48"/>
    </row>
    <row r="15" ht="14.25" customHeight="1">
      <c r="A15" s="5"/>
      <c r="B15" s="55" t="s">
        <v>53</v>
      </c>
      <c r="C15" s="53">
        <v>7103.0</v>
      </c>
      <c r="D15" s="53">
        <v>7319.0</v>
      </c>
      <c r="E15" s="53">
        <v>7452.0</v>
      </c>
      <c r="F15" s="53">
        <v>6801.0</v>
      </c>
      <c r="G15" s="53">
        <v>6824.0</v>
      </c>
      <c r="H15" s="58">
        <v>6831.0</v>
      </c>
      <c r="I15" s="5"/>
      <c r="J15" s="5"/>
      <c r="K15" s="5"/>
      <c r="L15" s="11" t="s">
        <v>54</v>
      </c>
      <c r="M15" s="12">
        <v>3.0</v>
      </c>
      <c r="N15" s="13">
        <f>M15/C15*100000</f>
        <v>42.23567507</v>
      </c>
      <c r="O15" s="12">
        <v>5.0</v>
      </c>
      <c r="P15" s="13">
        <f>O15/D15*100000</f>
        <v>68.31534363</v>
      </c>
      <c r="Q15" s="47">
        <v>4.0</v>
      </c>
      <c r="R15" s="13">
        <f>Q15/E15*100000</f>
        <v>53.67686527</v>
      </c>
      <c r="S15" s="12">
        <v>7.0</v>
      </c>
      <c r="T15" s="13">
        <f>S15/F15*100000</f>
        <v>102.9260403</v>
      </c>
      <c r="U15" s="12">
        <v>4.0</v>
      </c>
      <c r="V15" s="13">
        <f>U15/G15*100000</f>
        <v>58.61664713</v>
      </c>
      <c r="W15" s="12">
        <v>6.0</v>
      </c>
      <c r="X15" s="13">
        <f>W15/H15*100000</f>
        <v>87.83487044</v>
      </c>
      <c r="Y15" s="13">
        <f t="shared" ref="Y15:Z15" si="16">((M15+O15+Q15+S15)/4)</f>
        <v>4.75</v>
      </c>
      <c r="Z15" s="13">
        <f t="shared" si="16"/>
        <v>66.78848106</v>
      </c>
      <c r="AA15" s="13">
        <f t="shared" si="3"/>
        <v>5.5</v>
      </c>
      <c r="AB15" s="13">
        <f t="shared" si="4"/>
        <v>73.22575879</v>
      </c>
      <c r="AC15" s="14" t="s">
        <v>22</v>
      </c>
      <c r="AD15" s="48"/>
    </row>
    <row r="16" ht="14.25" customHeight="1">
      <c r="A16" s="5"/>
      <c r="B16" s="55" t="s">
        <v>55</v>
      </c>
      <c r="C16" s="53">
        <v>72134.0</v>
      </c>
      <c r="D16" s="53">
        <v>75163.0</v>
      </c>
      <c r="E16" s="53">
        <v>77671.0</v>
      </c>
      <c r="F16" s="53">
        <v>80029.0</v>
      </c>
      <c r="G16" s="53">
        <v>79184.0</v>
      </c>
      <c r="H16" s="58">
        <v>81838.0</v>
      </c>
      <c r="I16" s="5"/>
      <c r="J16" s="5"/>
      <c r="K16" s="5"/>
      <c r="L16" s="11" t="s">
        <v>56</v>
      </c>
      <c r="M16" s="12">
        <v>90.0</v>
      </c>
      <c r="N16" s="13">
        <f>M16/M4*100</f>
        <v>10.1010101</v>
      </c>
      <c r="O16" s="12">
        <v>118.0</v>
      </c>
      <c r="P16" s="13">
        <f>O16/O4*100</f>
        <v>13.25842697</v>
      </c>
      <c r="Q16" s="47">
        <v>114.0</v>
      </c>
      <c r="R16" s="13">
        <f>Q16/Q4*100</f>
        <v>13.11852704</v>
      </c>
      <c r="S16" s="12">
        <v>106.0</v>
      </c>
      <c r="T16" s="13">
        <f>S16/S4*100</f>
        <v>12.58907363</v>
      </c>
      <c r="U16" s="12">
        <v>139.0</v>
      </c>
      <c r="V16" s="13">
        <f>U16/U4*100</f>
        <v>16.18160652</v>
      </c>
      <c r="W16" s="12">
        <v>43.0</v>
      </c>
      <c r="X16" s="13">
        <f>W16/W4*100</f>
        <v>11.55913978</v>
      </c>
      <c r="Y16" s="13">
        <f t="shared" ref="Y16:Z16" si="17">((M16+O16+Q16+S16)/4)</f>
        <v>107</v>
      </c>
      <c r="Z16" s="13">
        <f t="shared" si="17"/>
        <v>12.26675944</v>
      </c>
      <c r="AA16" s="13">
        <f t="shared" si="3"/>
        <v>122.5</v>
      </c>
      <c r="AB16" s="13">
        <f t="shared" si="4"/>
        <v>13.87037315</v>
      </c>
      <c r="AC16" s="14" t="s">
        <v>24</v>
      </c>
      <c r="AD16" s="48"/>
    </row>
    <row r="17" ht="14.25" customHeight="1">
      <c r="A17" s="5"/>
      <c r="B17" s="55" t="s">
        <v>57</v>
      </c>
      <c r="C17" s="53">
        <v>28081.0</v>
      </c>
      <c r="D17" s="53">
        <v>28848.0</v>
      </c>
      <c r="E17" s="53">
        <v>29422.0</v>
      </c>
      <c r="F17" s="53">
        <v>29943.0</v>
      </c>
      <c r="G17" s="53">
        <v>28097.0</v>
      </c>
      <c r="H17" s="58">
        <v>28515.0</v>
      </c>
      <c r="I17" s="5"/>
      <c r="J17" s="5"/>
      <c r="K17" s="5"/>
      <c r="L17" s="11" t="s">
        <v>58</v>
      </c>
      <c r="M17" s="12">
        <v>42.0</v>
      </c>
      <c r="N17" s="13">
        <f>M17/M4*100</f>
        <v>4.713804714</v>
      </c>
      <c r="O17" s="12">
        <v>55.0</v>
      </c>
      <c r="P17" s="13">
        <f>O17/O4*100</f>
        <v>6.179775281</v>
      </c>
      <c r="Q17" s="47">
        <v>47.0</v>
      </c>
      <c r="R17" s="13">
        <f>Q17/Q4*100</f>
        <v>5.408515535</v>
      </c>
      <c r="S17" s="12">
        <v>54.0</v>
      </c>
      <c r="T17" s="13">
        <f>S17/S4*100</f>
        <v>6.413301663</v>
      </c>
      <c r="U17" s="12">
        <v>67.0</v>
      </c>
      <c r="V17" s="13">
        <f>U17/U4*100</f>
        <v>7.799767171</v>
      </c>
      <c r="W17" s="12">
        <v>23.0</v>
      </c>
      <c r="X17" s="13">
        <f>W17/W4*100</f>
        <v>6.182795699</v>
      </c>
      <c r="Y17" s="13">
        <f t="shared" ref="Y17:Z17" si="18">((M17+O17+Q17+S17)/4)</f>
        <v>49.5</v>
      </c>
      <c r="Z17" s="13">
        <f t="shared" si="18"/>
        <v>5.678849298</v>
      </c>
      <c r="AA17" s="13">
        <f t="shared" si="3"/>
        <v>60.5</v>
      </c>
      <c r="AB17" s="13">
        <f t="shared" si="4"/>
        <v>6.991281435</v>
      </c>
      <c r="AC17" s="14" t="s">
        <v>24</v>
      </c>
      <c r="AD17" s="48"/>
    </row>
    <row r="18" ht="14.25" customHeight="1">
      <c r="A18" s="5"/>
      <c r="B18" s="55" t="s">
        <v>59</v>
      </c>
      <c r="C18" s="53">
        <v>86046.0</v>
      </c>
      <c r="D18" s="53">
        <v>89312.0</v>
      </c>
      <c r="E18" s="53">
        <v>91913.0</v>
      </c>
      <c r="F18" s="53">
        <v>94292.0</v>
      </c>
      <c r="G18" s="53">
        <v>93064.0</v>
      </c>
      <c r="H18" s="58">
        <v>95563.0</v>
      </c>
      <c r="I18" s="5"/>
      <c r="J18" s="5"/>
      <c r="K18" s="5"/>
      <c r="L18" s="11" t="s">
        <v>60</v>
      </c>
      <c r="M18" s="61">
        <v>10.0</v>
      </c>
      <c r="N18" s="28">
        <f>M18/C15*1000</f>
        <v>1.407855836</v>
      </c>
      <c r="O18" s="12">
        <v>11.0</v>
      </c>
      <c r="P18" s="28">
        <f>O18/D15*1000</f>
        <v>1.50293756</v>
      </c>
      <c r="Q18" s="47">
        <v>31.0</v>
      </c>
      <c r="R18" s="28">
        <f>Q18/E15*1000</f>
        <v>4.159957059</v>
      </c>
      <c r="S18" s="61">
        <v>37.0</v>
      </c>
      <c r="T18" s="28">
        <f>S18/F15*1000</f>
        <v>5.440376415</v>
      </c>
      <c r="U18" s="61">
        <v>39.0</v>
      </c>
      <c r="V18" s="28">
        <f>U18/G15*1000</f>
        <v>5.715123095</v>
      </c>
      <c r="W18" s="61">
        <v>14.0</v>
      </c>
      <c r="X18" s="28">
        <f>W18/H15*1000</f>
        <v>2.04948031</v>
      </c>
      <c r="Y18" s="13">
        <f t="shared" ref="Y18:Z18" si="19">((M18+O18+Q18+S18)/4)</f>
        <v>22.25</v>
      </c>
      <c r="Z18" s="13">
        <f t="shared" si="19"/>
        <v>3.127781717</v>
      </c>
      <c r="AA18" s="13">
        <f t="shared" si="3"/>
        <v>38</v>
      </c>
      <c r="AB18" s="13">
        <f t="shared" si="4"/>
        <v>3.882301703</v>
      </c>
      <c r="AC18" s="14" t="s">
        <v>48</v>
      </c>
      <c r="AD18" s="48"/>
    </row>
    <row r="19" ht="14.25" customHeight="1">
      <c r="A19" s="5"/>
      <c r="B19" s="55" t="s">
        <v>61</v>
      </c>
      <c r="C19" s="53">
        <v>57965.0</v>
      </c>
      <c r="D19" s="53">
        <v>60464.0</v>
      </c>
      <c r="E19" s="53">
        <v>62491.0</v>
      </c>
      <c r="F19" s="53">
        <v>63176.0</v>
      </c>
      <c r="G19" s="53">
        <v>64967.0</v>
      </c>
      <c r="H19" s="58">
        <v>67048.0</v>
      </c>
      <c r="I19" s="5"/>
      <c r="J19" s="5"/>
      <c r="K19" s="5"/>
      <c r="L19" s="11" t="s">
        <v>62</v>
      </c>
      <c r="M19" s="12">
        <v>90.0</v>
      </c>
      <c r="N19" s="13">
        <f>M19/M4*100</f>
        <v>10.1010101</v>
      </c>
      <c r="O19" s="12">
        <v>66.0</v>
      </c>
      <c r="P19" s="13">
        <f>O19/O4*100</f>
        <v>7.415730337</v>
      </c>
      <c r="Q19" s="47">
        <v>80.0</v>
      </c>
      <c r="R19" s="13">
        <f>Q19/Q4*100</f>
        <v>9.20598389</v>
      </c>
      <c r="S19" s="12">
        <v>58.0</v>
      </c>
      <c r="T19" s="13">
        <f>S19/S4*100</f>
        <v>6.888361045</v>
      </c>
      <c r="U19" s="12">
        <v>60.0</v>
      </c>
      <c r="V19" s="13">
        <f>U19/U4*100</f>
        <v>6.984866123</v>
      </c>
      <c r="W19" s="12">
        <v>23.0</v>
      </c>
      <c r="X19" s="13">
        <f>W19/W4*100</f>
        <v>6.182795699</v>
      </c>
      <c r="Y19" s="13">
        <f t="shared" ref="Y19:Z19" si="20">((M19+O19+Q19+S19)/4)</f>
        <v>73.5</v>
      </c>
      <c r="Z19" s="13">
        <f t="shared" si="20"/>
        <v>8.402771343</v>
      </c>
      <c r="AA19" s="13">
        <f t="shared" si="3"/>
        <v>59</v>
      </c>
      <c r="AB19" s="13">
        <f t="shared" si="4"/>
        <v>6.583830911</v>
      </c>
      <c r="AC19" s="14" t="s">
        <v>63</v>
      </c>
      <c r="AD19" s="48"/>
    </row>
    <row r="20" ht="14.25" customHeight="1">
      <c r="A20" s="5"/>
      <c r="B20" s="55" t="s">
        <v>64</v>
      </c>
      <c r="C20" s="53">
        <v>3278.0</v>
      </c>
      <c r="D20" s="57">
        <v>3372.0</v>
      </c>
      <c r="E20" s="53">
        <v>3453.0</v>
      </c>
      <c r="F20" s="53">
        <v>3534.0</v>
      </c>
      <c r="G20" s="53">
        <v>3357.0</v>
      </c>
      <c r="H20" s="58">
        <v>3492.0</v>
      </c>
      <c r="I20" s="5"/>
      <c r="J20" s="5"/>
      <c r="K20" s="5"/>
      <c r="L20" s="11" t="s">
        <v>65</v>
      </c>
      <c r="M20" s="12">
        <v>1.0</v>
      </c>
      <c r="N20" s="13">
        <f t="shared" ref="N20:N21" si="22">M20/C20*1000</f>
        <v>0.3050640635</v>
      </c>
      <c r="O20" s="12">
        <v>0.0</v>
      </c>
      <c r="P20" s="13">
        <f t="shared" ref="P20:P21" si="23">O20/D20*1000</f>
        <v>0</v>
      </c>
      <c r="Q20" s="47">
        <v>1.0</v>
      </c>
      <c r="R20" s="13">
        <f t="shared" ref="R20:R21" si="24">Q20/E20*1000</f>
        <v>0.2896032436</v>
      </c>
      <c r="S20" s="12">
        <v>0.0</v>
      </c>
      <c r="T20" s="13">
        <f t="shared" ref="T20:T21" si="25">S20/F20*1000</f>
        <v>0</v>
      </c>
      <c r="U20" s="12">
        <v>1.0</v>
      </c>
      <c r="V20" s="13">
        <f t="shared" ref="V20:V21" si="26">U20/G20*1000</f>
        <v>0.2978850164</v>
      </c>
      <c r="W20" s="12">
        <v>3.0</v>
      </c>
      <c r="X20" s="13">
        <f t="shared" ref="X20:X21" si="27">W20/H20*1000</f>
        <v>0.8591065292</v>
      </c>
      <c r="Y20" s="13">
        <f t="shared" ref="Y20:Z20" si="21">((M20+O20+Q20+S20)/4)</f>
        <v>0.5</v>
      </c>
      <c r="Z20" s="13">
        <f t="shared" si="21"/>
        <v>0.1486668268</v>
      </c>
      <c r="AA20" s="13">
        <f t="shared" si="3"/>
        <v>0.5</v>
      </c>
      <c r="AB20" s="13">
        <f t="shared" si="4"/>
        <v>0.5784957728</v>
      </c>
      <c r="AC20" s="14" t="s">
        <v>63</v>
      </c>
      <c r="AD20" s="48"/>
    </row>
    <row r="21" ht="14.25" customHeight="1">
      <c r="A21" s="5"/>
      <c r="B21" s="55" t="s">
        <v>66</v>
      </c>
      <c r="C21" s="53">
        <v>3560.0</v>
      </c>
      <c r="D21" s="57">
        <v>3606.0</v>
      </c>
      <c r="E21" s="53">
        <v>3628.0</v>
      </c>
      <c r="F21" s="53">
        <v>3652.0</v>
      </c>
      <c r="G21" s="53">
        <v>3578.0</v>
      </c>
      <c r="H21" s="58">
        <v>3532.0</v>
      </c>
      <c r="I21" s="5"/>
      <c r="J21" s="5"/>
      <c r="K21" s="5"/>
      <c r="L21" s="11" t="s">
        <v>67</v>
      </c>
      <c r="M21" s="12">
        <v>89.0</v>
      </c>
      <c r="N21" s="13">
        <f t="shared" si="22"/>
        <v>25</v>
      </c>
      <c r="O21" s="12">
        <v>66.0</v>
      </c>
      <c r="P21" s="13">
        <f t="shared" si="23"/>
        <v>18.30282862</v>
      </c>
      <c r="Q21" s="47">
        <v>79.0</v>
      </c>
      <c r="R21" s="13">
        <f t="shared" si="24"/>
        <v>21.77508269</v>
      </c>
      <c r="S21" s="12">
        <v>58.0</v>
      </c>
      <c r="T21" s="13">
        <f t="shared" si="25"/>
        <v>15.88170865</v>
      </c>
      <c r="U21" s="12">
        <v>58.0</v>
      </c>
      <c r="V21" s="13">
        <f t="shared" si="26"/>
        <v>16.21017328</v>
      </c>
      <c r="W21" s="12">
        <v>20.0</v>
      </c>
      <c r="X21" s="13">
        <f t="shared" si="27"/>
        <v>5.662514156</v>
      </c>
      <c r="Y21" s="13">
        <f t="shared" ref="Y21:Z21" si="28">((M21+O21+Q21+S21)/4)</f>
        <v>73</v>
      </c>
      <c r="Z21" s="13">
        <f t="shared" si="28"/>
        <v>20.23990499</v>
      </c>
      <c r="AA21" s="13">
        <f t="shared" si="3"/>
        <v>58</v>
      </c>
      <c r="AB21" s="13">
        <f t="shared" si="4"/>
        <v>10.93634372</v>
      </c>
      <c r="AC21" s="14" t="s">
        <v>63</v>
      </c>
      <c r="AD21" s="48"/>
    </row>
    <row r="22" ht="14.25" customHeight="1">
      <c r="A22" s="5"/>
      <c r="B22" s="55" t="s">
        <v>68</v>
      </c>
      <c r="C22" s="53">
        <v>32893.0</v>
      </c>
      <c r="D22" s="53">
        <v>34086.0</v>
      </c>
      <c r="E22" s="53">
        <v>35025.0</v>
      </c>
      <c r="F22" s="53">
        <v>35887.0</v>
      </c>
      <c r="G22" s="53">
        <v>35741.0</v>
      </c>
      <c r="H22" s="58">
        <v>36734.0</v>
      </c>
      <c r="I22" s="5"/>
      <c r="J22" s="5"/>
      <c r="K22" s="5"/>
      <c r="L22" s="11" t="s">
        <v>69</v>
      </c>
      <c r="M22" s="61">
        <v>0.0</v>
      </c>
      <c r="N22" s="28">
        <f>M22/C7*100000</f>
        <v>0</v>
      </c>
      <c r="O22" s="12">
        <v>8.0</v>
      </c>
      <c r="P22" s="28">
        <f>O22/D7*100000</f>
        <v>8.665041971</v>
      </c>
      <c r="Q22" s="47">
        <v>10.0</v>
      </c>
      <c r="R22" s="28">
        <f>Q22/E7*100000</f>
        <v>10.49791616</v>
      </c>
      <c r="S22" s="61">
        <v>6.0</v>
      </c>
      <c r="T22" s="28">
        <f>S22/F7*100000</f>
        <v>6.095021383</v>
      </c>
      <c r="U22" s="61">
        <v>7.0</v>
      </c>
      <c r="V22" s="28">
        <f>U22/G7*100000</f>
        <v>6.890984623</v>
      </c>
      <c r="W22" s="61">
        <v>9.0</v>
      </c>
      <c r="X22" s="28">
        <f>W22/H7*100000</f>
        <v>8.60437102</v>
      </c>
      <c r="Y22" s="13">
        <f t="shared" ref="Y22:Z22" si="29">((M22+O22+Q22+S22)/4)</f>
        <v>6</v>
      </c>
      <c r="Z22" s="13">
        <f t="shared" si="29"/>
        <v>6.31449488</v>
      </c>
      <c r="AA22" s="13">
        <f t="shared" si="3"/>
        <v>6.5</v>
      </c>
      <c r="AB22" s="13">
        <f t="shared" si="4"/>
        <v>7.747677822</v>
      </c>
      <c r="AC22" s="14" t="s">
        <v>22</v>
      </c>
      <c r="AD22" s="48"/>
    </row>
    <row r="23" ht="14.25" customHeight="1">
      <c r="A23" s="5"/>
      <c r="B23" s="55" t="s">
        <v>70</v>
      </c>
      <c r="C23" s="53"/>
      <c r="D23" s="53">
        <v>8782.0</v>
      </c>
      <c r="E23" s="53">
        <v>8967.0</v>
      </c>
      <c r="F23" s="53">
        <v>8232.0</v>
      </c>
      <c r="G23" s="53">
        <v>8276.0</v>
      </c>
      <c r="H23" s="58">
        <v>8299.0</v>
      </c>
      <c r="I23" s="5"/>
      <c r="J23" s="5"/>
      <c r="K23" s="5"/>
      <c r="L23" s="11" t="s">
        <v>71</v>
      </c>
      <c r="M23" s="61">
        <v>2.0</v>
      </c>
      <c r="N23" s="28">
        <f>M23/C7*100000</f>
        <v>2.234811661</v>
      </c>
      <c r="O23" s="12">
        <v>3.0</v>
      </c>
      <c r="P23" s="28">
        <f>O23/D7*100000</f>
        <v>3.249390739</v>
      </c>
      <c r="Q23" s="47">
        <v>0.0</v>
      </c>
      <c r="R23" s="28">
        <f>Q23/E7*100000</f>
        <v>0</v>
      </c>
      <c r="S23" s="61">
        <v>1.0</v>
      </c>
      <c r="T23" s="28">
        <f>S23/F7*100000</f>
        <v>1.015836897</v>
      </c>
      <c r="U23" s="61">
        <v>5.0</v>
      </c>
      <c r="V23" s="28">
        <f>U23/G7*100000</f>
        <v>4.922131874</v>
      </c>
      <c r="W23" s="61">
        <v>1.0</v>
      </c>
      <c r="X23" s="28">
        <f>W23/H7*100000</f>
        <v>0.9560412245</v>
      </c>
      <c r="Y23" s="13">
        <f t="shared" ref="Y23:Z23" si="30">((M23+O23+Q23+S23)/4)</f>
        <v>1.5</v>
      </c>
      <c r="Z23" s="13">
        <f t="shared" si="30"/>
        <v>1.625009824</v>
      </c>
      <c r="AA23" s="13">
        <f t="shared" si="3"/>
        <v>3</v>
      </c>
      <c r="AB23" s="13">
        <f t="shared" si="4"/>
        <v>2.939086549</v>
      </c>
      <c r="AC23" s="14" t="s">
        <v>22</v>
      </c>
      <c r="AD23" s="48"/>
    </row>
    <row r="24" ht="14.25" customHeight="1">
      <c r="A24" s="5"/>
      <c r="B24" s="55" t="s">
        <v>72</v>
      </c>
      <c r="C24" s="53"/>
      <c r="D24" s="53">
        <v>8515.0</v>
      </c>
      <c r="E24" s="53">
        <v>8779.0</v>
      </c>
      <c r="F24" s="53">
        <v>9037.0</v>
      </c>
      <c r="G24" s="53">
        <v>8559.0</v>
      </c>
      <c r="H24" s="58">
        <v>8778.0</v>
      </c>
      <c r="I24" s="5"/>
      <c r="J24" s="5"/>
      <c r="K24" s="5"/>
      <c r="L24" s="11" t="s">
        <v>73</v>
      </c>
      <c r="M24" s="61">
        <v>1.0</v>
      </c>
      <c r="N24" s="28">
        <f>M24/C7*100000</f>
        <v>1.117405831</v>
      </c>
      <c r="O24" s="12">
        <v>3.0</v>
      </c>
      <c r="P24" s="28">
        <f>O24/D7*100000</f>
        <v>3.249390739</v>
      </c>
      <c r="Q24" s="47">
        <v>3.0</v>
      </c>
      <c r="R24" s="28">
        <f>Q24/E7*100000</f>
        <v>3.149374849</v>
      </c>
      <c r="S24" s="61">
        <v>6.0</v>
      </c>
      <c r="T24" s="28">
        <f>S24/F7*100000</f>
        <v>6.095021383</v>
      </c>
      <c r="U24" s="61">
        <v>3.0</v>
      </c>
      <c r="V24" s="28">
        <f>U24/G7*100000</f>
        <v>2.953279124</v>
      </c>
      <c r="W24" s="61">
        <v>1.0</v>
      </c>
      <c r="X24" s="28">
        <f>W24/H7*100000</f>
        <v>0.9560412245</v>
      </c>
      <c r="Y24" s="13">
        <f t="shared" ref="Y24:Z24" si="31">((M24+O24+Q24+S24)/4)</f>
        <v>3.25</v>
      </c>
      <c r="Z24" s="13">
        <f t="shared" si="31"/>
        <v>3.402798201</v>
      </c>
      <c r="AA24" s="13">
        <f t="shared" si="3"/>
        <v>4.5</v>
      </c>
      <c r="AB24" s="13">
        <f t="shared" si="4"/>
        <v>1.954660174</v>
      </c>
      <c r="AC24" s="14" t="s">
        <v>22</v>
      </c>
      <c r="AD24" s="48"/>
    </row>
    <row r="25" ht="14.25" customHeight="1">
      <c r="A25" s="5"/>
      <c r="B25" s="55" t="s">
        <v>74</v>
      </c>
      <c r="C25" s="53"/>
      <c r="D25" s="53">
        <v>8571.0</v>
      </c>
      <c r="E25" s="53">
        <v>8691.0</v>
      </c>
      <c r="F25" s="53">
        <v>8822.0</v>
      </c>
      <c r="G25" s="53">
        <v>8393.0</v>
      </c>
      <c r="H25" s="58">
        <v>8550.0</v>
      </c>
      <c r="I25" s="5"/>
      <c r="J25" s="5"/>
      <c r="K25" s="5"/>
      <c r="L25" s="11" t="s">
        <v>75</v>
      </c>
      <c r="M25" s="61">
        <v>40.0</v>
      </c>
      <c r="N25" s="28">
        <f>M25/C7*100000</f>
        <v>44.69623322</v>
      </c>
      <c r="O25" s="12">
        <v>38.0</v>
      </c>
      <c r="P25" s="28">
        <f>O25/D7*100000</f>
        <v>41.15894936</v>
      </c>
      <c r="Q25" s="47">
        <v>86.0</v>
      </c>
      <c r="R25" s="28">
        <f>Q25/E7*100000</f>
        <v>90.28207901</v>
      </c>
      <c r="S25" s="61">
        <v>88.0</v>
      </c>
      <c r="T25" s="28">
        <f>S25/F7*100000</f>
        <v>89.39364696</v>
      </c>
      <c r="U25" s="61">
        <v>106.0</v>
      </c>
      <c r="V25" s="28">
        <f>U25/G7*100000</f>
        <v>104.3491957</v>
      </c>
      <c r="W25" s="61">
        <v>46.0</v>
      </c>
      <c r="X25" s="28">
        <f>W25/H7*100000</f>
        <v>43.97789633</v>
      </c>
      <c r="Y25" s="13">
        <f t="shared" ref="Y25:Z25" si="32">((M25+O25+Q25+S25)/4)</f>
        <v>63</v>
      </c>
      <c r="Z25" s="13">
        <f t="shared" si="32"/>
        <v>66.38272714</v>
      </c>
      <c r="AA25" s="13">
        <f t="shared" si="3"/>
        <v>97</v>
      </c>
      <c r="AB25" s="13">
        <f t="shared" si="4"/>
        <v>74.16354603</v>
      </c>
      <c r="AC25" s="14" t="s">
        <v>48</v>
      </c>
      <c r="AD25" s="48"/>
    </row>
    <row r="26" ht="14.25" customHeight="1">
      <c r="A26" s="5"/>
      <c r="B26" s="55" t="s">
        <v>76</v>
      </c>
      <c r="C26" s="62"/>
      <c r="D26" s="62">
        <v>17210.0</v>
      </c>
      <c r="E26" s="62">
        <v>17430.0</v>
      </c>
      <c r="F26" s="62">
        <v>17557.0</v>
      </c>
      <c r="G26" s="62">
        <v>17323.0</v>
      </c>
      <c r="H26" s="58">
        <v>17442.0</v>
      </c>
      <c r="I26" s="5"/>
      <c r="J26" s="5"/>
      <c r="K26" s="5"/>
      <c r="L26" s="11" t="s">
        <v>77</v>
      </c>
      <c r="M26" s="12">
        <v>58.0</v>
      </c>
      <c r="N26" s="13">
        <f>M26/C7*100000</f>
        <v>64.80953818</v>
      </c>
      <c r="O26" s="12">
        <v>144.0</v>
      </c>
      <c r="P26" s="13">
        <f>O26/D7*100000</f>
        <v>155.9707555</v>
      </c>
      <c r="Q26" s="47">
        <v>133.0</v>
      </c>
      <c r="R26" s="13">
        <f>Q26/E7*100000</f>
        <v>139.622285</v>
      </c>
      <c r="S26" s="12">
        <v>50.0</v>
      </c>
      <c r="T26" s="13">
        <f>S26/F7*100000</f>
        <v>50.79184486</v>
      </c>
      <c r="U26" s="12">
        <v>54.0</v>
      </c>
      <c r="V26" s="13">
        <f>U26/G7*100000</f>
        <v>53.15902424</v>
      </c>
      <c r="W26" s="12">
        <v>20.0</v>
      </c>
      <c r="X26" s="13">
        <f>W26/H7*100000</f>
        <v>19.12082449</v>
      </c>
      <c r="Y26" s="13">
        <f t="shared" ref="Y26:Z26" si="33">((M26+O26+Q26+S26)/4)</f>
        <v>96.25</v>
      </c>
      <c r="Z26" s="13">
        <f t="shared" si="33"/>
        <v>102.7986059</v>
      </c>
      <c r="AA26" s="13">
        <f t="shared" si="3"/>
        <v>52</v>
      </c>
      <c r="AB26" s="13">
        <f t="shared" si="4"/>
        <v>36.13992436</v>
      </c>
      <c r="AC26" s="14" t="s">
        <v>22</v>
      </c>
      <c r="AD26" s="48"/>
    </row>
    <row r="27" ht="14.25" customHeight="1">
      <c r="A27" s="5"/>
      <c r="B27" s="63" t="s">
        <v>78</v>
      </c>
      <c r="C27" s="64"/>
      <c r="D27" s="64"/>
      <c r="E27" s="65">
        <f t="shared" ref="E27:F27" si="34">E7-E18</f>
        <v>3344</v>
      </c>
      <c r="F27" s="65">
        <f t="shared" si="34"/>
        <v>4149</v>
      </c>
      <c r="G27" s="65">
        <v>8518.0</v>
      </c>
      <c r="H27" s="66">
        <v>9035.0</v>
      </c>
      <c r="I27" s="5"/>
      <c r="J27" s="5"/>
      <c r="K27" s="5"/>
      <c r="L27" s="11" t="s">
        <v>79</v>
      </c>
      <c r="M27" s="12">
        <v>1.0</v>
      </c>
      <c r="N27" s="13">
        <f>M27/C11*100000</f>
        <v>2.06778189</v>
      </c>
      <c r="O27" s="12">
        <v>1.0</v>
      </c>
      <c r="P27" s="13">
        <f>O27/D11*100000</f>
        <v>1.987755427</v>
      </c>
      <c r="Q27" s="47">
        <v>5.0</v>
      </c>
      <c r="R27" s="13">
        <f>Q27/E11*100000</f>
        <v>9.632426601</v>
      </c>
      <c r="S27" s="12">
        <v>0.0</v>
      </c>
      <c r="T27" s="13">
        <f>S27/F11*100000</f>
        <v>0</v>
      </c>
      <c r="U27" s="12">
        <v>1.0</v>
      </c>
      <c r="V27" s="13">
        <f>U27/G11*100000</f>
        <v>1.887647236</v>
      </c>
      <c r="W27" s="12">
        <v>0.0</v>
      </c>
      <c r="X27" s="13">
        <f>W27/H11*100000</f>
        <v>0</v>
      </c>
      <c r="Y27" s="13">
        <f t="shared" ref="Y27:Z27" si="35">((M27+O27+Q27+S27)/4)</f>
        <v>1.75</v>
      </c>
      <c r="Z27" s="13">
        <f t="shared" si="35"/>
        <v>3.421990979</v>
      </c>
      <c r="AA27" s="13">
        <f t="shared" si="3"/>
        <v>0.5</v>
      </c>
      <c r="AB27" s="13">
        <f t="shared" si="4"/>
        <v>0.9438236182</v>
      </c>
      <c r="AC27" s="14" t="s">
        <v>22</v>
      </c>
      <c r="AD27" s="48"/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>
        <v>5.0</v>
      </c>
      <c r="N28" s="13">
        <f>M28/C11*100000</f>
        <v>10.33890945</v>
      </c>
      <c r="O28" s="12">
        <v>4.0</v>
      </c>
      <c r="P28" s="13">
        <f>O28/D11*100000</f>
        <v>7.951021706</v>
      </c>
      <c r="Q28" s="47">
        <v>5.0</v>
      </c>
      <c r="R28" s="13">
        <f>Q28/E11*100000</f>
        <v>9.632426601</v>
      </c>
      <c r="S28" s="12">
        <v>8.0</v>
      </c>
      <c r="T28" s="13">
        <f>S28/F11*100000</f>
        <v>14.98295689</v>
      </c>
      <c r="U28" s="12">
        <v>4.0</v>
      </c>
      <c r="V28" s="13">
        <f>U28/G11*100000</f>
        <v>7.550588946</v>
      </c>
      <c r="W28" s="12">
        <v>2.0</v>
      </c>
      <c r="X28" s="13">
        <f>W28/H11*100000</f>
        <v>3.666159515</v>
      </c>
      <c r="Y28" s="13">
        <f t="shared" ref="Y28:Z28" si="36">((M28+O28+Q28+S28)/4)</f>
        <v>5.5</v>
      </c>
      <c r="Z28" s="13">
        <f t="shared" si="36"/>
        <v>10.72632866</v>
      </c>
      <c r="AA28" s="13">
        <f t="shared" si="3"/>
        <v>6</v>
      </c>
      <c r="AB28" s="13">
        <f t="shared" si="4"/>
        <v>5.60837423</v>
      </c>
      <c r="AC28" s="14" t="s">
        <v>22</v>
      </c>
      <c r="AD28" s="48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>
        <v>1.0</v>
      </c>
      <c r="N29" s="13">
        <f>M29/C10*100000</f>
        <v>2.241850872</v>
      </c>
      <c r="O29" s="12">
        <v>8.0</v>
      </c>
      <c r="P29" s="13">
        <f>O29/D10*100000</f>
        <v>17.25253397</v>
      </c>
      <c r="Q29" s="47">
        <v>2.0</v>
      </c>
      <c r="R29" s="13">
        <f>Q29/E10*100000</f>
        <v>4.18305028</v>
      </c>
      <c r="S29" s="12">
        <v>7.0</v>
      </c>
      <c r="T29" s="13">
        <f>S29/F10*100000</f>
        <v>14.23921888</v>
      </c>
      <c r="U29" s="12">
        <v>6.0</v>
      </c>
      <c r="V29" s="13">
        <f>U29/G10*100000</f>
        <v>12.34415504</v>
      </c>
      <c r="W29" s="12">
        <v>3.0</v>
      </c>
      <c r="X29" s="13">
        <f>W29/H10*100000</f>
        <v>5.994604856</v>
      </c>
      <c r="Y29" s="13">
        <f t="shared" ref="Y29:Z29" si="37">((M29+O29+Q29+S29)/4)</f>
        <v>4.5</v>
      </c>
      <c r="Z29" s="13">
        <f t="shared" si="37"/>
        <v>9.479163499</v>
      </c>
      <c r="AA29" s="13">
        <f t="shared" si="3"/>
        <v>6.5</v>
      </c>
      <c r="AB29" s="13">
        <f t="shared" si="4"/>
        <v>9.169379949</v>
      </c>
      <c r="AC29" s="14" t="s">
        <v>22</v>
      </c>
      <c r="AD29" s="48"/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>
        <v>56.0</v>
      </c>
      <c r="N30" s="13">
        <f>M30/C7*100000</f>
        <v>62.57472651</v>
      </c>
      <c r="O30" s="12">
        <v>172.0</v>
      </c>
      <c r="P30" s="13">
        <f>O30/D7*100000</f>
        <v>186.2984024</v>
      </c>
      <c r="Q30" s="47">
        <v>34.0</v>
      </c>
      <c r="R30" s="13">
        <f>Q30/E7*100000</f>
        <v>35.69291496</v>
      </c>
      <c r="S30" s="12">
        <v>22.0</v>
      </c>
      <c r="T30" s="13">
        <f>S30/F7*100000</f>
        <v>22.34841174</v>
      </c>
      <c r="U30" s="12">
        <v>12.0</v>
      </c>
      <c r="V30" s="13">
        <f>U30/G7*100000</f>
        <v>11.8131165</v>
      </c>
      <c r="W30" s="12">
        <v>15.0</v>
      </c>
      <c r="X30" s="13">
        <f>W30/H7*100000</f>
        <v>14.34061837</v>
      </c>
      <c r="Y30" s="13">
        <f t="shared" ref="Y30:Z30" si="38">((M30+O30+Q30+S30)/4)</f>
        <v>71</v>
      </c>
      <c r="Z30" s="13">
        <f t="shared" si="38"/>
        <v>76.7286139</v>
      </c>
      <c r="AA30" s="13">
        <f t="shared" si="3"/>
        <v>17</v>
      </c>
      <c r="AB30" s="13">
        <f t="shared" si="4"/>
        <v>13.07686743</v>
      </c>
      <c r="AC30" s="14" t="s">
        <v>22</v>
      </c>
      <c r="AD30" s="48"/>
    </row>
    <row r="31" ht="14.25" customHeight="1">
      <c r="A31" s="5"/>
      <c r="B31" s="32" t="s">
        <v>84</v>
      </c>
      <c r="C31" s="53"/>
      <c r="D31" s="53">
        <v>8782.0</v>
      </c>
      <c r="E31" s="53">
        <v>8967.0</v>
      </c>
      <c r="F31" s="53">
        <v>8232.0</v>
      </c>
      <c r="G31" s="53">
        <v>8276.0</v>
      </c>
      <c r="H31" s="58">
        <v>8299.0</v>
      </c>
      <c r="I31" s="5"/>
      <c r="J31" s="5"/>
      <c r="K31" s="5"/>
      <c r="L31" s="11" t="s">
        <v>85</v>
      </c>
      <c r="M31" s="12">
        <v>1.0</v>
      </c>
      <c r="N31" s="13">
        <f>M31/C7*100000</f>
        <v>1.117405831</v>
      </c>
      <c r="O31" s="12">
        <v>0.0</v>
      </c>
      <c r="P31" s="13">
        <f>O31/D7*100000</f>
        <v>0</v>
      </c>
      <c r="Q31" s="47">
        <v>1.0</v>
      </c>
      <c r="R31" s="13">
        <f>Q31/E7*100000</f>
        <v>1.049791616</v>
      </c>
      <c r="S31" s="12">
        <v>2.0</v>
      </c>
      <c r="T31" s="13">
        <f>S31/F7*100000</f>
        <v>2.031673794</v>
      </c>
      <c r="U31" s="12">
        <v>2.0</v>
      </c>
      <c r="V31" s="13">
        <f>U31/G7*100000</f>
        <v>1.96885275</v>
      </c>
      <c r="W31" s="12">
        <v>0.0</v>
      </c>
      <c r="X31" s="13">
        <f>W31/H7*100000</f>
        <v>0</v>
      </c>
      <c r="Y31" s="13">
        <f t="shared" ref="Y31:Z31" si="39">((M31+O31+Q31+S31)/4)</f>
        <v>1</v>
      </c>
      <c r="Z31" s="13">
        <f t="shared" si="39"/>
        <v>1.04971781</v>
      </c>
      <c r="AA31" s="13">
        <f t="shared" si="3"/>
        <v>2</v>
      </c>
      <c r="AB31" s="13">
        <f t="shared" si="4"/>
        <v>0.9844263748</v>
      </c>
      <c r="AC31" s="14" t="s">
        <v>22</v>
      </c>
      <c r="AD31" s="48"/>
    </row>
    <row r="32" ht="14.25" customHeight="1">
      <c r="A32" s="5"/>
      <c r="B32" s="32" t="s">
        <v>86</v>
      </c>
      <c r="C32" s="31"/>
      <c r="D32" s="53">
        <v>8515.0</v>
      </c>
      <c r="E32" s="53">
        <v>8779.0</v>
      </c>
      <c r="F32" s="53">
        <v>9037.0</v>
      </c>
      <c r="G32" s="53">
        <v>8559.0</v>
      </c>
      <c r="H32" s="58">
        <v>8778.0</v>
      </c>
      <c r="I32" s="5"/>
      <c r="J32" s="5"/>
      <c r="K32" s="5"/>
      <c r="L32" s="11" t="s">
        <v>87</v>
      </c>
      <c r="M32" s="61">
        <v>31.0</v>
      </c>
      <c r="N32" s="34">
        <f>M32/C7*100</f>
        <v>0.03463958075</v>
      </c>
      <c r="O32" s="12">
        <v>21.0</v>
      </c>
      <c r="P32" s="34">
        <f>O32/D7*100</f>
        <v>0.02274573517</v>
      </c>
      <c r="Q32" s="47">
        <v>39.0</v>
      </c>
      <c r="R32" s="34">
        <f>Q32/E7*100</f>
        <v>0.04094187304</v>
      </c>
      <c r="S32" s="61">
        <v>44.0</v>
      </c>
      <c r="T32" s="34">
        <f>S32/F7*100</f>
        <v>0.04469682348</v>
      </c>
      <c r="U32" s="61">
        <v>49.0</v>
      </c>
      <c r="V32" s="34">
        <f>U32/G7*100</f>
        <v>0.04823689236</v>
      </c>
      <c r="W32" s="61">
        <v>30.0</v>
      </c>
      <c r="X32" s="34">
        <f>W32/H7*100</f>
        <v>0.02868123673</v>
      </c>
      <c r="Y32" s="13">
        <f t="shared" ref="Y32:Z32" si="40">((M32+O32+Q32+S32)/4)</f>
        <v>33.75</v>
      </c>
      <c r="Z32" s="35">
        <f t="shared" si="40"/>
        <v>0.03575600311</v>
      </c>
      <c r="AA32" s="13">
        <f t="shared" si="3"/>
        <v>46.5</v>
      </c>
      <c r="AB32" s="13">
        <f t="shared" si="4"/>
        <v>0.03845906455</v>
      </c>
      <c r="AC32" s="14" t="s">
        <v>48</v>
      </c>
      <c r="AD32" s="48"/>
    </row>
    <row r="33" ht="14.25" customHeight="1">
      <c r="A33" s="5"/>
      <c r="B33" s="32" t="s">
        <v>88</v>
      </c>
      <c r="C33" s="31"/>
      <c r="D33" s="53">
        <v>8571.0</v>
      </c>
      <c r="E33" s="53">
        <v>8691.0</v>
      </c>
      <c r="F33" s="53">
        <v>8822.0</v>
      </c>
      <c r="G33" s="53">
        <v>8393.0</v>
      </c>
      <c r="H33" s="58">
        <v>8550.0</v>
      </c>
      <c r="I33" s="5"/>
      <c r="J33" s="5"/>
      <c r="K33" s="5"/>
      <c r="L33" s="11" t="s">
        <v>89</v>
      </c>
      <c r="M33" s="12">
        <v>10376.0</v>
      </c>
      <c r="N33" s="13">
        <f>M33/C7*10000</f>
        <v>1159.42029</v>
      </c>
      <c r="O33" s="12">
        <v>23028.0</v>
      </c>
      <c r="P33" s="13">
        <f>O33/D7*10000</f>
        <v>2494.232331</v>
      </c>
      <c r="Q33" s="47">
        <v>21551.0</v>
      </c>
      <c r="R33" s="13">
        <f>Q33/E7*10000</f>
        <v>2262.405912</v>
      </c>
      <c r="S33" s="12">
        <v>15273.0</v>
      </c>
      <c r="T33" s="13">
        <f>S33/F7*10000</f>
        <v>1551.487693</v>
      </c>
      <c r="U33" s="12">
        <v>24720.0</v>
      </c>
      <c r="V33" s="13">
        <f>U33/G7*10000</f>
        <v>2433.501998</v>
      </c>
      <c r="W33" s="12">
        <v>10804.0</v>
      </c>
      <c r="X33" s="13">
        <f>W33/H7*10000</f>
        <v>1032.906939</v>
      </c>
      <c r="Y33" s="13">
        <f t="shared" ref="Y33:Z33" si="41">((M33+O33+Q33+S33)/4)</f>
        <v>17557</v>
      </c>
      <c r="Z33" s="13">
        <f t="shared" si="41"/>
        <v>1866.886557</v>
      </c>
      <c r="AA33" s="13">
        <f t="shared" si="3"/>
        <v>19996.5</v>
      </c>
      <c r="AB33" s="13">
        <f t="shared" si="4"/>
        <v>1733.204469</v>
      </c>
      <c r="AC33" s="14" t="s">
        <v>48</v>
      </c>
      <c r="AD33" s="48"/>
    </row>
    <row r="34" ht="14.25" customHeight="1">
      <c r="A34" s="5"/>
      <c r="B34" s="32" t="s">
        <v>90</v>
      </c>
      <c r="C34" s="31"/>
      <c r="D34" s="31"/>
      <c r="E34" s="31"/>
      <c r="F34" s="31"/>
      <c r="G34" s="31"/>
      <c r="H34" s="31"/>
      <c r="I34" s="5"/>
      <c r="J34" s="5"/>
      <c r="K34" s="5"/>
      <c r="L34" s="11" t="s">
        <v>91</v>
      </c>
      <c r="M34" s="12">
        <v>2478.0</v>
      </c>
      <c r="N34" s="13">
        <f>M34/C7*10000</f>
        <v>276.8931648</v>
      </c>
      <c r="O34" s="12">
        <v>2794.0</v>
      </c>
      <c r="P34" s="13">
        <f>O34/D7*10000</f>
        <v>302.6265908</v>
      </c>
      <c r="Q34" s="47">
        <v>6662.0</v>
      </c>
      <c r="R34" s="13">
        <f>Q34/E7*10000</f>
        <v>699.3711748</v>
      </c>
      <c r="S34" s="12">
        <v>3256.0</v>
      </c>
      <c r="T34" s="13">
        <f>S34/F7*10000</f>
        <v>330.7564937</v>
      </c>
      <c r="U34" s="12">
        <v>7966.0</v>
      </c>
      <c r="V34" s="13">
        <f>U34/G7*10000</f>
        <v>784.1940501</v>
      </c>
      <c r="W34" s="12">
        <v>3732.0</v>
      </c>
      <c r="X34" s="13">
        <f>W34/H7*10000</f>
        <v>356.794585</v>
      </c>
      <c r="Y34" s="13">
        <f t="shared" ref="Y34:Z34" si="42">((M34+O34+Q34+S34)/4)</f>
        <v>3797.5</v>
      </c>
      <c r="Z34" s="13">
        <f t="shared" si="42"/>
        <v>402.4118561</v>
      </c>
      <c r="AA34" s="13">
        <f t="shared" si="3"/>
        <v>5611</v>
      </c>
      <c r="AB34" s="13">
        <f t="shared" si="4"/>
        <v>570.4943176</v>
      </c>
      <c r="AC34" s="14" t="s">
        <v>48</v>
      </c>
      <c r="AD34" s="48"/>
    </row>
    <row r="35" ht="14.25" customHeight="1">
      <c r="A35" s="5"/>
      <c r="B35" s="32" t="s">
        <v>92</v>
      </c>
      <c r="C35" s="31"/>
      <c r="D35" s="31"/>
      <c r="E35" s="31"/>
      <c r="F35" s="31"/>
      <c r="G35" s="31"/>
      <c r="H35" s="31"/>
      <c r="I35" s="5"/>
      <c r="J35" s="5"/>
      <c r="K35" s="5"/>
      <c r="L35" s="11" t="s">
        <v>93</v>
      </c>
      <c r="M35" s="12">
        <v>44.0</v>
      </c>
      <c r="N35" s="13">
        <f>M35/M4*1000</f>
        <v>49.38271605</v>
      </c>
      <c r="O35" s="12">
        <v>43.0</v>
      </c>
      <c r="P35" s="13">
        <f>O35/O4*1000</f>
        <v>48.31460674</v>
      </c>
      <c r="Q35" s="47">
        <v>53.0</v>
      </c>
      <c r="R35" s="13">
        <f>Q35/Q4*1000</f>
        <v>60.98964327</v>
      </c>
      <c r="S35" s="12">
        <v>55.0</v>
      </c>
      <c r="T35" s="13">
        <f>S35/S4*1000</f>
        <v>65.32066508</v>
      </c>
      <c r="U35" s="12">
        <v>78.0</v>
      </c>
      <c r="V35" s="13">
        <f>U35/U4*1000</f>
        <v>90.8032596</v>
      </c>
      <c r="W35" s="12">
        <v>33.0</v>
      </c>
      <c r="X35" s="13">
        <f>W35/W4*1000</f>
        <v>88.70967742</v>
      </c>
      <c r="Y35" s="13">
        <f t="shared" ref="Y35:Z35" si="43">((M35+O35+Q35+S35)/4)</f>
        <v>48.75</v>
      </c>
      <c r="Z35" s="13">
        <f t="shared" si="43"/>
        <v>56.00190779</v>
      </c>
      <c r="AA35" s="13">
        <f t="shared" si="3"/>
        <v>66.5</v>
      </c>
      <c r="AB35" s="13">
        <f t="shared" si="4"/>
        <v>89.75646851</v>
      </c>
      <c r="AC35" s="14" t="s">
        <v>48</v>
      </c>
      <c r="AD35" s="48"/>
    </row>
    <row r="36" ht="14.25" customHeight="1">
      <c r="A36" s="5"/>
      <c r="B36" s="32" t="s">
        <v>94</v>
      </c>
      <c r="C36" s="31"/>
      <c r="D36" s="31"/>
      <c r="E36" s="65">
        <f t="shared" ref="E36:F36" si="44">E16-E27</f>
        <v>74327</v>
      </c>
      <c r="F36" s="65">
        <f t="shared" si="44"/>
        <v>75880</v>
      </c>
      <c r="G36" s="65">
        <v>8518.0</v>
      </c>
      <c r="H36" s="66">
        <v>9035.0</v>
      </c>
      <c r="I36" s="5"/>
      <c r="J36" s="5"/>
      <c r="K36" s="5"/>
      <c r="L36" s="11" t="s">
        <v>95</v>
      </c>
      <c r="M36" s="12">
        <v>6.0</v>
      </c>
      <c r="N36" s="13">
        <f>M36/M4*1000</f>
        <v>6.734006734</v>
      </c>
      <c r="O36" s="12">
        <v>3.0</v>
      </c>
      <c r="P36" s="13">
        <f>O36/O4*1000</f>
        <v>3.370786517</v>
      </c>
      <c r="Q36" s="47">
        <v>7.0</v>
      </c>
      <c r="R36" s="13">
        <f>Q36/Q4*1000</f>
        <v>8.055235903</v>
      </c>
      <c r="S36" s="12">
        <v>7.0</v>
      </c>
      <c r="T36" s="13">
        <f>S36/S4*1000</f>
        <v>8.313539192</v>
      </c>
      <c r="U36" s="12">
        <v>5.0</v>
      </c>
      <c r="V36" s="13">
        <f>U36/U4*1000</f>
        <v>5.820721769</v>
      </c>
      <c r="W36" s="12">
        <v>4.0</v>
      </c>
      <c r="X36" s="13">
        <f>W36/W4*1000</f>
        <v>10.75268817</v>
      </c>
      <c r="Y36" s="13">
        <f t="shared" ref="Y36:Z36" si="45">((M36+O36+Q36+S36)/4)</f>
        <v>5.75</v>
      </c>
      <c r="Z36" s="13">
        <f t="shared" si="45"/>
        <v>6.618392087</v>
      </c>
      <c r="AA36" s="13">
        <f t="shared" si="3"/>
        <v>6</v>
      </c>
      <c r="AB36" s="13">
        <f t="shared" si="4"/>
        <v>8.286704971</v>
      </c>
      <c r="AC36" s="14" t="s">
        <v>48</v>
      </c>
      <c r="AD36" s="48"/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>
        <v>0.0</v>
      </c>
      <c r="N37" s="59">
        <f>M37/947*1000</f>
        <v>0</v>
      </c>
      <c r="O37" s="12">
        <v>2.0</v>
      </c>
      <c r="P37" s="59">
        <f>O37/932*1000</f>
        <v>2.145922747</v>
      </c>
      <c r="Q37" s="47">
        <v>0.0</v>
      </c>
      <c r="R37" s="59">
        <f>Q37/901*1000</f>
        <v>0</v>
      </c>
      <c r="S37" s="12">
        <v>1.0</v>
      </c>
      <c r="T37" s="59">
        <f>S37/873*1000</f>
        <v>1.145475372</v>
      </c>
      <c r="U37" s="12">
        <v>1.0</v>
      </c>
      <c r="V37" s="59">
        <f>U37/889*1000</f>
        <v>1.124859393</v>
      </c>
      <c r="W37" s="12">
        <v>0.0</v>
      </c>
      <c r="X37" s="59">
        <f>W37/387*1000</f>
        <v>0</v>
      </c>
      <c r="Y37" s="13">
        <f t="shared" ref="Y37:Z37" si="46">((M37+O37+Q37+S37)/4)</f>
        <v>0.75</v>
      </c>
      <c r="Z37" s="13">
        <f t="shared" si="46"/>
        <v>0.8228495298</v>
      </c>
      <c r="AA37" s="13">
        <f t="shared" si="3"/>
        <v>1</v>
      </c>
      <c r="AB37" s="13">
        <f t="shared" si="4"/>
        <v>0.5624296963</v>
      </c>
      <c r="AC37" s="14" t="s">
        <v>48</v>
      </c>
      <c r="AD37" s="48"/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>
        <v>1.0</v>
      </c>
      <c r="N38" s="13">
        <f>M38/C7*10000</f>
        <v>0.1117405831</v>
      </c>
      <c r="O38" s="12">
        <v>5.0</v>
      </c>
      <c r="P38" s="13">
        <f>O38/E7*10000</f>
        <v>0.5248958082</v>
      </c>
      <c r="Q38" s="47">
        <v>7.0</v>
      </c>
      <c r="R38" s="13">
        <f>Q38/E7*10000</f>
        <v>0.7348541315</v>
      </c>
      <c r="S38" s="12">
        <v>15.0</v>
      </c>
      <c r="T38" s="13">
        <f>S38/F7*10000</f>
        <v>1.523755346</v>
      </c>
      <c r="U38" s="12">
        <v>15.0</v>
      </c>
      <c r="V38" s="13">
        <f>U38/G7*10000</f>
        <v>1.476639562</v>
      </c>
      <c r="W38" s="12">
        <v>5.0</v>
      </c>
      <c r="X38" s="13">
        <f>W38/H7*10000</f>
        <v>0.4780206122</v>
      </c>
      <c r="Y38" s="13">
        <f t="shared" ref="Y38:Z38" si="47">((M38+O38+Q38+S38)/4)</f>
        <v>7</v>
      </c>
      <c r="Z38" s="13">
        <f t="shared" si="47"/>
        <v>0.7238114671</v>
      </c>
      <c r="AA38" s="13">
        <f t="shared" si="3"/>
        <v>15</v>
      </c>
      <c r="AB38" s="13">
        <f t="shared" si="4"/>
        <v>0.9773300872</v>
      </c>
      <c r="AC38" s="14" t="s">
        <v>48</v>
      </c>
      <c r="AD38" s="48"/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>
        <v>69.0</v>
      </c>
      <c r="N39" s="13">
        <f>M39/C17*10000</f>
        <v>24.57177451</v>
      </c>
      <c r="O39" s="12">
        <v>65.0</v>
      </c>
      <c r="P39" s="13">
        <f>O39/D17*10000</f>
        <v>22.53189129</v>
      </c>
      <c r="Q39" s="47">
        <v>105.0</v>
      </c>
      <c r="R39" s="13">
        <f>Q39/E17*100000</f>
        <v>356.8758072</v>
      </c>
      <c r="S39" s="12">
        <v>125.0</v>
      </c>
      <c r="T39" s="13">
        <f>S39/F17*100000</f>
        <v>417.4598404</v>
      </c>
      <c r="U39" s="12">
        <v>241.0</v>
      </c>
      <c r="V39" s="13">
        <f>U39/G17*100000</f>
        <v>857.7428195</v>
      </c>
      <c r="W39" s="12">
        <v>139.0</v>
      </c>
      <c r="X39" s="13">
        <f>W39/H17*100000</f>
        <v>487.4627389</v>
      </c>
      <c r="Y39" s="13">
        <f t="shared" ref="Y39:Z39" si="48">((M39+O39+Q39+S39)/4)</f>
        <v>91</v>
      </c>
      <c r="Z39" s="13">
        <f t="shared" si="48"/>
        <v>205.3598283</v>
      </c>
      <c r="AA39" s="13">
        <f t="shared" si="3"/>
        <v>183</v>
      </c>
      <c r="AB39" s="13">
        <f t="shared" si="4"/>
        <v>672.6027792</v>
      </c>
      <c r="AC39" s="14" t="s">
        <v>48</v>
      </c>
      <c r="AD39" s="48"/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>
        <v>33.0</v>
      </c>
      <c r="N40" s="13">
        <f>M40/C7*100000</f>
        <v>36.87439241</v>
      </c>
      <c r="O40" s="12">
        <v>19.0</v>
      </c>
      <c r="P40" s="13">
        <f>O40/D7*100000</f>
        <v>20.57947468</v>
      </c>
      <c r="Q40" s="47">
        <v>60.0</v>
      </c>
      <c r="R40" s="13">
        <f>Q40/E7*100000</f>
        <v>62.98749698</v>
      </c>
      <c r="S40" s="12">
        <v>74.0</v>
      </c>
      <c r="T40" s="13">
        <f>S40/F7*100000</f>
        <v>75.17193039</v>
      </c>
      <c r="U40" s="12">
        <v>120.0</v>
      </c>
      <c r="V40" s="13">
        <f>U40/G7*100000</f>
        <v>118.131165</v>
      </c>
      <c r="W40" s="12">
        <v>63.0</v>
      </c>
      <c r="X40" s="13">
        <f>W40/H7*100000</f>
        <v>60.23059714</v>
      </c>
      <c r="Y40" s="13">
        <f t="shared" ref="Y40:Z40" si="49">((M40+O40+Q40+S40)/4)</f>
        <v>46.5</v>
      </c>
      <c r="Z40" s="13">
        <f t="shared" si="49"/>
        <v>48.90332362</v>
      </c>
      <c r="AA40" s="13">
        <f t="shared" si="3"/>
        <v>97</v>
      </c>
      <c r="AB40" s="13">
        <f t="shared" si="4"/>
        <v>89.18088106</v>
      </c>
      <c r="AC40" s="14" t="s">
        <v>48</v>
      </c>
      <c r="AD40" s="48"/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>
        <v>333.0</v>
      </c>
      <c r="N41" s="28">
        <f>M41/C7*10000</f>
        <v>37.20961416</v>
      </c>
      <c r="O41" s="12">
        <v>365.0</v>
      </c>
      <c r="P41" s="28">
        <f>O41/D7*10000</f>
        <v>39.53425399</v>
      </c>
      <c r="Q41" s="47">
        <v>467.0</v>
      </c>
      <c r="R41" s="28">
        <f>Q41/E7*10000</f>
        <v>49.02526848</v>
      </c>
      <c r="S41" s="61">
        <v>447.0</v>
      </c>
      <c r="T41" s="28">
        <f>S41/F7*10000</f>
        <v>45.40790931</v>
      </c>
      <c r="U41" s="61">
        <v>546.0</v>
      </c>
      <c r="V41" s="28">
        <f>U41/G7*10000</f>
        <v>53.74968006</v>
      </c>
      <c r="W41" s="61">
        <v>277.0</v>
      </c>
      <c r="X41" s="28">
        <f>W41/H7*10000</f>
        <v>26.48234192</v>
      </c>
      <c r="Y41" s="13">
        <f t="shared" ref="Y41:Z41" si="50">((M41+O41+Q41+S41)/4)</f>
        <v>403</v>
      </c>
      <c r="Z41" s="13">
        <f t="shared" si="50"/>
        <v>42.79426149</v>
      </c>
      <c r="AA41" s="13">
        <f t="shared" si="3"/>
        <v>496.5</v>
      </c>
      <c r="AB41" s="13">
        <f t="shared" si="4"/>
        <v>40.11601099</v>
      </c>
      <c r="AC41" s="14" t="s">
        <v>48</v>
      </c>
      <c r="AD41" s="48"/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>
        <v>27.0</v>
      </c>
      <c r="N42" s="28">
        <f>M42/C7*10000</f>
        <v>3.016995743</v>
      </c>
      <c r="O42" s="12">
        <v>17.0</v>
      </c>
      <c r="P42" s="28">
        <f>O42/D7*10000</f>
        <v>1.841321419</v>
      </c>
      <c r="Q42" s="47">
        <v>65.0</v>
      </c>
      <c r="R42" s="28">
        <f>Q42/E7*10000</f>
        <v>6.823645506</v>
      </c>
      <c r="S42" s="61">
        <v>81.0</v>
      </c>
      <c r="T42" s="28">
        <f>S42/F7*10000</f>
        <v>8.228278868</v>
      </c>
      <c r="U42" s="61">
        <v>78.0</v>
      </c>
      <c r="V42" s="28">
        <f>U42/G7*10000</f>
        <v>7.678525723</v>
      </c>
      <c r="W42" s="61">
        <v>43.0</v>
      </c>
      <c r="X42" s="28">
        <f>W42/H7*10000</f>
        <v>4.110977265</v>
      </c>
      <c r="Y42" s="13">
        <f t="shared" ref="Y42:Z42" si="51">((M42+O42+Q42+S42)/4)</f>
        <v>47.5</v>
      </c>
      <c r="Z42" s="13">
        <f t="shared" si="51"/>
        <v>4.977560384</v>
      </c>
      <c r="AA42" s="13">
        <f t="shared" si="3"/>
        <v>79.5</v>
      </c>
      <c r="AB42" s="13">
        <f t="shared" si="4"/>
        <v>5.894751494</v>
      </c>
      <c r="AC42" s="14" t="s">
        <v>48</v>
      </c>
      <c r="AD42" s="48"/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>
        <v>91.0</v>
      </c>
      <c r="N43" s="28">
        <f>M43/C16*10000</f>
        <v>12.61541021</v>
      </c>
      <c r="O43" s="12">
        <v>169.0</v>
      </c>
      <c r="P43" s="28">
        <f>O43/D16*10000</f>
        <v>22.48446709</v>
      </c>
      <c r="Q43" s="47">
        <v>204.0</v>
      </c>
      <c r="R43" s="28">
        <f>Q43/E16*100000</f>
        <v>262.6462901</v>
      </c>
      <c r="S43" s="61">
        <v>267.0</v>
      </c>
      <c r="T43" s="28">
        <f>S43/F16*100000</f>
        <v>333.6290595</v>
      </c>
      <c r="U43" s="61">
        <v>411.0</v>
      </c>
      <c r="V43" s="28">
        <f>U43/G16*100000</f>
        <v>519.0442514</v>
      </c>
      <c r="W43" s="61">
        <v>193.0</v>
      </c>
      <c r="X43" s="28">
        <f>W43/H16*100000</f>
        <v>235.8317652</v>
      </c>
      <c r="Y43" s="13">
        <f t="shared" ref="Y43:Z43" si="52">((M43+O43+Q43+S43)/4)</f>
        <v>182.75</v>
      </c>
      <c r="Z43" s="13">
        <f t="shared" si="52"/>
        <v>157.8438067</v>
      </c>
      <c r="AA43" s="13">
        <f t="shared" si="3"/>
        <v>339</v>
      </c>
      <c r="AB43" s="13">
        <f t="shared" si="4"/>
        <v>377.4380083</v>
      </c>
      <c r="AC43" s="14" t="s">
        <v>48</v>
      </c>
      <c r="AD43" s="48"/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>
        <v>83.0</v>
      </c>
      <c r="N44" s="28">
        <f>M44/C7*100000</f>
        <v>92.74468394</v>
      </c>
      <c r="O44" s="12">
        <v>113.0</v>
      </c>
      <c r="P44" s="28">
        <f>O44/D7*100000</f>
        <v>122.3937178</v>
      </c>
      <c r="Q44" s="12">
        <v>129.0</v>
      </c>
      <c r="R44" s="13">
        <f>Q44/E7*100000</f>
        <v>135.4231185</v>
      </c>
      <c r="S44" s="12">
        <v>88.0</v>
      </c>
      <c r="T44" s="13">
        <f>S44/F7*100000</f>
        <v>89.39364696</v>
      </c>
      <c r="U44" s="12">
        <v>106.0</v>
      </c>
      <c r="V44" s="13">
        <f>U44/G7*100000</f>
        <v>104.3491957</v>
      </c>
      <c r="W44" s="12">
        <v>49.0</v>
      </c>
      <c r="X44" s="13">
        <f>W44/H7*100000</f>
        <v>46.84602</v>
      </c>
      <c r="Y44" s="13">
        <f t="shared" ref="Y44:Z44" si="53">((M44+O44+Q44+S44)/4)</f>
        <v>103.25</v>
      </c>
      <c r="Z44" s="13">
        <f t="shared" si="53"/>
        <v>109.9887918</v>
      </c>
      <c r="AA44" s="13">
        <f t="shared" si="3"/>
        <v>97</v>
      </c>
      <c r="AB44" s="13">
        <f t="shared" si="4"/>
        <v>75.59760786</v>
      </c>
      <c r="AC44" s="14" t="s">
        <v>48</v>
      </c>
      <c r="AD44" s="48"/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>
        <v>889.0</v>
      </c>
      <c r="N45" s="28">
        <f>M45/M4*100</f>
        <v>99.77553311</v>
      </c>
      <c r="O45" s="12">
        <v>889.0</v>
      </c>
      <c r="P45" s="28">
        <f>O45/O4*100</f>
        <v>99.88764045</v>
      </c>
      <c r="Q45" s="12">
        <v>866.0</v>
      </c>
      <c r="R45" s="13">
        <f>Q45/Q4*100</f>
        <v>99.6547756</v>
      </c>
      <c r="S45" s="12">
        <v>843.0</v>
      </c>
      <c r="T45" s="13">
        <f>S45/S4*100</f>
        <v>100.1187648</v>
      </c>
      <c r="U45" s="12">
        <v>863.0</v>
      </c>
      <c r="V45" s="13">
        <f>U45/U4*100</f>
        <v>100.4656577</v>
      </c>
      <c r="W45" s="12">
        <v>372.0</v>
      </c>
      <c r="X45" s="13">
        <f>W45/W4*100</f>
        <v>100</v>
      </c>
      <c r="Y45" s="13">
        <f t="shared" ref="Y45:Z45" si="54">((M45+O45+Q45+S45)/4)</f>
        <v>871.75</v>
      </c>
      <c r="Z45" s="13">
        <f t="shared" si="54"/>
        <v>99.8591785</v>
      </c>
      <c r="AA45" s="13">
        <f t="shared" si="3"/>
        <v>853</v>
      </c>
      <c r="AB45" s="13">
        <f t="shared" si="4"/>
        <v>100.2328289</v>
      </c>
      <c r="AC45" s="14" t="s">
        <v>105</v>
      </c>
      <c r="AD45" s="48"/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>
        <v>770.0</v>
      </c>
      <c r="N46" s="28">
        <f>M46/M4*100</f>
        <v>86.41975309</v>
      </c>
      <c r="O46" s="12">
        <v>805.0</v>
      </c>
      <c r="P46" s="28">
        <f>O46/O4*100</f>
        <v>90.4494382</v>
      </c>
      <c r="Q46" s="12">
        <v>808.0</v>
      </c>
      <c r="R46" s="13">
        <f>Q46/Q4*100</f>
        <v>92.98043728</v>
      </c>
      <c r="S46" s="12">
        <v>784.0</v>
      </c>
      <c r="T46" s="13">
        <f>S46/S4*100</f>
        <v>93.11163895</v>
      </c>
      <c r="U46" s="12">
        <v>819.0</v>
      </c>
      <c r="V46" s="13">
        <f>U46/U4*100</f>
        <v>95.34342258</v>
      </c>
      <c r="W46" s="12">
        <v>350.0</v>
      </c>
      <c r="X46" s="13">
        <f>W46/W4*100</f>
        <v>94.08602151</v>
      </c>
      <c r="Y46" s="13">
        <f t="shared" ref="Y46:Z46" si="55">((M46+O46+Q46+S46)/4)</f>
        <v>791.75</v>
      </c>
      <c r="Z46" s="13">
        <f t="shared" si="55"/>
        <v>90.74031688</v>
      </c>
      <c r="AA46" s="13">
        <f t="shared" si="3"/>
        <v>801.5</v>
      </c>
      <c r="AB46" s="13">
        <f t="shared" si="4"/>
        <v>94.71472204</v>
      </c>
      <c r="AC46" s="14" t="s">
        <v>105</v>
      </c>
      <c r="AD46" s="48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>
        <v>29.0</v>
      </c>
      <c r="N47" s="13">
        <f>M47/C7*100000</f>
        <v>32.40476909</v>
      </c>
      <c r="O47" s="47">
        <v>22.0</v>
      </c>
      <c r="P47" s="13">
        <f>O47/D7*100000</f>
        <v>23.82886542</v>
      </c>
      <c r="Q47" s="47">
        <v>28.0</v>
      </c>
      <c r="R47" s="13">
        <f>Q47/E7*100000</f>
        <v>29.39416526</v>
      </c>
      <c r="S47" s="12">
        <v>26.0</v>
      </c>
      <c r="T47" s="13">
        <f>S47/F7*100000</f>
        <v>26.41175933</v>
      </c>
      <c r="U47" s="12">
        <v>25.0</v>
      </c>
      <c r="V47" s="13">
        <f>U47/G7*100000</f>
        <v>24.61065937</v>
      </c>
      <c r="W47" s="12">
        <v>12.0</v>
      </c>
      <c r="X47" s="13">
        <f>W47/H7*100000</f>
        <v>11.47249469</v>
      </c>
      <c r="Y47" s="13">
        <f t="shared" ref="Y47:Z47" si="56">((M47+O47+Q47+S47)/4)</f>
        <v>26.25</v>
      </c>
      <c r="Z47" s="13">
        <f t="shared" si="56"/>
        <v>28.00988977</v>
      </c>
      <c r="AA47" s="13">
        <f t="shared" si="3"/>
        <v>25.5</v>
      </c>
      <c r="AB47" s="13">
        <f t="shared" si="4"/>
        <v>18.04157703</v>
      </c>
      <c r="AC47" s="14" t="s">
        <v>48</v>
      </c>
      <c r="AD47" s="48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>
        <v>11.0</v>
      </c>
      <c r="N48" s="13">
        <f>M48/C7*100000</f>
        <v>12.29146414</v>
      </c>
      <c r="O48" s="12">
        <v>17.0</v>
      </c>
      <c r="P48" s="13">
        <f>O48/D7*100000</f>
        <v>18.41321419</v>
      </c>
      <c r="Q48" s="47">
        <v>20.0</v>
      </c>
      <c r="R48" s="13">
        <f>Q48/E7*100000</f>
        <v>20.99583233</v>
      </c>
      <c r="S48" s="12">
        <v>14.0</v>
      </c>
      <c r="T48" s="13">
        <f>S48/F7*100000</f>
        <v>14.22171656</v>
      </c>
      <c r="U48" s="12">
        <v>13.0</v>
      </c>
      <c r="V48" s="13">
        <f>U48/G7*100000</f>
        <v>12.79754287</v>
      </c>
      <c r="W48" s="12">
        <v>20.0</v>
      </c>
      <c r="X48" s="13">
        <f>W48/H7*100000</f>
        <v>19.12082449</v>
      </c>
      <c r="Y48" s="13">
        <f t="shared" ref="Y48:Z48" si="57">((M48+O48+Q48+S48)/4)</f>
        <v>15.5</v>
      </c>
      <c r="Z48" s="13">
        <f t="shared" si="57"/>
        <v>16.4805568</v>
      </c>
      <c r="AA48" s="13">
        <f t="shared" si="3"/>
        <v>13.5</v>
      </c>
      <c r="AB48" s="13">
        <f t="shared" si="4"/>
        <v>15.95918368</v>
      </c>
      <c r="AC48" s="37" t="s">
        <v>22</v>
      </c>
      <c r="AD48" s="74"/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>
        <v>12.0</v>
      </c>
      <c r="N49" s="13">
        <f>M49/C7*100000</f>
        <v>13.40886997</v>
      </c>
      <c r="O49" s="12">
        <v>8.0</v>
      </c>
      <c r="P49" s="13">
        <f>O49/D7*100000</f>
        <v>8.665041971</v>
      </c>
      <c r="Q49" s="47">
        <v>13.0</v>
      </c>
      <c r="R49" s="13">
        <f>Q49/E7*100000</f>
        <v>13.64729101</v>
      </c>
      <c r="S49" s="12">
        <v>9.0</v>
      </c>
      <c r="T49" s="13">
        <f>S49/F7*100000</f>
        <v>9.142532075</v>
      </c>
      <c r="U49" s="12">
        <v>16.0</v>
      </c>
      <c r="V49" s="13">
        <f>U49/G7*100000</f>
        <v>15.750822</v>
      </c>
      <c r="W49" s="12">
        <v>6.0</v>
      </c>
      <c r="X49" s="13">
        <f>W49/H7*100000</f>
        <v>5.736247347</v>
      </c>
      <c r="Y49" s="13">
        <f t="shared" ref="Y49:Z49" si="58">((M49+O49+Q49+S49)/4)</f>
        <v>10.5</v>
      </c>
      <c r="Z49" s="13">
        <f t="shared" si="58"/>
        <v>11.21593376</v>
      </c>
      <c r="AA49" s="13">
        <f t="shared" si="3"/>
        <v>12.5</v>
      </c>
      <c r="AB49" s="13">
        <f t="shared" si="4"/>
        <v>10.74353467</v>
      </c>
      <c r="AC49" s="37" t="s">
        <v>22</v>
      </c>
      <c r="AD49" s="74"/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>
        <v>3.0</v>
      </c>
      <c r="N50" s="13">
        <f>M50/C7*100000</f>
        <v>3.352217492</v>
      </c>
      <c r="O50" s="47">
        <v>3.0</v>
      </c>
      <c r="P50" s="13">
        <f>O50/D7*100000</f>
        <v>3.249390739</v>
      </c>
      <c r="Q50" s="47">
        <v>5.0</v>
      </c>
      <c r="R50" s="13">
        <f>Q50/E7*100000</f>
        <v>5.248958082</v>
      </c>
      <c r="S50" s="12">
        <v>14.0</v>
      </c>
      <c r="T50" s="13">
        <f>S50/F7*100000</f>
        <v>14.22171656</v>
      </c>
      <c r="U50" s="12">
        <v>8.0</v>
      </c>
      <c r="V50" s="13">
        <f>U50/G7*100000</f>
        <v>7.875410998</v>
      </c>
      <c r="W50" s="12">
        <v>2.0</v>
      </c>
      <c r="X50" s="13">
        <f>W50/H7*100000</f>
        <v>1.912082449</v>
      </c>
      <c r="Y50" s="13">
        <f t="shared" ref="Y50:Z50" si="59">((M50+O50+Q50+S50)/4)</f>
        <v>6.25</v>
      </c>
      <c r="Z50" s="13">
        <f t="shared" si="59"/>
        <v>6.518070719</v>
      </c>
      <c r="AA50" s="13">
        <f t="shared" si="3"/>
        <v>11</v>
      </c>
      <c r="AB50" s="13">
        <f t="shared" si="4"/>
        <v>4.893746724</v>
      </c>
      <c r="AC50" s="14" t="s">
        <v>48</v>
      </c>
      <c r="AD50" s="48"/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>
        <v>0.0</v>
      </c>
      <c r="N51" s="13">
        <f>M51/C7*100000</f>
        <v>0</v>
      </c>
      <c r="O51" s="47">
        <v>1.0</v>
      </c>
      <c r="P51" s="13">
        <f>O51/D7*100000</f>
        <v>1.083130246</v>
      </c>
      <c r="Q51" s="47">
        <v>2.0</v>
      </c>
      <c r="R51" s="13">
        <f>Q51/E7*100000</f>
        <v>2.099583233</v>
      </c>
      <c r="S51" s="12">
        <v>9.0</v>
      </c>
      <c r="T51" s="13">
        <f>S51/F7*100000</f>
        <v>9.142532075</v>
      </c>
      <c r="U51" s="12">
        <v>1.0</v>
      </c>
      <c r="V51" s="13">
        <f>U51/G7*100000</f>
        <v>0.9844263748</v>
      </c>
      <c r="W51" s="12">
        <v>1.0</v>
      </c>
      <c r="X51" s="13">
        <f>W51/H7*100000</f>
        <v>0.9560412245</v>
      </c>
      <c r="Y51" s="13">
        <f t="shared" ref="Y51:Z51" si="60">((M51+O51+Q51+S51)/4)</f>
        <v>3</v>
      </c>
      <c r="Z51" s="13">
        <f t="shared" si="60"/>
        <v>3.081311389</v>
      </c>
      <c r="AA51" s="13">
        <f t="shared" si="3"/>
        <v>5</v>
      </c>
      <c r="AB51" s="13">
        <f t="shared" si="4"/>
        <v>0.9702337996</v>
      </c>
      <c r="AC51" s="14" t="s">
        <v>48</v>
      </c>
      <c r="AD51" s="48"/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>
        <v>6.0</v>
      </c>
      <c r="N52" s="13">
        <f>M52/C7*100000</f>
        <v>6.704434984</v>
      </c>
      <c r="O52" s="47">
        <v>4.0</v>
      </c>
      <c r="P52" s="13">
        <f>O52/D7*100000</f>
        <v>4.332520986</v>
      </c>
      <c r="Q52" s="47">
        <v>15.0</v>
      </c>
      <c r="R52" s="13">
        <f>Q52/E7*100000</f>
        <v>15.74687425</v>
      </c>
      <c r="S52" s="12">
        <v>26.0</v>
      </c>
      <c r="T52" s="13">
        <f>S52/F7*100000</f>
        <v>26.41175933</v>
      </c>
      <c r="U52" s="12">
        <v>15.0</v>
      </c>
      <c r="V52" s="13">
        <f>U52/G7*100000</f>
        <v>14.76639562</v>
      </c>
      <c r="W52" s="12">
        <v>4.0</v>
      </c>
      <c r="X52" s="13">
        <f>W52/H7*100000</f>
        <v>3.824164898</v>
      </c>
      <c r="Y52" s="13">
        <f t="shared" ref="Y52:Z52" si="61">((M52+O52+Q52+S52)/4)</f>
        <v>12.75</v>
      </c>
      <c r="Z52" s="13">
        <f t="shared" si="61"/>
        <v>13.29889739</v>
      </c>
      <c r="AA52" s="13">
        <f t="shared" si="3"/>
        <v>20.5</v>
      </c>
      <c r="AB52" s="13">
        <f t="shared" si="4"/>
        <v>9.29528026</v>
      </c>
      <c r="AC52" s="14" t="s">
        <v>48</v>
      </c>
      <c r="AD52" s="48"/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>
        <v>1.0</v>
      </c>
      <c r="N53" s="13">
        <f>M53/C17*100000</f>
        <v>3.561126741</v>
      </c>
      <c r="O53" s="47">
        <v>0.0</v>
      </c>
      <c r="P53" s="13">
        <f>O53/D17*100000</f>
        <v>0</v>
      </c>
      <c r="Q53" s="47">
        <v>2.0</v>
      </c>
      <c r="R53" s="13">
        <f>Q53/E17*100000</f>
        <v>6.797634423</v>
      </c>
      <c r="S53" s="12">
        <v>2.0</v>
      </c>
      <c r="T53" s="13">
        <f>S53/F17*100000</f>
        <v>6.679357446</v>
      </c>
      <c r="U53" s="12">
        <v>0.0</v>
      </c>
      <c r="V53" s="13">
        <f>U53/G17*100000</f>
        <v>0</v>
      </c>
      <c r="W53" s="12">
        <v>1.0</v>
      </c>
      <c r="X53" s="13">
        <f>W53/H17*100000</f>
        <v>3.506926179</v>
      </c>
      <c r="Y53" s="13">
        <f t="shared" ref="Y53:Z53" si="62">((M53+O53+Q53+S53)/4)</f>
        <v>1.25</v>
      </c>
      <c r="Z53" s="13">
        <f t="shared" si="62"/>
        <v>4.259529652</v>
      </c>
      <c r="AA53" s="13">
        <f t="shared" si="3"/>
        <v>1</v>
      </c>
      <c r="AB53" s="13">
        <f t="shared" si="4"/>
        <v>1.75346309</v>
      </c>
      <c r="AC53" s="37" t="s">
        <v>22</v>
      </c>
      <c r="AD53" s="74"/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>
        <v>2.0</v>
      </c>
      <c r="N54" s="13">
        <f>M54/C19*100000</f>
        <v>3.450357975</v>
      </c>
      <c r="O54" s="47">
        <v>0.0</v>
      </c>
      <c r="P54" s="13">
        <f>O54/D19*100000</f>
        <v>0</v>
      </c>
      <c r="Q54" s="47">
        <v>2.0</v>
      </c>
      <c r="R54" s="13">
        <f>Q54/E19*100000</f>
        <v>3.200460866</v>
      </c>
      <c r="S54" s="12">
        <v>0.0</v>
      </c>
      <c r="T54" s="13">
        <f>S54/F19*100000</f>
        <v>0</v>
      </c>
      <c r="U54" s="12">
        <v>0.0</v>
      </c>
      <c r="V54" s="13">
        <f>U54/G19*100000</f>
        <v>0</v>
      </c>
      <c r="W54" s="12">
        <v>1.0</v>
      </c>
      <c r="X54" s="13">
        <f>W54/H19*100000</f>
        <v>1.491468798</v>
      </c>
      <c r="Y54" s="13">
        <f t="shared" ref="Y54:Z54" si="63">((M54+O54+Q54+S54)/4)</f>
        <v>1</v>
      </c>
      <c r="Z54" s="13">
        <f t="shared" si="63"/>
        <v>1.66270471</v>
      </c>
      <c r="AA54" s="13">
        <f t="shared" si="3"/>
        <v>0</v>
      </c>
      <c r="AB54" s="13">
        <f t="shared" si="4"/>
        <v>0.7457343992</v>
      </c>
      <c r="AC54" s="37" t="s">
        <v>22</v>
      </c>
      <c r="AD54" s="74"/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>
        <v>33.0</v>
      </c>
      <c r="N55" s="13">
        <f>M55/C19*100000</f>
        <v>56.93090658</v>
      </c>
      <c r="O55" s="47">
        <v>35.0</v>
      </c>
      <c r="P55" s="13">
        <f>O55/D19*100000</f>
        <v>57.88568404</v>
      </c>
      <c r="Q55" s="47">
        <v>33.0</v>
      </c>
      <c r="R55" s="13">
        <f>Q55/E19*100000</f>
        <v>52.8076043</v>
      </c>
      <c r="S55" s="12">
        <v>38.0</v>
      </c>
      <c r="T55" s="13">
        <f>S55/F19*100000</f>
        <v>60.14942383</v>
      </c>
      <c r="U55" s="12">
        <v>36.0</v>
      </c>
      <c r="V55" s="13">
        <f>U55/G19*100000</f>
        <v>55.41274801</v>
      </c>
      <c r="W55" s="12">
        <v>20.0</v>
      </c>
      <c r="X55" s="13">
        <f>W55/H19*100000</f>
        <v>29.82937597</v>
      </c>
      <c r="Y55" s="13">
        <f t="shared" ref="Y55:Z55" si="64">((M55+O55+Q55+S55)/4)</f>
        <v>34.75</v>
      </c>
      <c r="Z55" s="13">
        <f t="shared" si="64"/>
        <v>56.94340469</v>
      </c>
      <c r="AA55" s="13">
        <f t="shared" si="3"/>
        <v>37</v>
      </c>
      <c r="AB55" s="13">
        <f t="shared" si="4"/>
        <v>42.62106199</v>
      </c>
      <c r="AC55" s="37" t="s">
        <v>22</v>
      </c>
      <c r="AD55" s="74"/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>
        <v>0.0</v>
      </c>
      <c r="N56" s="13">
        <f>M56/C7*100000</f>
        <v>0</v>
      </c>
      <c r="O56" s="47">
        <v>0.0</v>
      </c>
      <c r="P56" s="13">
        <f>O56/D7*100000</f>
        <v>0</v>
      </c>
      <c r="Q56" s="47">
        <v>0.0</v>
      </c>
      <c r="R56" s="13">
        <f>Q56/E7*100000</f>
        <v>0</v>
      </c>
      <c r="S56" s="12">
        <v>0.0</v>
      </c>
      <c r="T56" s="13">
        <f>S56/F7*100000</f>
        <v>0</v>
      </c>
      <c r="U56" s="12">
        <v>0.0</v>
      </c>
      <c r="V56" s="13">
        <f>U56/G7*100000</f>
        <v>0</v>
      </c>
      <c r="W56" s="12">
        <v>0.0</v>
      </c>
      <c r="X56" s="13">
        <f>W56/H7*100000</f>
        <v>0</v>
      </c>
      <c r="Y56" s="13">
        <f t="shared" ref="Y56:Z56" si="65">((M56+O56+Q56+S56)/4)</f>
        <v>0</v>
      </c>
      <c r="Z56" s="13">
        <f t="shared" si="65"/>
        <v>0</v>
      </c>
      <c r="AA56" s="13">
        <f t="shared" si="3"/>
        <v>0</v>
      </c>
      <c r="AB56" s="13">
        <f t="shared" si="4"/>
        <v>0</v>
      </c>
      <c r="AC56" s="37" t="s">
        <v>22</v>
      </c>
      <c r="AD56" s="74"/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>
        <v>0.0</v>
      </c>
      <c r="N57" s="13">
        <f>M57/M4*100000</f>
        <v>0</v>
      </c>
      <c r="O57" s="47">
        <v>0.0</v>
      </c>
      <c r="P57" s="13">
        <f>O57/O4*100000</f>
        <v>0</v>
      </c>
      <c r="Q57" s="47">
        <v>0.0</v>
      </c>
      <c r="R57" s="13">
        <f>Q57/Q4*100000</f>
        <v>0</v>
      </c>
      <c r="S57" s="12">
        <v>0.0</v>
      </c>
      <c r="T57" s="13">
        <f>S57/S4*100000</f>
        <v>0</v>
      </c>
      <c r="U57" s="12">
        <v>0.0</v>
      </c>
      <c r="V57" s="13">
        <f>U57/U4*100000</f>
        <v>0</v>
      </c>
      <c r="W57" s="12">
        <v>0.0</v>
      </c>
      <c r="X57" s="13">
        <f>W57/W4*100000</f>
        <v>0</v>
      </c>
      <c r="Y57" s="13">
        <f t="shared" ref="Y57:Z57" si="66">((M57+O57+Q57+S57)/4)</f>
        <v>0</v>
      </c>
      <c r="Z57" s="13">
        <f t="shared" si="66"/>
        <v>0</v>
      </c>
      <c r="AA57" s="13">
        <f t="shared" si="3"/>
        <v>0</v>
      </c>
      <c r="AB57" s="13">
        <f t="shared" si="4"/>
        <v>0</v>
      </c>
      <c r="AC57" s="14" t="s">
        <v>48</v>
      </c>
      <c r="AD57" s="48"/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>
        <v>83.0</v>
      </c>
      <c r="N58" s="28">
        <f>M58/C7*100000</f>
        <v>92.74468394</v>
      </c>
      <c r="O58" s="71">
        <v>91.0</v>
      </c>
      <c r="P58" s="28">
        <f>O58/D7*100000</f>
        <v>98.56485242</v>
      </c>
      <c r="Q58" s="71">
        <v>118.0</v>
      </c>
      <c r="R58" s="28">
        <f>Q58/E7*100000</f>
        <v>123.8754107</v>
      </c>
      <c r="S58" s="61">
        <v>105.0</v>
      </c>
      <c r="T58" s="28">
        <f>S58/F7*100000</f>
        <v>106.6628742</v>
      </c>
      <c r="U58" s="61">
        <v>100.0</v>
      </c>
      <c r="V58" s="28">
        <f>U58/G7*100000</f>
        <v>98.44263748</v>
      </c>
      <c r="W58" s="61">
        <v>48.0</v>
      </c>
      <c r="X58" s="28">
        <f>W58/H7*100000</f>
        <v>45.88997878</v>
      </c>
      <c r="Y58" s="13">
        <f t="shared" ref="Y58:Z58" si="67">((M58+O58+Q58+S58)/4)</f>
        <v>99.25</v>
      </c>
      <c r="Z58" s="13">
        <f t="shared" si="67"/>
        <v>105.4619553</v>
      </c>
      <c r="AA58" s="13">
        <f t="shared" si="3"/>
        <v>102.5</v>
      </c>
      <c r="AB58" s="13">
        <f t="shared" si="4"/>
        <v>72.16630813</v>
      </c>
      <c r="AC58" s="37" t="s">
        <v>22</v>
      </c>
      <c r="AD58" s="74"/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>
        <v>0.0</v>
      </c>
      <c r="N59" s="28">
        <f>M59/C7*100000</f>
        <v>0</v>
      </c>
      <c r="O59" s="71">
        <v>1.0</v>
      </c>
      <c r="P59" s="28">
        <f>O59/D7*100000</f>
        <v>1.083130246</v>
      </c>
      <c r="Q59" s="71">
        <v>0.0</v>
      </c>
      <c r="R59" s="28">
        <f>Q59/E7*100000</f>
        <v>0</v>
      </c>
      <c r="S59" s="76">
        <v>1.0</v>
      </c>
      <c r="T59" s="39">
        <f>S59/F7*100000</f>
        <v>1.015836897</v>
      </c>
      <c r="U59" s="76">
        <v>0.0</v>
      </c>
      <c r="V59" s="39">
        <f>U59/G7*100000</f>
        <v>0</v>
      </c>
      <c r="W59" s="76">
        <v>0.0</v>
      </c>
      <c r="X59" s="39">
        <f>W59/H7*100000</f>
        <v>0</v>
      </c>
      <c r="Y59" s="40">
        <f t="shared" ref="Y59:Z59" si="68">((M59+O59+Q59+S59)/4)</f>
        <v>0.5</v>
      </c>
      <c r="Z59" s="40">
        <f t="shared" si="68"/>
        <v>0.5247417859</v>
      </c>
      <c r="AA59" s="13">
        <f t="shared" si="3"/>
        <v>0.5</v>
      </c>
      <c r="AB59" s="13">
        <f t="shared" si="4"/>
        <v>0</v>
      </c>
      <c r="AC59" s="41" t="s">
        <v>22</v>
      </c>
      <c r="AD59" s="74"/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>
        <v>0.0</v>
      </c>
      <c r="N60" s="28">
        <f>M60/C17*100000</f>
        <v>0</v>
      </c>
      <c r="O60" s="71">
        <v>8.0</v>
      </c>
      <c r="P60" s="28">
        <f>O60/D17*100000</f>
        <v>27.73155851</v>
      </c>
      <c r="Q60" s="71">
        <v>5.0</v>
      </c>
      <c r="R60" s="28">
        <f>Q60/E17*100000</f>
        <v>16.99408606</v>
      </c>
      <c r="S60" s="61">
        <v>6.0</v>
      </c>
      <c r="T60" s="28">
        <f>S60/F17*100000</f>
        <v>20.03807234</v>
      </c>
      <c r="U60" s="61">
        <v>5.0</v>
      </c>
      <c r="V60" s="28">
        <f>U60/G17*100000</f>
        <v>17.79549418</v>
      </c>
      <c r="W60" s="61">
        <v>6.0</v>
      </c>
      <c r="X60" s="28">
        <f>W60/H17*100000</f>
        <v>21.04155708</v>
      </c>
      <c r="Y60" s="40">
        <f>((M60+O60+Q60+S60)/4)</f>
        <v>4.75</v>
      </c>
      <c r="Z60" s="40">
        <f>((N60+P60+R60+T60)/1)</f>
        <v>64.76371691</v>
      </c>
      <c r="AA60" s="13">
        <f t="shared" si="3"/>
        <v>5.5</v>
      </c>
      <c r="AB60" s="13">
        <f t="shared" si="4"/>
        <v>19.41852563</v>
      </c>
      <c r="AC60" s="37" t="s">
        <v>48</v>
      </c>
      <c r="AD60" s="74"/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>
        <v>782.0</v>
      </c>
      <c r="N61" s="28">
        <f>M61/C15*1000</f>
        <v>110.0943263</v>
      </c>
      <c r="O61" s="71">
        <v>529.0</v>
      </c>
      <c r="P61" s="28">
        <f>O61/D15*1000</f>
        <v>72.27763356</v>
      </c>
      <c r="Q61" s="71">
        <v>1117.0</v>
      </c>
      <c r="R61" s="28">
        <f>Q61/E15*1000</f>
        <v>149.8926463</v>
      </c>
      <c r="S61" s="61">
        <v>695.0</v>
      </c>
      <c r="T61" s="28">
        <f>S61/F15*1000</f>
        <v>102.1908543</v>
      </c>
      <c r="U61" s="61">
        <v>1064.0</v>
      </c>
      <c r="V61" s="28">
        <f>U61/G15*1000</f>
        <v>155.9202814</v>
      </c>
      <c r="W61" s="61">
        <v>554.0</v>
      </c>
      <c r="X61" s="28">
        <f>W61/H23*1000</f>
        <v>66.75503073</v>
      </c>
      <c r="Y61" s="40">
        <f t="shared" ref="Y61:Z61" si="69">((M61+O61+Q61+S61)/1)</f>
        <v>3123</v>
      </c>
      <c r="Z61" s="40">
        <f t="shared" si="69"/>
        <v>434.4554605</v>
      </c>
      <c r="AA61" s="13">
        <f t="shared" si="3"/>
        <v>879.5</v>
      </c>
      <c r="AB61" s="13">
        <f t="shared" si="4"/>
        <v>111.337656</v>
      </c>
      <c r="AC61" s="37" t="s">
        <v>48</v>
      </c>
      <c r="AD61" s="74"/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>
        <v>1139.0</v>
      </c>
      <c r="N62" s="28">
        <f>M62/C15*1000</f>
        <v>160.3547797</v>
      </c>
      <c r="O62" s="71">
        <v>1812.0</v>
      </c>
      <c r="P62" s="28">
        <f>O62/D15*1000</f>
        <v>247.5748053</v>
      </c>
      <c r="Q62" s="71">
        <v>4659.0</v>
      </c>
      <c r="R62" s="28">
        <f>Q62/E15*1000</f>
        <v>625.2012882</v>
      </c>
      <c r="S62" s="61">
        <v>4530.0</v>
      </c>
      <c r="T62" s="28">
        <f>S62/F15*1000</f>
        <v>666.0785179</v>
      </c>
      <c r="U62" s="61">
        <v>4923.0</v>
      </c>
      <c r="V62" s="28">
        <f>U62/G15*1000</f>
        <v>721.4243845</v>
      </c>
      <c r="W62" s="61">
        <v>2175.0</v>
      </c>
      <c r="X62" s="28">
        <f>W62/H15*1000</f>
        <v>318.4014054</v>
      </c>
      <c r="Y62" s="40">
        <f t="shared" ref="Y62:Z62" si="70">((M62+O62+Q62+S62)/1)</f>
        <v>12140</v>
      </c>
      <c r="Z62" s="40">
        <f t="shared" si="70"/>
        <v>1699.209391</v>
      </c>
      <c r="AA62" s="13">
        <f t="shared" si="3"/>
        <v>4726.5</v>
      </c>
      <c r="AB62" s="13">
        <f t="shared" si="4"/>
        <v>519.9128949</v>
      </c>
      <c r="AC62" s="37" t="s">
        <v>48</v>
      </c>
      <c r="AD62" s="74"/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>
        <v>5.0</v>
      </c>
      <c r="N63" s="28">
        <f>M63/C17*100000</f>
        <v>17.8056337</v>
      </c>
      <c r="O63" s="71">
        <v>10.0</v>
      </c>
      <c r="P63" s="28">
        <f>O63/D17*100000</f>
        <v>34.66444814</v>
      </c>
      <c r="Q63" s="71">
        <v>9.0</v>
      </c>
      <c r="R63" s="28">
        <f>Q63/E17*100000</f>
        <v>30.5893549</v>
      </c>
      <c r="S63" s="61">
        <v>15.0</v>
      </c>
      <c r="T63" s="28">
        <f>S63/F17*100000</f>
        <v>50.09518084</v>
      </c>
      <c r="U63" s="61">
        <v>34.0</v>
      </c>
      <c r="V63" s="28">
        <f>U63/G17*100000</f>
        <v>121.0093604</v>
      </c>
      <c r="W63" s="61">
        <v>17.0</v>
      </c>
      <c r="X63" s="28">
        <f>W63/H17*100000</f>
        <v>59.61774505</v>
      </c>
      <c r="Y63" s="40">
        <f t="shared" ref="Y63:Z63" si="71">((M63+O63+Q63+S63)/1)</f>
        <v>39</v>
      </c>
      <c r="Z63" s="40">
        <f t="shared" si="71"/>
        <v>133.1546176</v>
      </c>
      <c r="AA63" s="13">
        <f t="shared" si="3"/>
        <v>24.5</v>
      </c>
      <c r="AB63" s="13">
        <f t="shared" si="4"/>
        <v>90.31355274</v>
      </c>
      <c r="AC63" s="37" t="s">
        <v>48</v>
      </c>
      <c r="AD63" s="74"/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>
        <v>1.0</v>
      </c>
      <c r="N64" s="28">
        <f>M64/C17*100000</f>
        <v>3.561126741</v>
      </c>
      <c r="O64" s="71">
        <v>1.0</v>
      </c>
      <c r="P64" s="28">
        <f>O64/D17*100000</f>
        <v>3.466444814</v>
      </c>
      <c r="Q64" s="71">
        <v>0.0</v>
      </c>
      <c r="R64" s="28">
        <f>Q64/E17*100000</f>
        <v>0</v>
      </c>
      <c r="S64" s="61">
        <v>2.0</v>
      </c>
      <c r="T64" s="28">
        <f>S64/F17*100000</f>
        <v>6.679357446</v>
      </c>
      <c r="U64" s="28">
        <v>0.0</v>
      </c>
      <c r="V64" s="28">
        <f>U64/G17*100000</f>
        <v>0</v>
      </c>
      <c r="W64" s="61">
        <v>1.0</v>
      </c>
      <c r="X64" s="28">
        <f>W64/H17*100000</f>
        <v>3.506926179</v>
      </c>
      <c r="Y64" s="40">
        <f t="shared" ref="Y64:Z64" si="72">((M64+O64+Q64+S64)/1)</f>
        <v>4</v>
      </c>
      <c r="Z64" s="40">
        <f t="shared" si="72"/>
        <v>13.706929</v>
      </c>
      <c r="AA64" s="13">
        <f t="shared" si="3"/>
        <v>1</v>
      </c>
      <c r="AB64" s="13">
        <f t="shared" si="4"/>
        <v>1.75346309</v>
      </c>
      <c r="AC64" s="37" t="s">
        <v>125</v>
      </c>
      <c r="AD64" s="74"/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>
        <v>8.0</v>
      </c>
      <c r="N65" s="28">
        <f>M65/C17*100000</f>
        <v>28.48901392</v>
      </c>
      <c r="O65" s="71">
        <v>6.0</v>
      </c>
      <c r="P65" s="28">
        <f>O65/D17*100000</f>
        <v>20.79866889</v>
      </c>
      <c r="Q65" s="71">
        <v>20.0</v>
      </c>
      <c r="R65" s="28">
        <f>Q65/E17*100000</f>
        <v>67.97634423</v>
      </c>
      <c r="S65" s="71">
        <v>37.0</v>
      </c>
      <c r="T65" s="28">
        <f>S65/F17*100000</f>
        <v>123.5681127</v>
      </c>
      <c r="U65" s="71">
        <v>50.0</v>
      </c>
      <c r="V65" s="28">
        <f>U65/G17*100000</f>
        <v>177.9549418</v>
      </c>
      <c r="W65" s="61">
        <v>27.0</v>
      </c>
      <c r="X65" s="28">
        <f>W65/H17*100000</f>
        <v>94.68700684</v>
      </c>
      <c r="Y65" s="40">
        <f t="shared" ref="Y65:Z65" si="73">((M65+O65+Q65+S65)/1)</f>
        <v>71</v>
      </c>
      <c r="Z65" s="40">
        <f t="shared" si="73"/>
        <v>240.8321398</v>
      </c>
      <c r="AA65" s="13">
        <f t="shared" si="3"/>
        <v>43.5</v>
      </c>
      <c r="AB65" s="13">
        <f t="shared" si="4"/>
        <v>136.3209743</v>
      </c>
      <c r="AC65" s="37" t="s">
        <v>48</v>
      </c>
      <c r="AD65" s="74"/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>
        <v>11.0</v>
      </c>
      <c r="N66" s="28">
        <f>M66/C17*100000</f>
        <v>39.17239415</v>
      </c>
      <c r="O66" s="71">
        <v>9.0</v>
      </c>
      <c r="P66" s="28">
        <f>O66/D17*100000</f>
        <v>31.19800333</v>
      </c>
      <c r="Q66" s="71">
        <v>18.0</v>
      </c>
      <c r="R66" s="28">
        <f>Q66/E17*100000</f>
        <v>61.17870981</v>
      </c>
      <c r="S66" s="71">
        <v>68.0</v>
      </c>
      <c r="T66" s="28">
        <f>S66/F17*100000</f>
        <v>227.0981532</v>
      </c>
      <c r="U66" s="71">
        <v>98.0</v>
      </c>
      <c r="V66" s="28">
        <f>U66/G17*100000</f>
        <v>348.7916859</v>
      </c>
      <c r="W66" s="61">
        <v>53.0</v>
      </c>
      <c r="X66" s="28">
        <f>W66/H17*100000</f>
        <v>185.8670875</v>
      </c>
      <c r="Y66" s="40">
        <f t="shared" ref="Y66:Z66" si="74">((M66+O66+Q66+S66)/1)</f>
        <v>106</v>
      </c>
      <c r="Z66" s="40">
        <f t="shared" si="74"/>
        <v>358.6472604</v>
      </c>
      <c r="AA66" s="13">
        <f t="shared" si="3"/>
        <v>83</v>
      </c>
      <c r="AB66" s="13">
        <f t="shared" si="4"/>
        <v>267.3293867</v>
      </c>
      <c r="AC66" s="37" t="s">
        <v>48</v>
      </c>
      <c r="AD66" s="74"/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>
        <v>11.0</v>
      </c>
      <c r="N67" s="28">
        <f>M67/C17*100000</f>
        <v>39.17239415</v>
      </c>
      <c r="O67" s="71">
        <v>10.0</v>
      </c>
      <c r="P67" s="28">
        <f>O67/D17*100000</f>
        <v>34.66444814</v>
      </c>
      <c r="Q67" s="71">
        <v>13.0</v>
      </c>
      <c r="R67" s="28">
        <f>Q67/E17*100000</f>
        <v>44.18462375</v>
      </c>
      <c r="S67" s="71">
        <v>10.0</v>
      </c>
      <c r="T67" s="28">
        <f>S67/F17*100000</f>
        <v>33.39678723</v>
      </c>
      <c r="U67" s="71">
        <v>12.0</v>
      </c>
      <c r="V67" s="28">
        <f>U67/G17*100000</f>
        <v>42.70918603</v>
      </c>
      <c r="W67" s="61">
        <v>5.0</v>
      </c>
      <c r="X67" s="28">
        <f>W67/H17*100000</f>
        <v>17.5346309</v>
      </c>
      <c r="Y67" s="40">
        <f t="shared" ref="Y67:Z67" si="75">((M67+O67+Q67+S67)/1)</f>
        <v>44</v>
      </c>
      <c r="Z67" s="40">
        <f t="shared" si="75"/>
        <v>151.4182533</v>
      </c>
      <c r="AA67" s="13">
        <f t="shared" si="3"/>
        <v>11</v>
      </c>
      <c r="AB67" s="13">
        <f t="shared" si="4"/>
        <v>30.12190847</v>
      </c>
      <c r="AC67" s="37" t="s">
        <v>48</v>
      </c>
      <c r="AD67" s="74"/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>
        <v>0.0</v>
      </c>
      <c r="N68" s="28">
        <f>M68/C11*100000</f>
        <v>0</v>
      </c>
      <c r="O68" s="71">
        <v>19.0</v>
      </c>
      <c r="P68" s="28">
        <f>O68/D11*100000</f>
        <v>37.7673531</v>
      </c>
      <c r="Q68" s="71">
        <v>31.0</v>
      </c>
      <c r="R68" s="28">
        <f>Q68/E11*100000</f>
        <v>59.72104493</v>
      </c>
      <c r="S68" s="71">
        <v>18.0</v>
      </c>
      <c r="T68" s="28">
        <f>S68/F11*100000</f>
        <v>33.71165299</v>
      </c>
      <c r="U68" s="71">
        <v>19.0</v>
      </c>
      <c r="V68" s="28">
        <f>U68/G11*100000</f>
        <v>35.86529749</v>
      </c>
      <c r="W68" s="61">
        <v>19.0</v>
      </c>
      <c r="X68" s="28">
        <f>W68/H11*100000</f>
        <v>34.82851539</v>
      </c>
      <c r="Y68" s="40">
        <f t="shared" ref="Y68:Z68" si="76">((M68+O68+Q68+S68)/2)</f>
        <v>34</v>
      </c>
      <c r="Z68" s="40">
        <f t="shared" si="76"/>
        <v>65.60002551</v>
      </c>
      <c r="AA68" s="13">
        <f t="shared" si="3"/>
        <v>18.5</v>
      </c>
      <c r="AB68" s="13">
        <f t="shared" si="4"/>
        <v>35.34690644</v>
      </c>
      <c r="AC68" s="37" t="s">
        <v>48</v>
      </c>
      <c r="AD68" s="74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>
        <v>0.0</v>
      </c>
      <c r="N69" s="28">
        <f>M69/C11*100000</f>
        <v>0</v>
      </c>
      <c r="O69" s="71">
        <v>20.0</v>
      </c>
      <c r="P69" s="28">
        <f>O69/D11*100000</f>
        <v>39.75510853</v>
      </c>
      <c r="Q69" s="71">
        <v>35.0</v>
      </c>
      <c r="R69" s="28">
        <f>Q69/E11*100000</f>
        <v>67.42698621</v>
      </c>
      <c r="S69" s="71">
        <v>37.0</v>
      </c>
      <c r="T69" s="28">
        <f>S69/F11*100000</f>
        <v>69.2961756</v>
      </c>
      <c r="U69" s="71">
        <v>19.0</v>
      </c>
      <c r="V69" s="28">
        <f>U69/G11*100000</f>
        <v>35.86529749</v>
      </c>
      <c r="W69" s="61">
        <v>10.0</v>
      </c>
      <c r="X69" s="28">
        <f>W69/H11*100000</f>
        <v>18.33079757</v>
      </c>
      <c r="Y69" s="13">
        <f t="shared" ref="Y69:Z69" si="77">((M69+O69+Q69+S69)/2)</f>
        <v>46</v>
      </c>
      <c r="Z69" s="13">
        <f t="shared" si="77"/>
        <v>88.23913517</v>
      </c>
      <c r="AA69" s="13">
        <f t="shared" si="3"/>
        <v>28</v>
      </c>
      <c r="AB69" s="13">
        <f t="shared" si="4"/>
        <v>27.09804753</v>
      </c>
      <c r="AC69" s="37" t="s">
        <v>48</v>
      </c>
      <c r="AD69" s="74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>
        <v>9.0</v>
      </c>
      <c r="N70" s="39">
        <f>M70/C7*100000</f>
        <v>10.05665248</v>
      </c>
      <c r="O70" s="77">
        <v>13.0</v>
      </c>
      <c r="P70" s="39">
        <f>O70/D7*100000</f>
        <v>14.0806932</v>
      </c>
      <c r="Q70" s="77">
        <v>17.0</v>
      </c>
      <c r="R70" s="39">
        <f>Q70/E7*100000</f>
        <v>17.84645748</v>
      </c>
      <c r="S70" s="77">
        <v>12.0</v>
      </c>
      <c r="T70" s="39">
        <f>S70/F7*100000</f>
        <v>12.19004277</v>
      </c>
      <c r="U70" s="77">
        <v>10.0</v>
      </c>
      <c r="V70" s="39">
        <f>U70/G7*100000</f>
        <v>9.844263748</v>
      </c>
      <c r="W70" s="76">
        <v>4.0</v>
      </c>
      <c r="X70" s="39">
        <f>W70/H7*100000</f>
        <v>3.824164898</v>
      </c>
      <c r="Y70" s="40">
        <f t="shared" ref="Y70:Z70" si="78">((M70+O70+Q70+S70)/1)</f>
        <v>51</v>
      </c>
      <c r="Z70" s="40">
        <f t="shared" si="78"/>
        <v>54.17384592</v>
      </c>
      <c r="AA70" s="40">
        <f t="shared" si="3"/>
        <v>11</v>
      </c>
      <c r="AB70" s="40">
        <f t="shared" si="4"/>
        <v>6.834214323</v>
      </c>
      <c r="AC70" s="43" t="s">
        <v>22</v>
      </c>
      <c r="AD70" s="48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  <c r="AD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  <c r="AD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  <c r="AD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  <c r="AD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  <c r="AD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  <c r="AD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  <c r="AD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  <c r="AD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  <c r="AD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  <c r="AD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  <c r="AD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  <c r="AD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  <c r="AD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  <c r="AD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  <c r="AD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  <c r="AD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  <c r="AD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  <c r="AD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  <c r="AD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  <c r="AD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  <c r="AD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  <c r="AD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  <c r="AD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  <c r="AD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  <c r="AD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  <c r="AD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  <c r="AD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  <c r="AD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  <c r="AD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  <c r="AD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  <c r="AD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  <c r="AD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  <c r="AD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  <c r="AD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  <c r="AD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  <c r="AD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  <c r="AD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  <c r="AD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  <c r="AD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  <c r="AD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  <c r="AD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  <c r="AD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  <c r="AD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  <c r="AD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  <c r="AD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  <c r="AD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  <c r="AD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  <c r="AD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  <c r="AD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  <c r="AD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  <c r="AD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  <c r="AD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  <c r="AD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  <c r="AD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  <c r="AD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  <c r="AD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  <c r="AD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  <c r="AD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  <c r="AD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  <c r="AD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  <c r="AD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  <c r="AD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  <c r="AD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  <c r="AD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  <c r="AD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  <c r="AD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  <c r="AD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  <c r="AD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  <c r="AD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  <c r="AD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  <c r="AD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  <c r="AD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  <c r="AD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  <c r="AD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  <c r="AD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  <c r="AD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  <c r="AD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  <c r="AD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  <c r="AD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  <c r="AD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  <c r="AD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  <c r="AD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  <c r="AD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  <c r="AD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  <c r="AD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  <c r="AD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  <c r="AD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  <c r="AD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  <c r="AD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  <c r="AD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  <c r="AD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  <c r="AD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  <c r="AD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  <c r="AD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  <c r="AD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  <c r="AD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  <c r="AD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  <c r="AD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  <c r="AD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  <c r="AD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  <c r="AD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  <c r="AD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  <c r="AD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  <c r="AD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  <c r="AD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  <c r="AD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  <c r="AD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  <c r="AD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  <c r="AD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  <c r="AD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  <c r="AD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  <c r="AD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  <c r="AD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  <c r="AD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  <c r="AD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  <c r="AD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  <c r="AD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  <c r="AD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  <c r="AD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  <c r="AD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  <c r="AD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  <c r="AD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  <c r="AD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  <c r="AD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  <c r="AD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  <c r="AD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  <c r="AD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  <c r="AD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  <c r="AD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  <c r="AD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  <c r="AD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  <c r="AD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  <c r="AD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  <c r="AD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  <c r="AD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  <c r="AD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  <c r="AD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  <c r="AD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  <c r="AD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  <c r="AD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  <c r="AD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  <c r="AD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  <c r="AD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  <c r="AD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  <c r="AD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  <c r="AD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  <c r="AD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  <c r="AD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  <c r="AD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  <c r="AD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  <c r="AD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  <c r="AD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  <c r="AD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  <c r="AD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  <c r="AD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  <c r="AD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  <c r="AD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  <c r="AD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  <c r="AD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  <c r="AD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  <c r="AD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  <c r="AD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  <c r="AD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  <c r="AD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  <c r="AD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  <c r="AD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  <c r="AD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  <c r="AD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  <c r="AD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  <c r="AD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  <c r="AD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  <c r="AD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  <c r="AD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  <c r="AD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  <c r="AD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  <c r="AD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  <c r="AD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  <c r="AD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  <c r="AD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  <c r="AD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  <c r="AD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  <c r="AD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  <c r="AD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  <c r="AD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  <c r="AD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  <c r="AD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  <c r="AD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  <c r="AD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  <c r="AD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  <c r="AD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  <c r="AD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  <c r="AD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  <c r="AD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  <c r="AD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  <c r="AD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  <c r="AD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  <c r="AD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  <c r="AD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  <c r="AD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  <c r="AD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D1:I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5.0" topLeftCell="J6" activePane="bottomRight" state="frozen"/>
      <selection activeCell="J1" sqref="J1" pane="topRight"/>
      <selection activeCell="A6" sqref="A6" pane="bottomLeft"/>
      <selection activeCell="J6" sqref="J6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77.25" customHeight="1">
      <c r="B1" s="1"/>
      <c r="C1" s="2" t="s">
        <v>132</v>
      </c>
      <c r="D1" s="3"/>
      <c r="E1" s="3"/>
      <c r="F1" s="3"/>
      <c r="G1" s="3"/>
      <c r="H1" s="4"/>
      <c r="I1" s="5"/>
      <c r="J1" s="5"/>
      <c r="K1" s="5"/>
      <c r="L1" s="78" t="s">
        <v>1</v>
      </c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</row>
    <row r="2" ht="73.5" customHeight="1">
      <c r="A2" s="5"/>
      <c r="B2" s="45" t="s">
        <v>136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45"/>
      <c r="I3" s="5"/>
      <c r="J3" s="5"/>
      <c r="K3" s="5"/>
      <c r="L3" s="11" t="s">
        <v>21</v>
      </c>
      <c r="M3" s="12"/>
      <c r="N3" s="13" t="str">
        <f>M3/C7*1000</f>
        <v>#DIV/0!</v>
      </c>
      <c r="O3" s="12"/>
      <c r="P3" s="13" t="str">
        <f>O3/D7*1000</f>
        <v>#DIV/0!</v>
      </c>
      <c r="Q3" s="47"/>
      <c r="R3" s="13" t="str">
        <f>Q3/E7*1000</f>
        <v>#DIV/0!</v>
      </c>
      <c r="S3" s="12"/>
      <c r="T3" s="13" t="str">
        <f>S3/F7*1000</f>
        <v>#DIV/0!</v>
      </c>
      <c r="U3" s="12"/>
      <c r="V3" s="13" t="str">
        <f>U3/G7*1000</f>
        <v>#DIV/0!</v>
      </c>
      <c r="W3" s="12"/>
      <c r="X3" s="13" t="str">
        <f>W3/H7*1000</f>
        <v>#DIV/0!</v>
      </c>
      <c r="Y3" s="13">
        <f t="shared" ref="Y3:Z3" si="1">((M3+O3+Q3+S3)/4)</f>
        <v>0</v>
      </c>
      <c r="Z3" s="13" t="str">
        <f t="shared" si="1"/>
        <v>#DIV/0!</v>
      </c>
      <c r="AA3" s="13">
        <f t="shared" ref="AA3:AA70" si="3">((S3+U3)/2)</f>
        <v>0</v>
      </c>
      <c r="AB3" s="13" t="str">
        <f t="shared" ref="AB3:AB70" si="4">(V3+X3)/2</f>
        <v>#DIV/0!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/>
      <c r="N4" s="13" t="str">
        <f>M4/C7*1000</f>
        <v>#DIV/0!</v>
      </c>
      <c r="O4" s="12"/>
      <c r="P4" s="13" t="str">
        <f>O4/D7*1000</f>
        <v>#DIV/0!</v>
      </c>
      <c r="Q4" s="47"/>
      <c r="R4" s="13" t="str">
        <f>Q4/E7*1000</f>
        <v>#DIV/0!</v>
      </c>
      <c r="S4" s="12"/>
      <c r="T4" s="13" t="str">
        <f>S4/F7*1000</f>
        <v>#DIV/0!</v>
      </c>
      <c r="U4" s="12"/>
      <c r="V4" s="13" t="str">
        <f>U4/G7*1000</f>
        <v>#DIV/0!</v>
      </c>
      <c r="W4" s="12"/>
      <c r="X4" s="13" t="str">
        <f>W4/H7*1000</f>
        <v>#DIV/0!</v>
      </c>
      <c r="Y4" s="13">
        <f t="shared" ref="Y4:Z4" si="2">((M4+O4+Q4+S4)/4)</f>
        <v>0</v>
      </c>
      <c r="Z4" s="13" t="str">
        <f t="shared" si="2"/>
        <v>#DIV/0!</v>
      </c>
      <c r="AA4" s="13">
        <f t="shared" si="3"/>
        <v>0</v>
      </c>
      <c r="AB4" s="13" t="str">
        <f t="shared" si="4"/>
        <v>#DIV/0!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/>
      <c r="N5" s="13" t="str">
        <f>M5/C12*100000</f>
        <v>#DIV/0!</v>
      </c>
      <c r="O5" s="12"/>
      <c r="P5" s="13" t="str">
        <f>O5/D12*100000</f>
        <v>#DIV/0!</v>
      </c>
      <c r="Q5" s="47"/>
      <c r="R5" s="13" t="str">
        <f>Q5/E12*100000</f>
        <v>#DIV/0!</v>
      </c>
      <c r="S5" s="12"/>
      <c r="T5" s="13" t="str">
        <f>S5/F12*100000</f>
        <v>#DIV/0!</v>
      </c>
      <c r="U5" s="12"/>
      <c r="V5" s="13" t="str">
        <f>U5/G12*100000</f>
        <v>#DIV/0!</v>
      </c>
      <c r="W5" s="12"/>
      <c r="X5" s="13" t="str">
        <f>W5/H12*100000</f>
        <v>#DIV/0!</v>
      </c>
      <c r="Y5" s="13">
        <f t="shared" ref="Y5:Z5" si="5">((M5+O5+Q5+S5)/4)</f>
        <v>0</v>
      </c>
      <c r="Z5" s="13" t="str">
        <f t="shared" si="5"/>
        <v>#DIV/0!</v>
      </c>
      <c r="AA5" s="13">
        <f t="shared" si="3"/>
        <v>0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 t="str">
        <f>M6/M4*1000</f>
        <v>#DIV/0!</v>
      </c>
      <c r="O6" s="12"/>
      <c r="P6" s="13" t="str">
        <f>O6/O4*1000</f>
        <v>#DIV/0!</v>
      </c>
      <c r="Q6" s="47"/>
      <c r="R6" s="13" t="str">
        <f>Q6/Q4*1000</f>
        <v>#DIV/0!</v>
      </c>
      <c r="S6" s="12"/>
      <c r="T6" s="13" t="str">
        <f>S6/S4*1000</f>
        <v>#DIV/0!</v>
      </c>
      <c r="U6" s="12"/>
      <c r="V6" s="13" t="str">
        <f>U6/U4*1000</f>
        <v>#DIV/0!</v>
      </c>
      <c r="W6" s="12"/>
      <c r="X6" s="13" t="str">
        <f>W6/W4*1000</f>
        <v>#DIV/0!</v>
      </c>
      <c r="Y6" s="13">
        <f t="shared" ref="Y6:Z6" si="6">((M6+O6+Q6+S6)/4)</f>
        <v>0</v>
      </c>
      <c r="Z6" s="13" t="str">
        <f t="shared" si="6"/>
        <v>#DIV/0!</v>
      </c>
      <c r="AA6" s="13">
        <f t="shared" si="3"/>
        <v>0</v>
      </c>
      <c r="AB6" s="13" t="str">
        <f t="shared" si="4"/>
        <v>#DIV/0!</v>
      </c>
      <c r="AC6" s="14" t="s">
        <v>22</v>
      </c>
    </row>
    <row r="7" ht="14.25" customHeight="1">
      <c r="A7" s="5"/>
      <c r="B7" s="55" t="s">
        <v>35</v>
      </c>
      <c r="C7" s="56"/>
      <c r="D7" s="56"/>
      <c r="E7" s="56"/>
      <c r="F7" s="57"/>
      <c r="G7" s="57"/>
      <c r="H7" s="58"/>
      <c r="I7" s="5"/>
      <c r="J7" s="5"/>
      <c r="K7" s="5"/>
      <c r="L7" s="11" t="s">
        <v>36</v>
      </c>
      <c r="M7" s="12"/>
      <c r="N7" s="80"/>
      <c r="O7" s="12"/>
      <c r="P7" s="59"/>
      <c r="Q7" s="47"/>
      <c r="R7" s="59"/>
      <c r="S7" s="12"/>
      <c r="T7" s="59"/>
      <c r="U7" s="12"/>
      <c r="V7" s="59"/>
      <c r="W7" s="12"/>
      <c r="X7" s="59"/>
      <c r="Y7" s="13">
        <f t="shared" ref="Y7:Z7" si="7">((M7+O7+Q7+S7)/4)</f>
        <v>0</v>
      </c>
      <c r="Z7" s="13">
        <f t="shared" si="7"/>
        <v>0</v>
      </c>
      <c r="AA7" s="13">
        <f t="shared" si="3"/>
        <v>0</v>
      </c>
      <c r="AB7" s="13">
        <f t="shared" si="4"/>
        <v>0</v>
      </c>
      <c r="AC7" s="14" t="s">
        <v>37</v>
      </c>
    </row>
    <row r="8" ht="14.25" customHeight="1">
      <c r="A8" s="5"/>
      <c r="B8" s="55" t="s">
        <v>38</v>
      </c>
      <c r="C8" s="57"/>
      <c r="D8" s="53"/>
      <c r="E8" s="57"/>
      <c r="F8" s="57"/>
      <c r="G8" s="57"/>
      <c r="H8" s="58"/>
      <c r="I8" s="5"/>
      <c r="J8" s="5"/>
      <c r="K8" s="5"/>
      <c r="L8" s="11" t="s">
        <v>39</v>
      </c>
      <c r="M8" s="12"/>
      <c r="N8" s="13" t="str">
        <f>M8/C15*1000</f>
        <v>#DIV/0!</v>
      </c>
      <c r="O8" s="12"/>
      <c r="P8" s="13" t="str">
        <f>O8/D15*1000</f>
        <v>#DIV/0!</v>
      </c>
      <c r="Q8" s="47"/>
      <c r="R8" s="13" t="str">
        <f>Q8/E15*1000</f>
        <v>#DIV/0!</v>
      </c>
      <c r="S8" s="12"/>
      <c r="T8" s="13" t="str">
        <f>S8/F15*1000</f>
        <v>#DIV/0!</v>
      </c>
      <c r="U8" s="12"/>
      <c r="V8" s="13" t="str">
        <f>U8/G15*1000</f>
        <v>#DIV/0!</v>
      </c>
      <c r="W8" s="12"/>
      <c r="X8" s="13" t="str">
        <f>W8/H15*1000</f>
        <v>#DIV/0!</v>
      </c>
      <c r="Y8" s="13">
        <f t="shared" ref="Y8:Z8" si="8">((M8+O8+Q8+S8)/4)</f>
        <v>0</v>
      </c>
      <c r="Z8" s="13" t="str">
        <f t="shared" si="8"/>
        <v>#DIV/0!</v>
      </c>
      <c r="AA8" s="13">
        <f t="shared" si="3"/>
        <v>0</v>
      </c>
      <c r="AB8" s="13" t="str">
        <f t="shared" si="4"/>
        <v>#DIV/0!</v>
      </c>
      <c r="AC8" s="14" t="s">
        <v>37</v>
      </c>
    </row>
    <row r="9" ht="14.25" customHeight="1">
      <c r="A9" s="5"/>
      <c r="B9" s="55" t="s">
        <v>40</v>
      </c>
      <c r="C9" s="57"/>
      <c r="D9" s="53"/>
      <c r="E9" s="57"/>
      <c r="F9" s="57"/>
      <c r="G9" s="57"/>
      <c r="H9" s="58"/>
      <c r="I9" s="5"/>
      <c r="J9" s="5"/>
      <c r="K9" s="5"/>
      <c r="L9" s="11" t="s">
        <v>41</v>
      </c>
      <c r="M9" s="12"/>
      <c r="N9" s="13" t="str">
        <f>M9/C7*100000</f>
        <v>#DIV/0!</v>
      </c>
      <c r="O9" s="12"/>
      <c r="P9" s="13" t="str">
        <f>O9/D7*100000</f>
        <v>#DIV/0!</v>
      </c>
      <c r="Q9" s="47"/>
      <c r="R9" s="13" t="str">
        <f>Q9/E7*100000</f>
        <v>#DIV/0!</v>
      </c>
      <c r="S9" s="12"/>
      <c r="T9" s="13" t="str">
        <f>S9/F7*100000</f>
        <v>#DIV/0!</v>
      </c>
      <c r="U9" s="12"/>
      <c r="V9" s="13" t="str">
        <f>U9/G7*100000</f>
        <v>#DIV/0!</v>
      </c>
      <c r="W9" s="12"/>
      <c r="X9" s="13" t="str">
        <f>W9/H7*100000</f>
        <v>#DIV/0!</v>
      </c>
      <c r="Y9" s="13">
        <f t="shared" ref="Y9:Z9" si="9">((M9+O9+Q9+S9)/4)</f>
        <v>0</v>
      </c>
      <c r="Z9" s="13" t="str">
        <f t="shared" si="9"/>
        <v>#DIV/0!</v>
      </c>
      <c r="AA9" s="13">
        <f t="shared" si="3"/>
        <v>0</v>
      </c>
      <c r="AB9" s="13" t="str">
        <f t="shared" si="4"/>
        <v>#DIV/0!</v>
      </c>
      <c r="AC9" s="14" t="s">
        <v>22</v>
      </c>
    </row>
    <row r="10" ht="14.25" customHeight="1">
      <c r="A10" s="5"/>
      <c r="B10" s="55" t="s">
        <v>42</v>
      </c>
      <c r="C10" s="57"/>
      <c r="D10" s="57"/>
      <c r="E10" s="57"/>
      <c r="F10" s="60"/>
      <c r="G10" s="53"/>
      <c r="H10" s="58"/>
      <c r="I10" s="5"/>
      <c r="J10" s="5"/>
      <c r="K10" s="5"/>
      <c r="L10" s="11" t="s">
        <v>43</v>
      </c>
      <c r="M10" s="12"/>
      <c r="N10" s="13" t="str">
        <f>M10/C15*100000</f>
        <v>#DIV/0!</v>
      </c>
      <c r="O10" s="12"/>
      <c r="P10" s="13" t="str">
        <f t="shared" ref="P10:P11" si="11">O10/D15*100000</f>
        <v>#DIV/0!</v>
      </c>
      <c r="Q10" s="47"/>
      <c r="R10" s="13" t="str">
        <f>Q10/E15*100000</f>
        <v>#DIV/0!</v>
      </c>
      <c r="S10" s="12"/>
      <c r="T10" s="13" t="str">
        <f>S10/F15*100000</f>
        <v>#DIV/0!</v>
      </c>
      <c r="U10" s="12"/>
      <c r="V10" s="13" t="str">
        <f>U10/G15*100000</f>
        <v>#DIV/0!</v>
      </c>
      <c r="W10" s="12"/>
      <c r="X10" s="13" t="str">
        <f>W10/H15*100000</f>
        <v>#DIV/0!</v>
      </c>
      <c r="Y10" s="13">
        <f t="shared" ref="Y10:Z10" si="10">((M10+O10+Q10+S10)/4)</f>
        <v>0</v>
      </c>
      <c r="Z10" s="13" t="str">
        <f t="shared" si="10"/>
        <v>#DIV/0!</v>
      </c>
      <c r="AA10" s="13">
        <f t="shared" si="3"/>
        <v>0</v>
      </c>
      <c r="AB10" s="13" t="str">
        <f t="shared" si="4"/>
        <v>#DIV/0!</v>
      </c>
      <c r="AC10" s="14" t="s">
        <v>22</v>
      </c>
    </row>
    <row r="11" ht="14.25" customHeight="1">
      <c r="A11" s="5"/>
      <c r="B11" s="55" t="s">
        <v>44</v>
      </c>
      <c r="C11" s="57"/>
      <c r="D11" s="57"/>
      <c r="E11" s="57"/>
      <c r="F11" s="60"/>
      <c r="G11" s="53"/>
      <c r="H11" s="58"/>
      <c r="I11" s="5"/>
      <c r="J11" s="5"/>
      <c r="K11" s="5"/>
      <c r="L11" s="11" t="s">
        <v>45</v>
      </c>
      <c r="M11" s="12"/>
      <c r="N11" s="13" t="str">
        <f>M11/C15*100000</f>
        <v>#DIV/0!</v>
      </c>
      <c r="O11" s="12"/>
      <c r="P11" s="13" t="str">
        <f t="shared" si="11"/>
        <v>#DIV/0!</v>
      </c>
      <c r="Q11" s="47"/>
      <c r="R11" s="13" t="str">
        <f>Q11/F16*100000</f>
        <v>#DIV/0!</v>
      </c>
      <c r="S11" s="12"/>
      <c r="T11" s="13" t="str">
        <f>S11/F15*100000</f>
        <v>#DIV/0!</v>
      </c>
      <c r="U11" s="12"/>
      <c r="V11" s="13" t="str">
        <f>U11/G15*100000</f>
        <v>#DIV/0!</v>
      </c>
      <c r="W11" s="12"/>
      <c r="X11" s="13" t="str">
        <f>W11/H15*100000</f>
        <v>#DIV/0!</v>
      </c>
      <c r="Y11" s="13">
        <f t="shared" ref="Y11:Z11" si="12">((M11+O11+Q11+S11)/4)</f>
        <v>0</v>
      </c>
      <c r="Z11" s="13" t="str">
        <f t="shared" si="12"/>
        <v>#DIV/0!</v>
      </c>
      <c r="AA11" s="13">
        <f t="shared" si="3"/>
        <v>0</v>
      </c>
      <c r="AB11" s="13" t="str">
        <f t="shared" si="4"/>
        <v>#DIV/0!</v>
      </c>
      <c r="AC11" s="14" t="s">
        <v>22</v>
      </c>
    </row>
    <row r="12" ht="14.25" customHeight="1">
      <c r="A12" s="5"/>
      <c r="B12" s="55" t="s">
        <v>46</v>
      </c>
      <c r="C12" s="53"/>
      <c r="D12" s="57"/>
      <c r="E12" s="53"/>
      <c r="F12" s="53"/>
      <c r="G12" s="57"/>
      <c r="H12" s="58"/>
      <c r="I12" s="5"/>
      <c r="J12" s="5"/>
      <c r="K12" s="5"/>
      <c r="L12" s="11" t="s">
        <v>47</v>
      </c>
      <c r="M12" s="12"/>
      <c r="N12" s="13" t="str">
        <f>M12/C7*100000</f>
        <v>#DIV/0!</v>
      </c>
      <c r="O12" s="12"/>
      <c r="P12" s="13" t="str">
        <f>O12/D7*100000</f>
        <v>#DIV/0!</v>
      </c>
      <c r="Q12" s="47"/>
      <c r="R12" s="13" t="str">
        <f>Q12/E7*100000</f>
        <v>#DIV/0!</v>
      </c>
      <c r="S12" s="12"/>
      <c r="T12" s="13" t="str">
        <f>S12/F7*100000</f>
        <v>#DIV/0!</v>
      </c>
      <c r="U12" s="12"/>
      <c r="V12" s="13" t="str">
        <f>U12/G7*100000</f>
        <v>#DIV/0!</v>
      </c>
      <c r="W12" s="12"/>
      <c r="X12" s="13" t="str">
        <f>W12/H7*100000</f>
        <v>#DIV/0!</v>
      </c>
      <c r="Y12" s="13">
        <f t="shared" ref="Y12:Z12" si="13">((M12+O12+Q12+S12)/4)</f>
        <v>0</v>
      </c>
      <c r="Z12" s="13" t="str">
        <f t="shared" si="13"/>
        <v>#DIV/0!</v>
      </c>
      <c r="AA12" s="13">
        <f t="shared" si="3"/>
        <v>0</v>
      </c>
      <c r="AB12" s="13" t="str">
        <f t="shared" si="4"/>
        <v>#DIV/0!</v>
      </c>
      <c r="AC12" s="14" t="s">
        <v>48</v>
      </c>
    </row>
    <row r="13" ht="14.25" customHeight="1">
      <c r="A13" s="5"/>
      <c r="B13" s="55" t="s">
        <v>49</v>
      </c>
      <c r="C13" s="53"/>
      <c r="D13" s="57"/>
      <c r="E13" s="53"/>
      <c r="F13" s="53"/>
      <c r="G13" s="57"/>
      <c r="H13" s="58"/>
      <c r="I13" s="5"/>
      <c r="J13" s="5"/>
      <c r="K13" s="5"/>
      <c r="L13" s="11" t="s">
        <v>50</v>
      </c>
      <c r="M13" s="12"/>
      <c r="N13" s="13" t="str">
        <f>M13/C11*100000</f>
        <v>#DIV/0!</v>
      </c>
      <c r="O13" s="12"/>
      <c r="P13" s="13" t="str">
        <f>O13/D11*100000</f>
        <v>#DIV/0!</v>
      </c>
      <c r="Q13" s="47"/>
      <c r="R13" s="13" t="str">
        <f>Q13/E11*100000</f>
        <v>#DIV/0!</v>
      </c>
      <c r="S13" s="12"/>
      <c r="T13" s="13" t="str">
        <f>S13/F11*100000</f>
        <v>#DIV/0!</v>
      </c>
      <c r="U13" s="12"/>
      <c r="V13" s="13" t="str">
        <f>U13/G11*100000</f>
        <v>#DIV/0!</v>
      </c>
      <c r="W13" s="12"/>
      <c r="X13" s="13" t="str">
        <f>W13/H11*100000</f>
        <v>#DIV/0!</v>
      </c>
      <c r="Y13" s="13">
        <f t="shared" ref="Y13:Z13" si="14">((M13+O13+Q13+S13)/4)</f>
        <v>0</v>
      </c>
      <c r="Z13" s="13" t="str">
        <f t="shared" si="14"/>
        <v>#DIV/0!</v>
      </c>
      <c r="AA13" s="13">
        <f t="shared" si="3"/>
        <v>0</v>
      </c>
      <c r="AB13" s="13" t="str">
        <f t="shared" si="4"/>
        <v>#DIV/0!</v>
      </c>
      <c r="AC13" s="14" t="s">
        <v>48</v>
      </c>
    </row>
    <row r="14" ht="14.25" customHeight="1">
      <c r="A14" s="5"/>
      <c r="B14" s="55" t="s">
        <v>51</v>
      </c>
      <c r="C14" s="53"/>
      <c r="D14" s="53"/>
      <c r="E14" s="53"/>
      <c r="F14" s="53"/>
      <c r="G14" s="53"/>
      <c r="H14" s="58"/>
      <c r="I14" s="5"/>
      <c r="J14" s="5"/>
      <c r="K14" s="5"/>
      <c r="L14" s="11" t="s">
        <v>52</v>
      </c>
      <c r="M14" s="12"/>
      <c r="N14" s="13" t="str">
        <f>M14/M4*1000</f>
        <v>#DIV/0!</v>
      </c>
      <c r="O14" s="12"/>
      <c r="P14" s="13" t="str">
        <f>O14/O4*1000</f>
        <v>#DIV/0!</v>
      </c>
      <c r="Q14" s="47"/>
      <c r="R14" s="13" t="str">
        <f>Q14/Q4*1000</f>
        <v>#DIV/0!</v>
      </c>
      <c r="S14" s="12"/>
      <c r="T14" s="13" t="str">
        <f>S14/S4*1000</f>
        <v>#DIV/0!</v>
      </c>
      <c r="U14" s="12"/>
      <c r="V14" s="13" t="str">
        <f>U14/U4*1000</f>
        <v>#DIV/0!</v>
      </c>
      <c r="W14" s="12"/>
      <c r="X14" s="13" t="str">
        <f>W14/W4*1000</f>
        <v>#DIV/0!</v>
      </c>
      <c r="Y14" s="13">
        <f t="shared" ref="Y14:Z14" si="15">((M14+O14+Q14+S14)/4)</f>
        <v>0</v>
      </c>
      <c r="Z14" s="13" t="str">
        <f t="shared" si="15"/>
        <v>#DIV/0!</v>
      </c>
      <c r="AA14" s="13">
        <f t="shared" si="3"/>
        <v>0</v>
      </c>
      <c r="AB14" s="13" t="str">
        <f t="shared" si="4"/>
        <v>#DIV/0!</v>
      </c>
      <c r="AC14" s="14" t="s">
        <v>22</v>
      </c>
    </row>
    <row r="15" ht="14.25" customHeight="1">
      <c r="A15" s="5"/>
      <c r="B15" s="55" t="s">
        <v>53</v>
      </c>
      <c r="C15" s="53"/>
      <c r="D15" s="53"/>
      <c r="E15" s="53"/>
      <c r="F15" s="53"/>
      <c r="G15" s="53"/>
      <c r="H15" s="58"/>
      <c r="I15" s="5"/>
      <c r="J15" s="5"/>
      <c r="K15" s="5"/>
      <c r="L15" s="11" t="s">
        <v>54</v>
      </c>
      <c r="M15" s="12"/>
      <c r="N15" s="13" t="str">
        <f>M15/C15*100000</f>
        <v>#DIV/0!</v>
      </c>
      <c r="O15" s="12"/>
      <c r="P15" s="13" t="str">
        <f>O15/D15*100000</f>
        <v>#DIV/0!</v>
      </c>
      <c r="Q15" s="47"/>
      <c r="R15" s="13" t="str">
        <f>Q15/E15*100000</f>
        <v>#DIV/0!</v>
      </c>
      <c r="S15" s="12"/>
      <c r="T15" s="13" t="str">
        <f>S15/F15*100000</f>
        <v>#DIV/0!</v>
      </c>
      <c r="U15" s="12"/>
      <c r="V15" s="13" t="str">
        <f>U15/G15*100000</f>
        <v>#DIV/0!</v>
      </c>
      <c r="W15" s="12"/>
      <c r="X15" s="13" t="str">
        <f>W15/H15*100000</f>
        <v>#DIV/0!</v>
      </c>
      <c r="Y15" s="13">
        <f t="shared" ref="Y15:Z15" si="16">((M15+O15+Q15+S15)/4)</f>
        <v>0</v>
      </c>
      <c r="Z15" s="13" t="str">
        <f t="shared" si="16"/>
        <v>#DIV/0!</v>
      </c>
      <c r="AA15" s="13">
        <f t="shared" si="3"/>
        <v>0</v>
      </c>
      <c r="AB15" s="13" t="str">
        <f t="shared" si="4"/>
        <v>#DIV/0!</v>
      </c>
      <c r="AC15" s="14" t="s">
        <v>22</v>
      </c>
    </row>
    <row r="16" ht="14.25" customHeight="1">
      <c r="A16" s="5"/>
      <c r="B16" s="55" t="s">
        <v>55</v>
      </c>
      <c r="C16" s="53"/>
      <c r="D16" s="53"/>
      <c r="E16" s="53"/>
      <c r="F16" s="53"/>
      <c r="G16" s="53"/>
      <c r="H16" s="58"/>
      <c r="I16" s="5"/>
      <c r="J16" s="5"/>
      <c r="K16" s="5"/>
      <c r="L16" s="11" t="s">
        <v>56</v>
      </c>
      <c r="M16" s="12"/>
      <c r="N16" s="13" t="str">
        <f>M16/M4*100</f>
        <v>#DIV/0!</v>
      </c>
      <c r="O16" s="12"/>
      <c r="P16" s="13" t="str">
        <f>O16/O4*100</f>
        <v>#DIV/0!</v>
      </c>
      <c r="Q16" s="47"/>
      <c r="R16" s="13" t="str">
        <f>Q16/Q4*100</f>
        <v>#DIV/0!</v>
      </c>
      <c r="S16" s="12"/>
      <c r="T16" s="13" t="str">
        <f>S16/S4*100</f>
        <v>#DIV/0!</v>
      </c>
      <c r="U16" s="12"/>
      <c r="V16" s="13" t="str">
        <f>U16/U4*100</f>
        <v>#DIV/0!</v>
      </c>
      <c r="W16" s="12"/>
      <c r="X16" s="13" t="str">
        <f>W16/W4*100</f>
        <v>#DIV/0!</v>
      </c>
      <c r="Y16" s="13">
        <f t="shared" ref="Y16:Z16" si="17">((M16+O16+Q16+S16)/4)</f>
        <v>0</v>
      </c>
      <c r="Z16" s="13" t="str">
        <f t="shared" si="17"/>
        <v>#DIV/0!</v>
      </c>
      <c r="AA16" s="13">
        <f t="shared" si="3"/>
        <v>0</v>
      </c>
      <c r="AB16" s="13" t="str">
        <f t="shared" si="4"/>
        <v>#DIV/0!</v>
      </c>
      <c r="AC16" s="14" t="s">
        <v>24</v>
      </c>
    </row>
    <row r="17" ht="14.25" customHeight="1">
      <c r="A17" s="5"/>
      <c r="B17" s="55" t="s">
        <v>57</v>
      </c>
      <c r="C17" s="53"/>
      <c r="D17" s="53"/>
      <c r="E17" s="53"/>
      <c r="F17" s="53"/>
      <c r="G17" s="53"/>
      <c r="H17" s="58"/>
      <c r="I17" s="5"/>
      <c r="J17" s="5"/>
      <c r="K17" s="5"/>
      <c r="L17" s="11" t="s">
        <v>58</v>
      </c>
      <c r="M17" s="12"/>
      <c r="N17" s="13" t="str">
        <f>M17/M4*100</f>
        <v>#DIV/0!</v>
      </c>
      <c r="O17" s="12"/>
      <c r="P17" s="13" t="str">
        <f>O17/O4*100</f>
        <v>#DIV/0!</v>
      </c>
      <c r="Q17" s="47"/>
      <c r="R17" s="13" t="str">
        <f>Q17/Q4*100</f>
        <v>#DIV/0!</v>
      </c>
      <c r="S17" s="12"/>
      <c r="T17" s="13" t="str">
        <f>S17/S4*100</f>
        <v>#DIV/0!</v>
      </c>
      <c r="U17" s="12"/>
      <c r="V17" s="13" t="str">
        <f>U17/U4*100</f>
        <v>#DIV/0!</v>
      </c>
      <c r="W17" s="12"/>
      <c r="X17" s="13" t="str">
        <f>W17/W4*100</f>
        <v>#DIV/0!</v>
      </c>
      <c r="Y17" s="13">
        <f t="shared" ref="Y17:Z17" si="18">((M17+O17+Q17+S17)/4)</f>
        <v>0</v>
      </c>
      <c r="Z17" s="13" t="str">
        <f t="shared" si="18"/>
        <v>#DIV/0!</v>
      </c>
      <c r="AA17" s="13">
        <f t="shared" si="3"/>
        <v>0</v>
      </c>
      <c r="AB17" s="13" t="str">
        <f t="shared" si="4"/>
        <v>#DIV/0!</v>
      </c>
      <c r="AC17" s="14" t="s">
        <v>24</v>
      </c>
    </row>
    <row r="18" ht="14.25" customHeight="1">
      <c r="A18" s="5"/>
      <c r="B18" s="55" t="s">
        <v>59</v>
      </c>
      <c r="C18" s="53"/>
      <c r="D18" s="53"/>
      <c r="E18" s="53"/>
      <c r="F18" s="53"/>
      <c r="G18" s="53"/>
      <c r="H18" s="58"/>
      <c r="I18" s="5"/>
      <c r="J18" s="5"/>
      <c r="K18" s="5"/>
      <c r="L18" s="11" t="s">
        <v>60</v>
      </c>
      <c r="M18" s="61"/>
      <c r="N18" s="28" t="str">
        <f>M18/C15*1000</f>
        <v>#DIV/0!</v>
      </c>
      <c r="O18" s="12"/>
      <c r="P18" s="28" t="str">
        <f>O18/D15*1000</f>
        <v>#DIV/0!</v>
      </c>
      <c r="Q18" s="47"/>
      <c r="R18" s="28" t="str">
        <f>Q18/E15*1000</f>
        <v>#DIV/0!</v>
      </c>
      <c r="S18" s="61"/>
      <c r="T18" s="28" t="str">
        <f>S18/F15*1000</f>
        <v>#DIV/0!</v>
      </c>
      <c r="U18" s="61"/>
      <c r="V18" s="28" t="str">
        <f>U18/G15*1000</f>
        <v>#DIV/0!</v>
      </c>
      <c r="W18" s="61"/>
      <c r="X18" s="28" t="str">
        <f>W18/H15*1000</f>
        <v>#DIV/0!</v>
      </c>
      <c r="Y18" s="13">
        <f t="shared" ref="Y18:Z18" si="19">((M18+O18+Q18+S18)/4)</f>
        <v>0</v>
      </c>
      <c r="Z18" s="13" t="str">
        <f t="shared" si="19"/>
        <v>#DIV/0!</v>
      </c>
      <c r="AA18" s="13">
        <f t="shared" si="3"/>
        <v>0</v>
      </c>
      <c r="AB18" s="13" t="str">
        <f t="shared" si="4"/>
        <v>#DIV/0!</v>
      </c>
      <c r="AC18" s="14" t="s">
        <v>48</v>
      </c>
    </row>
    <row r="19" ht="14.25" customHeight="1">
      <c r="A19" s="5"/>
      <c r="B19" s="55" t="s">
        <v>61</v>
      </c>
      <c r="C19" s="53"/>
      <c r="D19" s="53"/>
      <c r="E19" s="53"/>
      <c r="F19" s="53"/>
      <c r="G19" s="53"/>
      <c r="H19" s="58"/>
      <c r="I19" s="5"/>
      <c r="J19" s="5"/>
      <c r="K19" s="5"/>
      <c r="L19" s="11" t="s">
        <v>62</v>
      </c>
      <c r="M19" s="12"/>
      <c r="N19" s="13" t="str">
        <f>M19/M4*100</f>
        <v>#DIV/0!</v>
      </c>
      <c r="O19" s="12"/>
      <c r="P19" s="13" t="str">
        <f>O19/O4*100</f>
        <v>#DIV/0!</v>
      </c>
      <c r="Q19" s="47"/>
      <c r="R19" s="13" t="str">
        <f>Q19/Q4*100</f>
        <v>#DIV/0!</v>
      </c>
      <c r="S19" s="12"/>
      <c r="T19" s="13" t="str">
        <f>S19/S4*100</f>
        <v>#DIV/0!</v>
      </c>
      <c r="U19" s="12"/>
      <c r="V19" s="13" t="str">
        <f>U19/U4*100</f>
        <v>#DIV/0!</v>
      </c>
      <c r="W19" s="12"/>
      <c r="X19" s="13" t="str">
        <f>W19/W4*100</f>
        <v>#DIV/0!</v>
      </c>
      <c r="Y19" s="13">
        <f t="shared" ref="Y19:Z19" si="20">((M19+O19+Q19+S19)/4)</f>
        <v>0</v>
      </c>
      <c r="Z19" s="13" t="str">
        <f t="shared" si="20"/>
        <v>#DIV/0!</v>
      </c>
      <c r="AA19" s="13">
        <f t="shared" si="3"/>
        <v>0</v>
      </c>
      <c r="AB19" s="13" t="str">
        <f t="shared" si="4"/>
        <v>#DIV/0!</v>
      </c>
      <c r="AC19" s="14" t="s">
        <v>63</v>
      </c>
    </row>
    <row r="20" ht="14.25" customHeight="1">
      <c r="A20" s="5"/>
      <c r="B20" s="55" t="s">
        <v>64</v>
      </c>
      <c r="C20" s="53"/>
      <c r="D20" s="57"/>
      <c r="E20" s="53"/>
      <c r="F20" s="53"/>
      <c r="G20" s="53"/>
      <c r="H20" s="58"/>
      <c r="I20" s="5"/>
      <c r="J20" s="5"/>
      <c r="K20" s="5"/>
      <c r="L20" s="11" t="s">
        <v>65</v>
      </c>
      <c r="M20" s="12"/>
      <c r="N20" s="13" t="str">
        <f t="shared" ref="N20:N21" si="22">M20/C20*1000</f>
        <v>#DIV/0!</v>
      </c>
      <c r="O20" s="12"/>
      <c r="P20" s="13" t="str">
        <f t="shared" ref="P20:P21" si="23">O20/D20*1000</f>
        <v>#DIV/0!</v>
      </c>
      <c r="Q20" s="47"/>
      <c r="R20" s="13" t="str">
        <f t="shared" ref="R20:R21" si="24">Q20/E20*1000</f>
        <v>#DIV/0!</v>
      </c>
      <c r="S20" s="12"/>
      <c r="T20" s="13" t="str">
        <f t="shared" ref="T20:T21" si="25">S20/F20*1000</f>
        <v>#DIV/0!</v>
      </c>
      <c r="U20" s="12"/>
      <c r="V20" s="13" t="str">
        <f t="shared" ref="V20:V21" si="26">U20/G20*1000</f>
        <v>#DIV/0!</v>
      </c>
      <c r="W20" s="12"/>
      <c r="X20" s="13" t="str">
        <f t="shared" ref="X20:X21" si="27">W20/H20*1000</f>
        <v>#DIV/0!</v>
      </c>
      <c r="Y20" s="13">
        <f t="shared" ref="Y20:Z20" si="21">((M20+O20+Q20+S20)/4)</f>
        <v>0</v>
      </c>
      <c r="Z20" s="13" t="str">
        <f t="shared" si="21"/>
        <v>#DIV/0!</v>
      </c>
      <c r="AA20" s="13">
        <f t="shared" si="3"/>
        <v>0</v>
      </c>
      <c r="AB20" s="13" t="str">
        <f t="shared" si="4"/>
        <v>#DIV/0!</v>
      </c>
      <c r="AC20" s="14" t="s">
        <v>63</v>
      </c>
    </row>
    <row r="21" ht="14.25" customHeight="1">
      <c r="A21" s="5"/>
      <c r="B21" s="55" t="s">
        <v>66</v>
      </c>
      <c r="C21" s="53"/>
      <c r="D21" s="57"/>
      <c r="E21" s="53"/>
      <c r="F21" s="53"/>
      <c r="G21" s="53"/>
      <c r="H21" s="58"/>
      <c r="I21" s="5"/>
      <c r="J21" s="5"/>
      <c r="K21" s="5"/>
      <c r="L21" s="11" t="s">
        <v>67</v>
      </c>
      <c r="M21" s="12"/>
      <c r="N21" s="13" t="str">
        <f t="shared" si="22"/>
        <v>#DIV/0!</v>
      </c>
      <c r="O21" s="12"/>
      <c r="P21" s="13" t="str">
        <f t="shared" si="23"/>
        <v>#DIV/0!</v>
      </c>
      <c r="Q21" s="47"/>
      <c r="R21" s="13" t="str">
        <f t="shared" si="24"/>
        <v>#DIV/0!</v>
      </c>
      <c r="S21" s="12"/>
      <c r="T21" s="13" t="str">
        <f t="shared" si="25"/>
        <v>#DIV/0!</v>
      </c>
      <c r="U21" s="12"/>
      <c r="V21" s="13" t="str">
        <f t="shared" si="26"/>
        <v>#DIV/0!</v>
      </c>
      <c r="W21" s="12"/>
      <c r="X21" s="13" t="str">
        <f t="shared" si="27"/>
        <v>#DIV/0!</v>
      </c>
      <c r="Y21" s="13">
        <f t="shared" ref="Y21:Z21" si="28">((M21+O21+Q21+S21)/4)</f>
        <v>0</v>
      </c>
      <c r="Z21" s="13" t="str">
        <f t="shared" si="28"/>
        <v>#DIV/0!</v>
      </c>
      <c r="AA21" s="13">
        <f t="shared" si="3"/>
        <v>0</v>
      </c>
      <c r="AB21" s="13" t="str">
        <f t="shared" si="4"/>
        <v>#DIV/0!</v>
      </c>
      <c r="AC21" s="14" t="s">
        <v>63</v>
      </c>
    </row>
    <row r="22" ht="14.25" customHeight="1">
      <c r="A22" s="5"/>
      <c r="B22" s="55" t="s">
        <v>68</v>
      </c>
      <c r="C22" s="53"/>
      <c r="D22" s="53"/>
      <c r="E22" s="53"/>
      <c r="F22" s="53"/>
      <c r="G22" s="53"/>
      <c r="H22" s="58"/>
      <c r="I22" s="5"/>
      <c r="J22" s="5"/>
      <c r="K22" s="5"/>
      <c r="L22" s="11" t="s">
        <v>69</v>
      </c>
      <c r="M22" s="61"/>
      <c r="N22" s="28" t="str">
        <f>M22/C7*100000</f>
        <v>#DIV/0!</v>
      </c>
      <c r="O22" s="12"/>
      <c r="P22" s="28" t="str">
        <f>O22/D7*100000</f>
        <v>#DIV/0!</v>
      </c>
      <c r="Q22" s="47"/>
      <c r="R22" s="28" t="str">
        <f>Q22/E7*100000</f>
        <v>#DIV/0!</v>
      </c>
      <c r="S22" s="61"/>
      <c r="T22" s="28" t="str">
        <f>S22/F7*100000</f>
        <v>#DIV/0!</v>
      </c>
      <c r="U22" s="61"/>
      <c r="V22" s="28" t="str">
        <f>U22/G7*100000</f>
        <v>#DIV/0!</v>
      </c>
      <c r="W22" s="61"/>
      <c r="X22" s="28" t="str">
        <f>W22/H7*100000</f>
        <v>#DIV/0!</v>
      </c>
      <c r="Y22" s="13">
        <f t="shared" ref="Y22:Z22" si="29">((M22+O22+Q22+S22)/4)</f>
        <v>0</v>
      </c>
      <c r="Z22" s="13" t="str">
        <f t="shared" si="29"/>
        <v>#DIV/0!</v>
      </c>
      <c r="AA22" s="13">
        <f t="shared" si="3"/>
        <v>0</v>
      </c>
      <c r="AB22" s="13" t="str">
        <f t="shared" si="4"/>
        <v>#DIV/0!</v>
      </c>
      <c r="AC22" s="14" t="s">
        <v>22</v>
      </c>
    </row>
    <row r="23" ht="14.25" customHeight="1">
      <c r="A23" s="5"/>
      <c r="B23" s="55" t="s">
        <v>70</v>
      </c>
      <c r="C23" s="53"/>
      <c r="D23" s="53"/>
      <c r="E23" s="53"/>
      <c r="F23" s="53"/>
      <c r="G23" s="53"/>
      <c r="H23" s="58"/>
      <c r="I23" s="5"/>
      <c r="J23" s="5"/>
      <c r="K23" s="5"/>
      <c r="L23" s="11" t="s">
        <v>71</v>
      </c>
      <c r="M23" s="61"/>
      <c r="N23" s="28" t="str">
        <f>M23/C7*100000</f>
        <v>#DIV/0!</v>
      </c>
      <c r="O23" s="12"/>
      <c r="P23" s="28" t="str">
        <f>O23/D7*100000</f>
        <v>#DIV/0!</v>
      </c>
      <c r="Q23" s="47"/>
      <c r="R23" s="28" t="str">
        <f>Q23/E7*100000</f>
        <v>#DIV/0!</v>
      </c>
      <c r="S23" s="61"/>
      <c r="T23" s="28" t="str">
        <f>S23/F7*100000</f>
        <v>#DIV/0!</v>
      </c>
      <c r="U23" s="61"/>
      <c r="V23" s="28" t="str">
        <f>U23/G7*100000</f>
        <v>#DIV/0!</v>
      </c>
      <c r="W23" s="61"/>
      <c r="X23" s="28" t="str">
        <f>W23/H7*100000</f>
        <v>#DIV/0!</v>
      </c>
      <c r="Y23" s="13">
        <f t="shared" ref="Y23:Z23" si="30">((M23+O23+Q23+S23)/4)</f>
        <v>0</v>
      </c>
      <c r="Z23" s="13" t="str">
        <f t="shared" si="30"/>
        <v>#DIV/0!</v>
      </c>
      <c r="AA23" s="13">
        <f t="shared" si="3"/>
        <v>0</v>
      </c>
      <c r="AB23" s="13" t="str">
        <f t="shared" si="4"/>
        <v>#DIV/0!</v>
      </c>
      <c r="AC23" s="14" t="s">
        <v>22</v>
      </c>
    </row>
    <row r="24" ht="14.25" customHeight="1">
      <c r="A24" s="5"/>
      <c r="B24" s="55" t="s">
        <v>72</v>
      </c>
      <c r="C24" s="53"/>
      <c r="D24" s="53"/>
      <c r="E24" s="53"/>
      <c r="F24" s="53"/>
      <c r="G24" s="53"/>
      <c r="H24" s="58"/>
      <c r="I24" s="5"/>
      <c r="J24" s="5"/>
      <c r="K24" s="5"/>
      <c r="L24" s="11" t="s">
        <v>73</v>
      </c>
      <c r="M24" s="61"/>
      <c r="N24" s="28" t="str">
        <f>M24/C7*100000</f>
        <v>#DIV/0!</v>
      </c>
      <c r="O24" s="12"/>
      <c r="P24" s="28" t="str">
        <f>O24/D7*100000</f>
        <v>#DIV/0!</v>
      </c>
      <c r="Q24" s="47"/>
      <c r="R24" s="28" t="str">
        <f>Q24/E7*100000</f>
        <v>#DIV/0!</v>
      </c>
      <c r="S24" s="61"/>
      <c r="T24" s="28" t="str">
        <f>S24/F7*100000</f>
        <v>#DIV/0!</v>
      </c>
      <c r="U24" s="61"/>
      <c r="V24" s="28" t="str">
        <f>U24/G7*100000</f>
        <v>#DIV/0!</v>
      </c>
      <c r="W24" s="61"/>
      <c r="X24" s="28" t="str">
        <f>W24/H7*100000</f>
        <v>#DIV/0!</v>
      </c>
      <c r="Y24" s="13">
        <f t="shared" ref="Y24:Z24" si="31">((M24+O24+Q24+S24)/4)</f>
        <v>0</v>
      </c>
      <c r="Z24" s="13" t="str">
        <f t="shared" si="31"/>
        <v>#DIV/0!</v>
      </c>
      <c r="AA24" s="13">
        <f t="shared" si="3"/>
        <v>0</v>
      </c>
      <c r="AB24" s="13" t="str">
        <f t="shared" si="4"/>
        <v>#DIV/0!</v>
      </c>
      <c r="AC24" s="14" t="s">
        <v>22</v>
      </c>
    </row>
    <row r="25" ht="14.25" customHeight="1">
      <c r="A25" s="5"/>
      <c r="B25" s="55" t="s">
        <v>74</v>
      </c>
      <c r="C25" s="53"/>
      <c r="D25" s="53"/>
      <c r="E25" s="53"/>
      <c r="F25" s="53"/>
      <c r="G25" s="53"/>
      <c r="H25" s="58"/>
      <c r="I25" s="5"/>
      <c r="J25" s="5"/>
      <c r="K25" s="5"/>
      <c r="L25" s="11" t="s">
        <v>75</v>
      </c>
      <c r="M25" s="61"/>
      <c r="N25" s="28" t="str">
        <f>M25/C7*100000</f>
        <v>#DIV/0!</v>
      </c>
      <c r="O25" s="12"/>
      <c r="P25" s="28" t="str">
        <f>O25/D7*100000</f>
        <v>#DIV/0!</v>
      </c>
      <c r="Q25" s="47"/>
      <c r="R25" s="28" t="str">
        <f>Q25/E7*100000</f>
        <v>#DIV/0!</v>
      </c>
      <c r="S25" s="61"/>
      <c r="T25" s="28" t="str">
        <f>S25/F7*100000</f>
        <v>#DIV/0!</v>
      </c>
      <c r="U25" s="61"/>
      <c r="V25" s="28" t="str">
        <f>U25/G7*100000</f>
        <v>#DIV/0!</v>
      </c>
      <c r="W25" s="61"/>
      <c r="X25" s="28" t="str">
        <f>W25/H7*100000</f>
        <v>#DIV/0!</v>
      </c>
      <c r="Y25" s="13">
        <f t="shared" ref="Y25:Z25" si="32">((M25+O25+Q25+S25)/4)</f>
        <v>0</v>
      </c>
      <c r="Z25" s="13" t="str">
        <f t="shared" si="32"/>
        <v>#DIV/0!</v>
      </c>
      <c r="AA25" s="13">
        <f t="shared" si="3"/>
        <v>0</v>
      </c>
      <c r="AB25" s="13" t="str">
        <f t="shared" si="4"/>
        <v>#DIV/0!</v>
      </c>
      <c r="AC25" s="14" t="s">
        <v>48</v>
      </c>
    </row>
    <row r="26" ht="14.25" customHeight="1">
      <c r="A26" s="5"/>
      <c r="B26" s="55" t="s">
        <v>76</v>
      </c>
      <c r="C26" s="62"/>
      <c r="D26" s="62"/>
      <c r="E26" s="62"/>
      <c r="F26" s="62"/>
      <c r="G26" s="62"/>
      <c r="H26" s="58"/>
      <c r="I26" s="5"/>
      <c r="J26" s="5"/>
      <c r="K26" s="5"/>
      <c r="L26" s="11" t="s">
        <v>77</v>
      </c>
      <c r="M26" s="12"/>
      <c r="N26" s="13" t="str">
        <f>M26/C7*100000</f>
        <v>#DIV/0!</v>
      </c>
      <c r="O26" s="12"/>
      <c r="P26" s="13" t="str">
        <f>O26/D7*100000</f>
        <v>#DIV/0!</v>
      </c>
      <c r="Q26" s="47"/>
      <c r="R26" s="13" t="str">
        <f>Q26/E7*100000</f>
        <v>#DIV/0!</v>
      </c>
      <c r="S26" s="12"/>
      <c r="T26" s="13" t="str">
        <f>S26/F7*100000</f>
        <v>#DIV/0!</v>
      </c>
      <c r="U26" s="12"/>
      <c r="V26" s="13" t="str">
        <f>U26/G7*100000</f>
        <v>#DIV/0!</v>
      </c>
      <c r="W26" s="12"/>
      <c r="X26" s="13" t="str">
        <f>W26/H7*100000</f>
        <v>#DIV/0!</v>
      </c>
      <c r="Y26" s="13">
        <f t="shared" ref="Y26:Z26" si="33">((M26+O26+Q26+S26)/4)</f>
        <v>0</v>
      </c>
      <c r="Z26" s="13" t="str">
        <f t="shared" si="33"/>
        <v>#DIV/0!</v>
      </c>
      <c r="AA26" s="13">
        <f t="shared" si="3"/>
        <v>0</v>
      </c>
      <c r="AB26" s="13" t="str">
        <f t="shared" si="4"/>
        <v>#DIV/0!</v>
      </c>
      <c r="AC26" s="14" t="s">
        <v>22</v>
      </c>
    </row>
    <row r="27" ht="14.25" customHeight="1">
      <c r="A27" s="5"/>
      <c r="B27" s="63" t="s">
        <v>78</v>
      </c>
      <c r="C27" s="64"/>
      <c r="D27" s="64"/>
      <c r="E27" s="65"/>
      <c r="F27" s="65"/>
      <c r="G27" s="65"/>
      <c r="H27" s="66"/>
      <c r="I27" s="5"/>
      <c r="J27" s="5"/>
      <c r="K27" s="5"/>
      <c r="L27" s="11" t="s">
        <v>79</v>
      </c>
      <c r="M27" s="12"/>
      <c r="N27" s="13" t="str">
        <f>M27/C11*100000</f>
        <v>#DIV/0!</v>
      </c>
      <c r="O27" s="12"/>
      <c r="P27" s="13" t="str">
        <f>O27/D11*100000</f>
        <v>#DIV/0!</v>
      </c>
      <c r="Q27" s="47"/>
      <c r="R27" s="13" t="str">
        <f>Q27/E11*100000</f>
        <v>#DIV/0!</v>
      </c>
      <c r="S27" s="12"/>
      <c r="T27" s="13" t="str">
        <f>S27/F11*100000</f>
        <v>#DIV/0!</v>
      </c>
      <c r="U27" s="12"/>
      <c r="V27" s="13" t="str">
        <f>U27/G11*100000</f>
        <v>#DIV/0!</v>
      </c>
      <c r="W27" s="12"/>
      <c r="X27" s="13" t="str">
        <f>W27/H11*100000</f>
        <v>#DIV/0!</v>
      </c>
      <c r="Y27" s="13">
        <f t="shared" ref="Y27:Z27" si="34">((M27+O27+Q27+S27)/4)</f>
        <v>0</v>
      </c>
      <c r="Z27" s="13" t="str">
        <f t="shared" si="34"/>
        <v>#DIV/0!</v>
      </c>
      <c r="AA27" s="13">
        <f t="shared" si="3"/>
        <v>0</v>
      </c>
      <c r="AB27" s="13" t="str">
        <f t="shared" si="4"/>
        <v>#DIV/0!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 t="str">
        <f>M28/C11*100000</f>
        <v>#DIV/0!</v>
      </c>
      <c r="O28" s="12"/>
      <c r="P28" s="13" t="str">
        <f>O28/D11*100000</f>
        <v>#DIV/0!</v>
      </c>
      <c r="Q28" s="47"/>
      <c r="R28" s="13" t="str">
        <f>Q28/E11*100000</f>
        <v>#DIV/0!</v>
      </c>
      <c r="S28" s="12"/>
      <c r="T28" s="13" t="str">
        <f>S28/F11*100000</f>
        <v>#DIV/0!</v>
      </c>
      <c r="U28" s="12"/>
      <c r="V28" s="13" t="str">
        <f>U28/G11*100000</f>
        <v>#DIV/0!</v>
      </c>
      <c r="W28" s="12"/>
      <c r="X28" s="13" t="str">
        <f>W28/H11*100000</f>
        <v>#DIV/0!</v>
      </c>
      <c r="Y28" s="13">
        <f t="shared" ref="Y28:Z28" si="35">((M28+O28+Q28+S28)/4)</f>
        <v>0</v>
      </c>
      <c r="Z28" s="13" t="str">
        <f t="shared" si="35"/>
        <v>#DIV/0!</v>
      </c>
      <c r="AA28" s="13">
        <f t="shared" si="3"/>
        <v>0</v>
      </c>
      <c r="AB28" s="13" t="str">
        <f t="shared" si="4"/>
        <v>#DIV/0!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 t="str">
        <f>M29/C10*100000</f>
        <v>#DIV/0!</v>
      </c>
      <c r="O29" s="12"/>
      <c r="P29" s="13" t="str">
        <f>O29/D10*100000</f>
        <v>#DIV/0!</v>
      </c>
      <c r="Q29" s="47"/>
      <c r="R29" s="13" t="str">
        <f>Q29/E10*100000</f>
        <v>#DIV/0!</v>
      </c>
      <c r="S29" s="12"/>
      <c r="T29" s="13" t="str">
        <f>S29/F10*100000</f>
        <v>#DIV/0!</v>
      </c>
      <c r="U29" s="12"/>
      <c r="V29" s="13" t="str">
        <f>U29/G10*100000</f>
        <v>#DIV/0!</v>
      </c>
      <c r="W29" s="12"/>
      <c r="X29" s="13" t="str">
        <f>W29/H10*100000</f>
        <v>#DIV/0!</v>
      </c>
      <c r="Y29" s="13">
        <f t="shared" ref="Y29:Z29" si="36">((M29+O29+Q29+S29)/4)</f>
        <v>0</v>
      </c>
      <c r="Z29" s="13" t="str">
        <f t="shared" si="36"/>
        <v>#DIV/0!</v>
      </c>
      <c r="AA29" s="13">
        <f t="shared" si="3"/>
        <v>0</v>
      </c>
      <c r="AB29" s="13" t="str">
        <f t="shared" si="4"/>
        <v>#DIV/0!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 t="str">
        <f>M30/C7*100000</f>
        <v>#DIV/0!</v>
      </c>
      <c r="O30" s="12"/>
      <c r="P30" s="13" t="str">
        <f>O30/D7*100000</f>
        <v>#DIV/0!</v>
      </c>
      <c r="Q30" s="47"/>
      <c r="R30" s="13" t="str">
        <f>Q30/E7*100000</f>
        <v>#DIV/0!</v>
      </c>
      <c r="S30" s="12"/>
      <c r="T30" s="13" t="str">
        <f>S30/F7*100000</f>
        <v>#DIV/0!</v>
      </c>
      <c r="U30" s="12"/>
      <c r="V30" s="13" t="str">
        <f>U30/G7*100000</f>
        <v>#DIV/0!</v>
      </c>
      <c r="W30" s="12"/>
      <c r="X30" s="13" t="str">
        <f>W30/H7*100000</f>
        <v>#DIV/0!</v>
      </c>
      <c r="Y30" s="13">
        <f t="shared" ref="Y30:Z30" si="37">((M30+O30+Q30+S30)/4)</f>
        <v>0</v>
      </c>
      <c r="Z30" s="13" t="str">
        <f t="shared" si="37"/>
        <v>#DIV/0!</v>
      </c>
      <c r="AA30" s="13">
        <f t="shared" si="3"/>
        <v>0</v>
      </c>
      <c r="AB30" s="13" t="str">
        <f t="shared" si="4"/>
        <v>#DIV/0!</v>
      </c>
      <c r="AC30" s="14" t="s">
        <v>22</v>
      </c>
    </row>
    <row r="31" ht="14.25" customHeight="1">
      <c r="A31" s="5"/>
      <c r="B31" s="32" t="s">
        <v>84</v>
      </c>
      <c r="C31" s="31"/>
      <c r="D31" s="31"/>
      <c r="E31" s="31"/>
      <c r="F31" s="31"/>
      <c r="G31" s="31"/>
      <c r="H31" s="31"/>
      <c r="I31" s="5"/>
      <c r="J31" s="5"/>
      <c r="K31" s="5"/>
      <c r="L31" s="11" t="s">
        <v>85</v>
      </c>
      <c r="M31" s="12"/>
      <c r="N31" s="13" t="str">
        <f>M31/C7*100000</f>
        <v>#DIV/0!</v>
      </c>
      <c r="O31" s="12"/>
      <c r="P31" s="13" t="str">
        <f>O31/D7*100000</f>
        <v>#DIV/0!</v>
      </c>
      <c r="Q31" s="47"/>
      <c r="R31" s="13" t="str">
        <f>Q31/E7*100000</f>
        <v>#DIV/0!</v>
      </c>
      <c r="S31" s="12"/>
      <c r="T31" s="13" t="str">
        <f>S31/F7*100000</f>
        <v>#DIV/0!</v>
      </c>
      <c r="U31" s="12"/>
      <c r="V31" s="13" t="str">
        <f>U31/G7*100000</f>
        <v>#DIV/0!</v>
      </c>
      <c r="W31" s="12"/>
      <c r="X31" s="13" t="str">
        <f>W31/H7*100000</f>
        <v>#DIV/0!</v>
      </c>
      <c r="Y31" s="13">
        <f t="shared" ref="Y31:Z31" si="38">((M31+O31+Q31+S31)/4)</f>
        <v>0</v>
      </c>
      <c r="Z31" s="13" t="str">
        <f t="shared" si="38"/>
        <v>#DIV/0!</v>
      </c>
      <c r="AA31" s="13">
        <f t="shared" si="3"/>
        <v>0</v>
      </c>
      <c r="AB31" s="13" t="str">
        <f t="shared" si="4"/>
        <v>#DIV/0!</v>
      </c>
      <c r="AC31" s="14" t="s">
        <v>22</v>
      </c>
    </row>
    <row r="32" ht="14.25" customHeight="1">
      <c r="A32" s="5"/>
      <c r="B32" s="32" t="s">
        <v>86</v>
      </c>
      <c r="C32" s="31"/>
      <c r="D32" s="31"/>
      <c r="E32" s="31"/>
      <c r="F32" s="31"/>
      <c r="G32" s="31"/>
      <c r="H32" s="31"/>
      <c r="I32" s="5"/>
      <c r="J32" s="5"/>
      <c r="K32" s="5"/>
      <c r="L32" s="11" t="s">
        <v>87</v>
      </c>
      <c r="M32" s="61"/>
      <c r="N32" s="34" t="str">
        <f>M32/C7*100</f>
        <v>#DIV/0!</v>
      </c>
      <c r="O32" s="12"/>
      <c r="P32" s="34" t="str">
        <f>O32/D7*100</f>
        <v>#DIV/0!</v>
      </c>
      <c r="Q32" s="47"/>
      <c r="R32" s="34" t="str">
        <f>Q32/E7*100</f>
        <v>#DIV/0!</v>
      </c>
      <c r="S32" s="61"/>
      <c r="T32" s="34" t="str">
        <f>S32/F7*100</f>
        <v>#DIV/0!</v>
      </c>
      <c r="U32" s="61"/>
      <c r="V32" s="34" t="str">
        <f>U32/G7*100</f>
        <v>#DIV/0!</v>
      </c>
      <c r="W32" s="61"/>
      <c r="X32" s="34" t="str">
        <f>W32/H7*100</f>
        <v>#DIV/0!</v>
      </c>
      <c r="Y32" s="13">
        <f t="shared" ref="Y32:Z32" si="39">((M32+O32+Q32+S32)/4)</f>
        <v>0</v>
      </c>
      <c r="Z32" s="35" t="str">
        <f t="shared" si="39"/>
        <v>#DIV/0!</v>
      </c>
      <c r="AA32" s="13">
        <f t="shared" si="3"/>
        <v>0</v>
      </c>
      <c r="AB32" s="13" t="str">
        <f t="shared" si="4"/>
        <v>#DIV/0!</v>
      </c>
      <c r="AC32" s="14" t="s">
        <v>48</v>
      </c>
    </row>
    <row r="33" ht="14.25" customHeight="1">
      <c r="A33" s="5"/>
      <c r="B33" s="32" t="s">
        <v>88</v>
      </c>
      <c r="C33" s="31"/>
      <c r="D33" s="31"/>
      <c r="E33" s="31"/>
      <c r="F33" s="31"/>
      <c r="G33" s="31"/>
      <c r="H33" s="31"/>
      <c r="I33" s="5"/>
      <c r="J33" s="5"/>
      <c r="K33" s="5"/>
      <c r="L33" s="11" t="s">
        <v>89</v>
      </c>
      <c r="M33" s="12"/>
      <c r="N33" s="13" t="str">
        <f>M33/C7*10000</f>
        <v>#DIV/0!</v>
      </c>
      <c r="O33" s="12"/>
      <c r="P33" s="13" t="str">
        <f>O33/D7*10000</f>
        <v>#DIV/0!</v>
      </c>
      <c r="Q33" s="47"/>
      <c r="R33" s="13" t="str">
        <f>Q33/E7*10000</f>
        <v>#DIV/0!</v>
      </c>
      <c r="S33" s="12"/>
      <c r="T33" s="13" t="str">
        <f>S33/F7*10000</f>
        <v>#DIV/0!</v>
      </c>
      <c r="U33" s="12"/>
      <c r="V33" s="13" t="str">
        <f>U33/G7*10000</f>
        <v>#DIV/0!</v>
      </c>
      <c r="W33" s="12"/>
      <c r="X33" s="13" t="str">
        <f>W33/H7*10000</f>
        <v>#DIV/0!</v>
      </c>
      <c r="Y33" s="13">
        <f t="shared" ref="Y33:Z33" si="40">((M33+O33+Q33+S33)/4)</f>
        <v>0</v>
      </c>
      <c r="Z33" s="13" t="str">
        <f t="shared" si="40"/>
        <v>#DIV/0!</v>
      </c>
      <c r="AA33" s="13">
        <f t="shared" si="3"/>
        <v>0</v>
      </c>
      <c r="AB33" s="13" t="str">
        <f t="shared" si="4"/>
        <v>#DIV/0!</v>
      </c>
      <c r="AC33" s="14" t="s">
        <v>48</v>
      </c>
    </row>
    <row r="34" ht="14.25" customHeight="1">
      <c r="A34" s="5"/>
      <c r="B34" s="32" t="s">
        <v>90</v>
      </c>
      <c r="C34" s="31"/>
      <c r="D34" s="31"/>
      <c r="E34" s="31"/>
      <c r="F34" s="31"/>
      <c r="G34" s="31"/>
      <c r="H34" s="31"/>
      <c r="I34" s="5"/>
      <c r="J34" s="5"/>
      <c r="K34" s="5"/>
      <c r="L34" s="11" t="s">
        <v>91</v>
      </c>
      <c r="M34" s="12"/>
      <c r="N34" s="13" t="str">
        <f>M34/C7*10000</f>
        <v>#DIV/0!</v>
      </c>
      <c r="O34" s="12"/>
      <c r="P34" s="13" t="str">
        <f>O34/D7*10000</f>
        <v>#DIV/0!</v>
      </c>
      <c r="Q34" s="47"/>
      <c r="R34" s="13" t="str">
        <f>Q34/E7*10000</f>
        <v>#DIV/0!</v>
      </c>
      <c r="S34" s="12"/>
      <c r="T34" s="13" t="str">
        <f>S34/F7*10000</f>
        <v>#DIV/0!</v>
      </c>
      <c r="U34" s="12"/>
      <c r="V34" s="13" t="str">
        <f>U34/G7*10000</f>
        <v>#DIV/0!</v>
      </c>
      <c r="W34" s="12"/>
      <c r="X34" s="13" t="str">
        <f>W34/H7*10000</f>
        <v>#DIV/0!</v>
      </c>
      <c r="Y34" s="13">
        <f t="shared" ref="Y34:Z34" si="41">((M34+O34+Q34+S34)/4)</f>
        <v>0</v>
      </c>
      <c r="Z34" s="13" t="str">
        <f t="shared" si="41"/>
        <v>#DIV/0!</v>
      </c>
      <c r="AA34" s="13">
        <f t="shared" si="3"/>
        <v>0</v>
      </c>
      <c r="AB34" s="13" t="str">
        <f t="shared" si="4"/>
        <v>#DIV/0!</v>
      </c>
      <c r="AC34" s="14" t="s">
        <v>48</v>
      </c>
    </row>
    <row r="35" ht="14.25" customHeight="1">
      <c r="A35" s="5"/>
      <c r="B35" s="32" t="s">
        <v>92</v>
      </c>
      <c r="C35" s="31"/>
      <c r="D35" s="31"/>
      <c r="E35" s="31"/>
      <c r="F35" s="31"/>
      <c r="G35" s="31"/>
      <c r="H35" s="31"/>
      <c r="I35" s="5"/>
      <c r="J35" s="5"/>
      <c r="K35" s="5"/>
      <c r="L35" s="11" t="s">
        <v>93</v>
      </c>
      <c r="M35" s="12"/>
      <c r="N35" s="13" t="str">
        <f>M35/M4*1000</f>
        <v>#DIV/0!</v>
      </c>
      <c r="O35" s="12"/>
      <c r="P35" s="13" t="str">
        <f>O35/O4*1000</f>
        <v>#DIV/0!</v>
      </c>
      <c r="Q35" s="47"/>
      <c r="R35" s="13" t="str">
        <f>Q35/Q4*1000</f>
        <v>#DIV/0!</v>
      </c>
      <c r="S35" s="12"/>
      <c r="T35" s="13" t="str">
        <f>S35/S4*1000</f>
        <v>#DIV/0!</v>
      </c>
      <c r="U35" s="12"/>
      <c r="V35" s="13" t="str">
        <f>U35/U4*1000</f>
        <v>#DIV/0!</v>
      </c>
      <c r="W35" s="12"/>
      <c r="X35" s="13" t="str">
        <f>W35/W4*1000</f>
        <v>#DIV/0!</v>
      </c>
      <c r="Y35" s="13">
        <f t="shared" ref="Y35:Z35" si="42">((M35+O35+Q35+S35)/4)</f>
        <v>0</v>
      </c>
      <c r="Z35" s="13" t="str">
        <f t="shared" si="42"/>
        <v>#DIV/0!</v>
      </c>
      <c r="AA35" s="13">
        <f t="shared" si="3"/>
        <v>0</v>
      </c>
      <c r="AB35" s="13" t="str">
        <f t="shared" si="4"/>
        <v>#DIV/0!</v>
      </c>
      <c r="AC35" s="14" t="s">
        <v>48</v>
      </c>
    </row>
    <row r="36" ht="14.25" customHeight="1">
      <c r="A36" s="5"/>
      <c r="B36" s="32" t="s">
        <v>94</v>
      </c>
      <c r="C36" s="31"/>
      <c r="D36" s="31"/>
      <c r="E36" s="31"/>
      <c r="F36" s="31"/>
      <c r="G36" s="31"/>
      <c r="H36" s="31"/>
      <c r="I36" s="5"/>
      <c r="J36" s="5"/>
      <c r="K36" s="5"/>
      <c r="L36" s="11" t="s">
        <v>95</v>
      </c>
      <c r="M36" s="12"/>
      <c r="N36" s="13" t="str">
        <f>M36/M4*1000</f>
        <v>#DIV/0!</v>
      </c>
      <c r="O36" s="12"/>
      <c r="P36" s="13" t="str">
        <f>O36/O4*1000</f>
        <v>#DIV/0!</v>
      </c>
      <c r="Q36" s="47"/>
      <c r="R36" s="13" t="str">
        <f>Q36/Q4*1000</f>
        <v>#DIV/0!</v>
      </c>
      <c r="S36" s="12"/>
      <c r="T36" s="13" t="str">
        <f>S36/S4*1000</f>
        <v>#DIV/0!</v>
      </c>
      <c r="U36" s="12"/>
      <c r="V36" s="13" t="str">
        <f>U36/U4*1000</f>
        <v>#DIV/0!</v>
      </c>
      <c r="W36" s="12"/>
      <c r="X36" s="13" t="str">
        <f>W36/W4*1000</f>
        <v>#DIV/0!</v>
      </c>
      <c r="Y36" s="13">
        <f t="shared" ref="Y36:Z36" si="43">((M36+O36+Q36+S36)/4)</f>
        <v>0</v>
      </c>
      <c r="Z36" s="13" t="str">
        <f t="shared" si="43"/>
        <v>#DIV/0!</v>
      </c>
      <c r="AA36" s="13">
        <f t="shared" si="3"/>
        <v>0</v>
      </c>
      <c r="AB36" s="13" t="str">
        <f t="shared" si="4"/>
        <v>#DIV/0!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13">
        <f t="shared" ref="Y37:Z37" si="44">((M37+O37+Q37+S37)/4)</f>
        <v>0</v>
      </c>
      <c r="Z37" s="13">
        <f t="shared" si="44"/>
        <v>0</v>
      </c>
      <c r="AA37" s="13">
        <f t="shared" si="3"/>
        <v>0</v>
      </c>
      <c r="AB37" s="13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 t="str">
        <f>M38/C7*10000</f>
        <v>#DIV/0!</v>
      </c>
      <c r="O38" s="12"/>
      <c r="P38" s="13" t="str">
        <f>O38/E7*10000</f>
        <v>#DIV/0!</v>
      </c>
      <c r="Q38" s="47"/>
      <c r="R38" s="13" t="str">
        <f>Q38/E7*10000</f>
        <v>#DIV/0!</v>
      </c>
      <c r="S38" s="12"/>
      <c r="T38" s="13" t="str">
        <f>S38/F7*10000</f>
        <v>#DIV/0!</v>
      </c>
      <c r="U38" s="12"/>
      <c r="V38" s="13" t="str">
        <f>U38/G7*10000</f>
        <v>#DIV/0!</v>
      </c>
      <c r="W38" s="12"/>
      <c r="X38" s="13" t="str">
        <f>W38/H7*10000</f>
        <v>#DIV/0!</v>
      </c>
      <c r="Y38" s="13">
        <f t="shared" ref="Y38:Z38" si="45">((M38+O38+Q38+S38)/4)</f>
        <v>0</v>
      </c>
      <c r="Z38" s="13" t="str">
        <f t="shared" si="45"/>
        <v>#DIV/0!</v>
      </c>
      <c r="AA38" s="13">
        <f t="shared" si="3"/>
        <v>0</v>
      </c>
      <c r="AB38" s="13" t="str">
        <f t="shared" si="4"/>
        <v>#DIV/0!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 t="str">
        <f>M39/C17*10000</f>
        <v>#DIV/0!</v>
      </c>
      <c r="O39" s="12"/>
      <c r="P39" s="13" t="str">
        <f>O39/D17*10000</f>
        <v>#DIV/0!</v>
      </c>
      <c r="Q39" s="47"/>
      <c r="R39" s="13" t="str">
        <f>Q39/E17*100000</f>
        <v>#DIV/0!</v>
      </c>
      <c r="S39" s="12"/>
      <c r="T39" s="13" t="str">
        <f>S39/F17*100000</f>
        <v>#DIV/0!</v>
      </c>
      <c r="U39" s="12"/>
      <c r="V39" s="13" t="str">
        <f>U39/G17*100000</f>
        <v>#DIV/0!</v>
      </c>
      <c r="W39" s="12"/>
      <c r="X39" s="13" t="str">
        <f>W39/H17*100000</f>
        <v>#DIV/0!</v>
      </c>
      <c r="Y39" s="13">
        <f t="shared" ref="Y39:Z39" si="46">((M39+O39+Q39+S39)/4)</f>
        <v>0</v>
      </c>
      <c r="Z39" s="13" t="str">
        <f t="shared" si="46"/>
        <v>#DIV/0!</v>
      </c>
      <c r="AA39" s="13">
        <f t="shared" si="3"/>
        <v>0</v>
      </c>
      <c r="AB39" s="13" t="str">
        <f t="shared" si="4"/>
        <v>#DIV/0!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 t="str">
        <f>M40/C7*100000</f>
        <v>#DIV/0!</v>
      </c>
      <c r="O40" s="12"/>
      <c r="P40" s="13" t="str">
        <f>O40/D7*100000</f>
        <v>#DIV/0!</v>
      </c>
      <c r="Q40" s="47"/>
      <c r="R40" s="13" t="str">
        <f>Q40/E7*100000</f>
        <v>#DIV/0!</v>
      </c>
      <c r="S40" s="12"/>
      <c r="T40" s="13" t="str">
        <f>S40/F7*100000</f>
        <v>#DIV/0!</v>
      </c>
      <c r="U40" s="12"/>
      <c r="V40" s="13" t="str">
        <f>U40/G7*100000</f>
        <v>#DIV/0!</v>
      </c>
      <c r="W40" s="12"/>
      <c r="X40" s="13" t="str">
        <f>W40/H7*100000</f>
        <v>#DIV/0!</v>
      </c>
      <c r="Y40" s="13">
        <f t="shared" ref="Y40:Z40" si="47">((M40+O40+Q40+S40)/4)</f>
        <v>0</v>
      </c>
      <c r="Z40" s="13" t="str">
        <f t="shared" si="47"/>
        <v>#DIV/0!</v>
      </c>
      <c r="AA40" s="13">
        <f t="shared" si="3"/>
        <v>0</v>
      </c>
      <c r="AB40" s="13" t="str">
        <f t="shared" si="4"/>
        <v>#DIV/0!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 t="str">
        <f>M41/C7*10000</f>
        <v>#DIV/0!</v>
      </c>
      <c r="O41" s="12"/>
      <c r="P41" s="28" t="str">
        <f>O41/D7*10000</f>
        <v>#DIV/0!</v>
      </c>
      <c r="Q41" s="47"/>
      <c r="R41" s="28" t="str">
        <f>Q41/E7*10000</f>
        <v>#DIV/0!</v>
      </c>
      <c r="S41" s="61"/>
      <c r="T41" s="28" t="str">
        <f>S41/F7*10000</f>
        <v>#DIV/0!</v>
      </c>
      <c r="U41" s="61"/>
      <c r="V41" s="28" t="str">
        <f>U41/G7*10000</f>
        <v>#DIV/0!</v>
      </c>
      <c r="W41" s="61"/>
      <c r="X41" s="28" t="str">
        <f>W41/H7*10000</f>
        <v>#DIV/0!</v>
      </c>
      <c r="Y41" s="13">
        <f t="shared" ref="Y41:Z41" si="48">((M41+O41+Q41+S41)/4)</f>
        <v>0</v>
      </c>
      <c r="Z41" s="13" t="str">
        <f t="shared" si="48"/>
        <v>#DIV/0!</v>
      </c>
      <c r="AA41" s="13">
        <f t="shared" si="3"/>
        <v>0</v>
      </c>
      <c r="AB41" s="13" t="str">
        <f t="shared" si="4"/>
        <v>#DIV/0!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 t="str">
        <f>M42/C7*10000</f>
        <v>#DIV/0!</v>
      </c>
      <c r="O42" s="12"/>
      <c r="P42" s="28" t="str">
        <f>O42/D7*10000</f>
        <v>#DIV/0!</v>
      </c>
      <c r="Q42" s="47"/>
      <c r="R42" s="28" t="str">
        <f>Q42/E7*10000</f>
        <v>#DIV/0!</v>
      </c>
      <c r="S42" s="61"/>
      <c r="T42" s="28" t="str">
        <f>S42/F7*10000</f>
        <v>#DIV/0!</v>
      </c>
      <c r="U42" s="61"/>
      <c r="V42" s="28" t="str">
        <f>U42/G7*10000</f>
        <v>#DIV/0!</v>
      </c>
      <c r="W42" s="61"/>
      <c r="X42" s="28" t="str">
        <f>W42/H7*10000</f>
        <v>#DIV/0!</v>
      </c>
      <c r="Y42" s="13">
        <f t="shared" ref="Y42:Z42" si="49">((M42+O42+Q42+S42)/4)</f>
        <v>0</v>
      </c>
      <c r="Z42" s="13" t="str">
        <f t="shared" si="49"/>
        <v>#DIV/0!</v>
      </c>
      <c r="AA42" s="13">
        <f t="shared" si="3"/>
        <v>0</v>
      </c>
      <c r="AB42" s="13" t="str">
        <f t="shared" si="4"/>
        <v>#DIV/0!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 t="str">
        <f>M43/C16*10000</f>
        <v>#DIV/0!</v>
      </c>
      <c r="O43" s="12"/>
      <c r="P43" s="28" t="str">
        <f>O43/D16*10000</f>
        <v>#DIV/0!</v>
      </c>
      <c r="Q43" s="47"/>
      <c r="R43" s="28" t="str">
        <f>Q43/E16*100000</f>
        <v>#DIV/0!</v>
      </c>
      <c r="S43" s="61"/>
      <c r="T43" s="28" t="str">
        <f>S43/F16*100000</f>
        <v>#DIV/0!</v>
      </c>
      <c r="U43" s="61"/>
      <c r="V43" s="28" t="str">
        <f>U43/G16*100000</f>
        <v>#DIV/0!</v>
      </c>
      <c r="W43" s="61"/>
      <c r="X43" s="28" t="str">
        <f>W43/H16*100000</f>
        <v>#DIV/0!</v>
      </c>
      <c r="Y43" s="13">
        <f t="shared" ref="Y43:Z43" si="50">((M43+O43+Q43+S43)/4)</f>
        <v>0</v>
      </c>
      <c r="Z43" s="13" t="str">
        <f t="shared" si="50"/>
        <v>#DIV/0!</v>
      </c>
      <c r="AA43" s="13">
        <f t="shared" si="3"/>
        <v>0</v>
      </c>
      <c r="AB43" s="13" t="str">
        <f t="shared" si="4"/>
        <v>#DIV/0!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 t="str">
        <f>M44/C7*100000</f>
        <v>#DIV/0!</v>
      </c>
      <c r="O44" s="12"/>
      <c r="P44" s="28" t="str">
        <f>O44/D7*100000</f>
        <v>#DIV/0!</v>
      </c>
      <c r="Q44" s="12"/>
      <c r="R44" s="13" t="str">
        <f>Q44/E7*100000</f>
        <v>#DIV/0!</v>
      </c>
      <c r="S44" s="12"/>
      <c r="T44" s="13" t="str">
        <f>S44/F7*100000</f>
        <v>#DIV/0!</v>
      </c>
      <c r="U44" s="12"/>
      <c r="V44" s="13" t="str">
        <f>U44/G7*100000</f>
        <v>#DIV/0!</v>
      </c>
      <c r="W44" s="12"/>
      <c r="X44" s="13" t="str">
        <f>W44/H7*100000</f>
        <v>#DIV/0!</v>
      </c>
      <c r="Y44" s="13">
        <f t="shared" ref="Y44:Z44" si="51">((M44+O44+Q44+S44)/4)</f>
        <v>0</v>
      </c>
      <c r="Z44" s="13" t="str">
        <f t="shared" si="51"/>
        <v>#DIV/0!</v>
      </c>
      <c r="AA44" s="13">
        <f t="shared" si="3"/>
        <v>0</v>
      </c>
      <c r="AB44" s="13" t="str">
        <f t="shared" si="4"/>
        <v>#DIV/0!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 t="str">
        <f>M45/M4*100</f>
        <v>#DIV/0!</v>
      </c>
      <c r="O45" s="12"/>
      <c r="P45" s="28" t="str">
        <f>O45/O4*100</f>
        <v>#DIV/0!</v>
      </c>
      <c r="Q45" s="12"/>
      <c r="R45" s="13" t="str">
        <f>Q45/Q4*100</f>
        <v>#DIV/0!</v>
      </c>
      <c r="S45" s="12"/>
      <c r="T45" s="13" t="str">
        <f>S45/S4*100</f>
        <v>#DIV/0!</v>
      </c>
      <c r="U45" s="12"/>
      <c r="V45" s="13" t="str">
        <f>U45/U4*100</f>
        <v>#DIV/0!</v>
      </c>
      <c r="W45" s="12"/>
      <c r="X45" s="13" t="str">
        <f>W45/W4*100</f>
        <v>#DIV/0!</v>
      </c>
      <c r="Y45" s="13">
        <f t="shared" ref="Y45:Z45" si="52">((M45+O45+Q45+S45)/4)</f>
        <v>0</v>
      </c>
      <c r="Z45" s="13" t="str">
        <f t="shared" si="52"/>
        <v>#DIV/0!</v>
      </c>
      <c r="AA45" s="13">
        <f t="shared" si="3"/>
        <v>0</v>
      </c>
      <c r="AB45" s="13" t="str">
        <f t="shared" si="4"/>
        <v>#DIV/0!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 t="str">
        <f>M46/M4*100</f>
        <v>#DIV/0!</v>
      </c>
      <c r="O46" s="12"/>
      <c r="P46" s="28" t="str">
        <f>O46/O4*100</f>
        <v>#DIV/0!</v>
      </c>
      <c r="Q46" s="12"/>
      <c r="R46" s="13" t="str">
        <f>Q46/Q4*100</f>
        <v>#DIV/0!</v>
      </c>
      <c r="S46" s="12"/>
      <c r="T46" s="13" t="str">
        <f>S46/S4*100</f>
        <v>#DIV/0!</v>
      </c>
      <c r="U46" s="12"/>
      <c r="V46" s="13" t="str">
        <f>U46/U4*100</f>
        <v>#DIV/0!</v>
      </c>
      <c r="W46" s="12"/>
      <c r="X46" s="13" t="str">
        <f>W46/W4*100</f>
        <v>#DIV/0!</v>
      </c>
      <c r="Y46" s="13">
        <f t="shared" ref="Y46:Z46" si="53">((M46+O46+Q46+S46)/4)</f>
        <v>0</v>
      </c>
      <c r="Z46" s="13" t="str">
        <f t="shared" si="53"/>
        <v>#DIV/0!</v>
      </c>
      <c r="AA46" s="13">
        <f t="shared" si="3"/>
        <v>0</v>
      </c>
      <c r="AB46" s="13" t="str">
        <f t="shared" si="4"/>
        <v>#DIV/0!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 t="str">
        <f>M47/C7*100000</f>
        <v>#DIV/0!</v>
      </c>
      <c r="O47" s="47"/>
      <c r="P47" s="13" t="str">
        <f>O47/D7*100000</f>
        <v>#DIV/0!</v>
      </c>
      <c r="Q47" s="47"/>
      <c r="R47" s="13" t="str">
        <f>Q47/E7*100000</f>
        <v>#DIV/0!</v>
      </c>
      <c r="S47" s="12"/>
      <c r="T47" s="13" t="str">
        <f>S47/F7*100000</f>
        <v>#DIV/0!</v>
      </c>
      <c r="U47" s="12"/>
      <c r="V47" s="13" t="str">
        <f>U47/G7*100000</f>
        <v>#DIV/0!</v>
      </c>
      <c r="W47" s="12"/>
      <c r="X47" s="13" t="str">
        <f>W47/H7*100000</f>
        <v>#DIV/0!</v>
      </c>
      <c r="Y47" s="13">
        <f t="shared" ref="Y47:Z47" si="54">((M47+O47+Q47+S47)/4)</f>
        <v>0</v>
      </c>
      <c r="Z47" s="13" t="str">
        <f t="shared" si="54"/>
        <v>#DIV/0!</v>
      </c>
      <c r="AA47" s="13">
        <f t="shared" si="3"/>
        <v>0</v>
      </c>
      <c r="AB47" s="13" t="str">
        <f t="shared" si="4"/>
        <v>#DIV/0!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 t="str">
        <f>M48/C7*100000</f>
        <v>#DIV/0!</v>
      </c>
      <c r="O48" s="12"/>
      <c r="P48" s="13" t="str">
        <f>O48/D7*100000</f>
        <v>#DIV/0!</v>
      </c>
      <c r="Q48" s="47"/>
      <c r="R48" s="13" t="str">
        <f>Q48/E7*100000</f>
        <v>#DIV/0!</v>
      </c>
      <c r="S48" s="12"/>
      <c r="T48" s="13" t="str">
        <f>S48/F7*100000</f>
        <v>#DIV/0!</v>
      </c>
      <c r="U48" s="12"/>
      <c r="V48" s="13" t="str">
        <f>U48/G7*100000</f>
        <v>#DIV/0!</v>
      </c>
      <c r="W48" s="12"/>
      <c r="X48" s="13" t="str">
        <f>W48/H7*100000</f>
        <v>#DIV/0!</v>
      </c>
      <c r="Y48" s="13">
        <f t="shared" ref="Y48:Z48" si="55">((M48+O48+Q48+S48)/4)</f>
        <v>0</v>
      </c>
      <c r="Z48" s="13" t="str">
        <f t="shared" si="55"/>
        <v>#DIV/0!</v>
      </c>
      <c r="AA48" s="13">
        <f t="shared" si="3"/>
        <v>0</v>
      </c>
      <c r="AB48" s="13" t="str">
        <f t="shared" si="4"/>
        <v>#DIV/0!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 t="str">
        <f>M49/C7*100000</f>
        <v>#DIV/0!</v>
      </c>
      <c r="O49" s="12"/>
      <c r="P49" s="13" t="str">
        <f>O49/D7*100000</f>
        <v>#DIV/0!</v>
      </c>
      <c r="Q49" s="47"/>
      <c r="R49" s="13" t="str">
        <f>Q49/E7*100000</f>
        <v>#DIV/0!</v>
      </c>
      <c r="S49" s="12"/>
      <c r="T49" s="13" t="str">
        <f>S49/F7*100000</f>
        <v>#DIV/0!</v>
      </c>
      <c r="U49" s="12"/>
      <c r="V49" s="13" t="str">
        <f>U49/G7*100000</f>
        <v>#DIV/0!</v>
      </c>
      <c r="W49" s="12"/>
      <c r="X49" s="13" t="str">
        <f>W49/H7*100000</f>
        <v>#DIV/0!</v>
      </c>
      <c r="Y49" s="13">
        <f t="shared" ref="Y49:Z49" si="56">((M49+O49+Q49+S49)/4)</f>
        <v>0</v>
      </c>
      <c r="Z49" s="13" t="str">
        <f t="shared" si="56"/>
        <v>#DIV/0!</v>
      </c>
      <c r="AA49" s="13">
        <f t="shared" si="3"/>
        <v>0</v>
      </c>
      <c r="AB49" s="13" t="str">
        <f t="shared" si="4"/>
        <v>#DIV/0!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 t="str">
        <f>M50/C7*100000</f>
        <v>#DIV/0!</v>
      </c>
      <c r="O50" s="47"/>
      <c r="P50" s="13" t="str">
        <f>O50/D7*100000</f>
        <v>#DIV/0!</v>
      </c>
      <c r="Q50" s="47"/>
      <c r="R50" s="13" t="str">
        <f>Q50/E7*100000</f>
        <v>#DIV/0!</v>
      </c>
      <c r="S50" s="12"/>
      <c r="T50" s="13" t="str">
        <f>S50/F7*100000</f>
        <v>#DIV/0!</v>
      </c>
      <c r="U50" s="12"/>
      <c r="V50" s="13" t="str">
        <f>U50/G7*100000</f>
        <v>#DIV/0!</v>
      </c>
      <c r="W50" s="12"/>
      <c r="X50" s="13" t="str">
        <f>W50/H7*100000</f>
        <v>#DIV/0!</v>
      </c>
      <c r="Y50" s="13">
        <f t="shared" ref="Y50:Z50" si="57">((M50+O50+Q50+S50)/4)</f>
        <v>0</v>
      </c>
      <c r="Z50" s="13" t="str">
        <f t="shared" si="57"/>
        <v>#DIV/0!</v>
      </c>
      <c r="AA50" s="13">
        <f t="shared" si="3"/>
        <v>0</v>
      </c>
      <c r="AB50" s="13" t="str">
        <f t="shared" si="4"/>
        <v>#DIV/0!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 t="str">
        <f>M51/C7*100000</f>
        <v>#DIV/0!</v>
      </c>
      <c r="O51" s="47"/>
      <c r="P51" s="13" t="str">
        <f>O51/D7*100000</f>
        <v>#DIV/0!</v>
      </c>
      <c r="Q51" s="47"/>
      <c r="R51" s="13" t="str">
        <f>Q51/E7*100000</f>
        <v>#DIV/0!</v>
      </c>
      <c r="S51" s="12"/>
      <c r="T51" s="13" t="str">
        <f>S51/F7*100000</f>
        <v>#DIV/0!</v>
      </c>
      <c r="U51" s="12"/>
      <c r="V51" s="13" t="str">
        <f>U51/G7*100000</f>
        <v>#DIV/0!</v>
      </c>
      <c r="W51" s="12"/>
      <c r="X51" s="13" t="str">
        <f>W51/H7*100000</f>
        <v>#DIV/0!</v>
      </c>
      <c r="Y51" s="13">
        <f t="shared" ref="Y51:Z51" si="58">((M51+O51+Q51+S51)/4)</f>
        <v>0</v>
      </c>
      <c r="Z51" s="13" t="str">
        <f t="shared" si="58"/>
        <v>#DIV/0!</v>
      </c>
      <c r="AA51" s="13">
        <f t="shared" si="3"/>
        <v>0</v>
      </c>
      <c r="AB51" s="13" t="str">
        <f t="shared" si="4"/>
        <v>#DIV/0!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 t="str">
        <f>M52/C7*100000</f>
        <v>#DIV/0!</v>
      </c>
      <c r="O52" s="47"/>
      <c r="P52" s="13" t="str">
        <f>O52/D7*100000</f>
        <v>#DIV/0!</v>
      </c>
      <c r="Q52" s="47"/>
      <c r="R52" s="13" t="str">
        <f>Q52/E7*100000</f>
        <v>#DIV/0!</v>
      </c>
      <c r="S52" s="12"/>
      <c r="T52" s="13" t="str">
        <f>S52/F7*100000</f>
        <v>#DIV/0!</v>
      </c>
      <c r="U52" s="12"/>
      <c r="V52" s="13" t="str">
        <f>U52/G7*100000</f>
        <v>#DIV/0!</v>
      </c>
      <c r="W52" s="12"/>
      <c r="X52" s="13" t="str">
        <f>W52/H7*100000</f>
        <v>#DIV/0!</v>
      </c>
      <c r="Y52" s="13">
        <f t="shared" ref="Y52:Z52" si="59">((M52+O52+Q52+S52)/4)</f>
        <v>0</v>
      </c>
      <c r="Z52" s="13" t="str">
        <f t="shared" si="59"/>
        <v>#DIV/0!</v>
      </c>
      <c r="AA52" s="13">
        <f t="shared" si="3"/>
        <v>0</v>
      </c>
      <c r="AB52" s="13" t="str">
        <f t="shared" si="4"/>
        <v>#DIV/0!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 t="str">
        <f>M53/C17*100000</f>
        <v>#DIV/0!</v>
      </c>
      <c r="O53" s="47"/>
      <c r="P53" s="13" t="str">
        <f>O53/D17*100000</f>
        <v>#DIV/0!</v>
      </c>
      <c r="Q53" s="47"/>
      <c r="R53" s="13" t="str">
        <f>Q53/E17*100000</f>
        <v>#DIV/0!</v>
      </c>
      <c r="S53" s="12"/>
      <c r="T53" s="13" t="str">
        <f>S53/F17*100000</f>
        <v>#DIV/0!</v>
      </c>
      <c r="U53" s="12"/>
      <c r="V53" s="13" t="str">
        <f>U53/G17*100000</f>
        <v>#DIV/0!</v>
      </c>
      <c r="W53" s="12"/>
      <c r="X53" s="13" t="str">
        <f>W53/H17*100000</f>
        <v>#DIV/0!</v>
      </c>
      <c r="Y53" s="13">
        <f t="shared" ref="Y53:Z53" si="60">((M53+O53+Q53+S53)/4)</f>
        <v>0</v>
      </c>
      <c r="Z53" s="13" t="str">
        <f t="shared" si="60"/>
        <v>#DIV/0!</v>
      </c>
      <c r="AA53" s="13">
        <f t="shared" si="3"/>
        <v>0</v>
      </c>
      <c r="AB53" s="13" t="str">
        <f t="shared" si="4"/>
        <v>#DIV/0!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 t="str">
        <f>M54/C19*100000</f>
        <v>#DIV/0!</v>
      </c>
      <c r="O54" s="47"/>
      <c r="P54" s="13" t="str">
        <f>O54/D19*100000</f>
        <v>#DIV/0!</v>
      </c>
      <c r="Q54" s="47"/>
      <c r="R54" s="13" t="str">
        <f>Q54/E19*100000</f>
        <v>#DIV/0!</v>
      </c>
      <c r="S54" s="12"/>
      <c r="T54" s="13" t="str">
        <f>S54/F19*100000</f>
        <v>#DIV/0!</v>
      </c>
      <c r="U54" s="12"/>
      <c r="V54" s="13" t="str">
        <f>U54/G19*100000</f>
        <v>#DIV/0!</v>
      </c>
      <c r="W54" s="12"/>
      <c r="X54" s="13" t="str">
        <f>W54/H19*100000</f>
        <v>#DIV/0!</v>
      </c>
      <c r="Y54" s="13">
        <f t="shared" ref="Y54:Z54" si="61">((M54+O54+Q54+S54)/4)</f>
        <v>0</v>
      </c>
      <c r="Z54" s="13" t="str">
        <f t="shared" si="61"/>
        <v>#DIV/0!</v>
      </c>
      <c r="AA54" s="13">
        <f t="shared" si="3"/>
        <v>0</v>
      </c>
      <c r="AB54" s="13" t="str">
        <f t="shared" si="4"/>
        <v>#DIV/0!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 t="str">
        <f>M55/C19*100000</f>
        <v>#DIV/0!</v>
      </c>
      <c r="O55" s="47"/>
      <c r="P55" s="13" t="str">
        <f>O55/D19*100000</f>
        <v>#DIV/0!</v>
      </c>
      <c r="Q55" s="47"/>
      <c r="R55" s="13" t="str">
        <f>Q55/E19*100000</f>
        <v>#DIV/0!</v>
      </c>
      <c r="S55" s="12"/>
      <c r="T55" s="13" t="str">
        <f>S55/F19*100000</f>
        <v>#DIV/0!</v>
      </c>
      <c r="U55" s="12"/>
      <c r="V55" s="13" t="str">
        <f>U55/G19*100000</f>
        <v>#DIV/0!</v>
      </c>
      <c r="W55" s="12"/>
      <c r="X55" s="13" t="str">
        <f>W55/H19*100000</f>
        <v>#DIV/0!</v>
      </c>
      <c r="Y55" s="13">
        <f t="shared" ref="Y55:Z55" si="62">((M55+O55+Q55+S55)/4)</f>
        <v>0</v>
      </c>
      <c r="Z55" s="13" t="str">
        <f t="shared" si="62"/>
        <v>#DIV/0!</v>
      </c>
      <c r="AA55" s="13">
        <f t="shared" si="3"/>
        <v>0</v>
      </c>
      <c r="AB55" s="13" t="str">
        <f t="shared" si="4"/>
        <v>#DIV/0!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 t="str">
        <f>M56/C7*100000</f>
        <v>#DIV/0!</v>
      </c>
      <c r="O56" s="47"/>
      <c r="P56" s="13" t="str">
        <f>O56/D7*100000</f>
        <v>#DIV/0!</v>
      </c>
      <c r="Q56" s="47"/>
      <c r="R56" s="13" t="str">
        <f>Q56/E7*100000</f>
        <v>#DIV/0!</v>
      </c>
      <c r="S56" s="12"/>
      <c r="T56" s="13" t="str">
        <f>S56/F7*100000</f>
        <v>#DIV/0!</v>
      </c>
      <c r="U56" s="12"/>
      <c r="V56" s="13" t="str">
        <f>U56/G7*100000</f>
        <v>#DIV/0!</v>
      </c>
      <c r="W56" s="12"/>
      <c r="X56" s="13" t="str">
        <f>W56/H7*100000</f>
        <v>#DIV/0!</v>
      </c>
      <c r="Y56" s="13">
        <f t="shared" ref="Y56:Z56" si="63">((M56+O56+Q56+S56)/4)</f>
        <v>0</v>
      </c>
      <c r="Z56" s="13" t="str">
        <f t="shared" si="63"/>
        <v>#DIV/0!</v>
      </c>
      <c r="AA56" s="13">
        <f t="shared" si="3"/>
        <v>0</v>
      </c>
      <c r="AB56" s="13" t="str">
        <f t="shared" si="4"/>
        <v>#DIV/0!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 t="str">
        <f>M57/M4*100000</f>
        <v>#DIV/0!</v>
      </c>
      <c r="O57" s="47"/>
      <c r="P57" s="13" t="str">
        <f>O57/O4*100000</f>
        <v>#DIV/0!</v>
      </c>
      <c r="Q57" s="47"/>
      <c r="R57" s="13" t="str">
        <f>Q57/Q4*100000</f>
        <v>#DIV/0!</v>
      </c>
      <c r="S57" s="12"/>
      <c r="T57" s="13" t="str">
        <f>S57/S4*100000</f>
        <v>#DIV/0!</v>
      </c>
      <c r="U57" s="12"/>
      <c r="V57" s="13" t="str">
        <f>U57/U4*100000</f>
        <v>#DIV/0!</v>
      </c>
      <c r="W57" s="12"/>
      <c r="X57" s="13" t="str">
        <f>W57/W4*100000</f>
        <v>#DIV/0!</v>
      </c>
      <c r="Y57" s="13">
        <f t="shared" ref="Y57:Z57" si="64">((M57+O57+Q57+S57)/4)</f>
        <v>0</v>
      </c>
      <c r="Z57" s="13" t="str">
        <f t="shared" si="64"/>
        <v>#DIV/0!</v>
      </c>
      <c r="AA57" s="13">
        <f t="shared" si="3"/>
        <v>0</v>
      </c>
      <c r="AB57" s="13" t="str">
        <f t="shared" si="4"/>
        <v>#DIV/0!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 t="str">
        <f>M58/C7*100000</f>
        <v>#DIV/0!</v>
      </c>
      <c r="O58" s="71"/>
      <c r="P58" s="28" t="str">
        <f>O58/D7*100000</f>
        <v>#DIV/0!</v>
      </c>
      <c r="Q58" s="71"/>
      <c r="R58" s="28" t="str">
        <f>Q58/E7*100000</f>
        <v>#DIV/0!</v>
      </c>
      <c r="S58" s="61"/>
      <c r="T58" s="28" t="str">
        <f>S58/F7*100000</f>
        <v>#DIV/0!</v>
      </c>
      <c r="U58" s="61"/>
      <c r="V58" s="28" t="str">
        <f>U58/G7*100000</f>
        <v>#DIV/0!</v>
      </c>
      <c r="W58" s="61"/>
      <c r="X58" s="28" t="str">
        <f>W58/H7*100000</f>
        <v>#DIV/0!</v>
      </c>
      <c r="Y58" s="13">
        <f t="shared" ref="Y58:Z58" si="65">((M58+O58+Q58+S58)/4)</f>
        <v>0</v>
      </c>
      <c r="Z58" s="13" t="str">
        <f t="shared" si="65"/>
        <v>#DIV/0!</v>
      </c>
      <c r="AA58" s="13">
        <f t="shared" si="3"/>
        <v>0</v>
      </c>
      <c r="AB58" s="13" t="str">
        <f t="shared" si="4"/>
        <v>#DIV/0!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 t="str">
        <f>M59/C7*100000</f>
        <v>#DIV/0!</v>
      </c>
      <c r="O59" s="71"/>
      <c r="P59" s="28" t="str">
        <f>O59/D7*100000</f>
        <v>#DIV/0!</v>
      </c>
      <c r="Q59" s="71"/>
      <c r="R59" s="28" t="str">
        <f>Q59/E7*100000</f>
        <v>#DIV/0!</v>
      </c>
      <c r="S59" s="76"/>
      <c r="T59" s="39" t="str">
        <f>S59/F7*100000</f>
        <v>#DIV/0!</v>
      </c>
      <c r="U59" s="76"/>
      <c r="V59" s="39" t="str">
        <f>U59/G7*100000</f>
        <v>#DIV/0!</v>
      </c>
      <c r="W59" s="76"/>
      <c r="X59" s="39" t="str">
        <f>W59/H7*100000</f>
        <v>#DIV/0!</v>
      </c>
      <c r="Y59" s="40">
        <f t="shared" ref="Y59:Z59" si="66">((M59+O59+Q59+S59)/4)</f>
        <v>0</v>
      </c>
      <c r="Z59" s="40" t="str">
        <f t="shared" si="66"/>
        <v>#DIV/0!</v>
      </c>
      <c r="AA59" s="13">
        <f t="shared" si="3"/>
        <v>0</v>
      </c>
      <c r="AB59" s="13" t="str">
        <f t="shared" si="4"/>
        <v>#DIV/0!</v>
      </c>
      <c r="AC59" s="41" t="s">
        <v>22</v>
      </c>
    </row>
    <row r="60" ht="14.2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 t="str">
        <f>M60/C17*100000</f>
        <v>#DIV/0!</v>
      </c>
      <c r="O60" s="71"/>
      <c r="P60" s="28" t="str">
        <f>O60/D17*100000</f>
        <v>#DIV/0!</v>
      </c>
      <c r="Q60" s="71"/>
      <c r="R60" s="28" t="str">
        <f>Q60/E17*100000</f>
        <v>#DIV/0!</v>
      </c>
      <c r="S60" s="61"/>
      <c r="T60" s="28" t="str">
        <f>S60/F17*100000</f>
        <v>#DIV/0!</v>
      </c>
      <c r="U60" s="61"/>
      <c r="V60" s="28" t="str">
        <f>U60/G17*100000</f>
        <v>#DIV/0!</v>
      </c>
      <c r="W60" s="61"/>
      <c r="X60" s="28" t="str">
        <f>W60/H17*100000</f>
        <v>#DIV/0!</v>
      </c>
      <c r="Y60" s="40">
        <f>((M60+O60+Q60+S60)/4)</f>
        <v>0</v>
      </c>
      <c r="Z60" s="40" t="str">
        <f>((N60+P60+R60+T60)/1)</f>
        <v>#DIV/0!</v>
      </c>
      <c r="AA60" s="13">
        <f t="shared" si="3"/>
        <v>0</v>
      </c>
      <c r="AB60" s="13" t="str">
        <f t="shared" si="4"/>
        <v>#DIV/0!</v>
      </c>
      <c r="AC60" s="37" t="s">
        <v>48</v>
      </c>
    </row>
    <row r="61" ht="16.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 t="str">
        <f>M61/C15*1000</f>
        <v>#DIV/0!</v>
      </c>
      <c r="O61" s="71"/>
      <c r="P61" s="28" t="str">
        <f>O61/D15*1000</f>
        <v>#DIV/0!</v>
      </c>
      <c r="Q61" s="71"/>
      <c r="R61" s="28" t="str">
        <f>Q61/E15*1000</f>
        <v>#DIV/0!</v>
      </c>
      <c r="S61" s="61"/>
      <c r="T61" s="28" t="str">
        <f>S61/F15*1000</f>
        <v>#DIV/0!</v>
      </c>
      <c r="U61" s="61"/>
      <c r="V61" s="28" t="str">
        <f>U61/G15*1000</f>
        <v>#DIV/0!</v>
      </c>
      <c r="W61" s="61"/>
      <c r="X61" s="28" t="str">
        <f>W61/H23*1000</f>
        <v>#DIV/0!</v>
      </c>
      <c r="Y61" s="40">
        <f t="shared" ref="Y61:Z61" si="67">((M61+O61+Q61+S61)/1)</f>
        <v>0</v>
      </c>
      <c r="Z61" s="40" t="str">
        <f t="shared" si="67"/>
        <v>#DIV/0!</v>
      </c>
      <c r="AA61" s="13">
        <f t="shared" si="3"/>
        <v>0</v>
      </c>
      <c r="AB61" s="13" t="str">
        <f t="shared" si="4"/>
        <v>#DIV/0!</v>
      </c>
      <c r="AC61" s="37" t="s">
        <v>48</v>
      </c>
    </row>
    <row r="62" ht="14.2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 t="str">
        <f>M62/C15*1000</f>
        <v>#DIV/0!</v>
      </c>
      <c r="O62" s="71"/>
      <c r="P62" s="28" t="str">
        <f>O62/D15*1000</f>
        <v>#DIV/0!</v>
      </c>
      <c r="Q62" s="71"/>
      <c r="R62" s="28" t="str">
        <f>Q62/E15*1000</f>
        <v>#DIV/0!</v>
      </c>
      <c r="S62" s="61"/>
      <c r="T62" s="28" t="str">
        <f>S62/F15*1000</f>
        <v>#DIV/0!</v>
      </c>
      <c r="U62" s="61"/>
      <c r="V62" s="28" t="str">
        <f>U62/G15*1000</f>
        <v>#DIV/0!</v>
      </c>
      <c r="W62" s="61"/>
      <c r="X62" s="28" t="str">
        <f>W62/H15*1000</f>
        <v>#DIV/0!</v>
      </c>
      <c r="Y62" s="40">
        <f t="shared" ref="Y62:Z62" si="68">((M62+O62+Q62+S62)/1)</f>
        <v>0</v>
      </c>
      <c r="Z62" s="40" t="str">
        <f t="shared" si="68"/>
        <v>#DIV/0!</v>
      </c>
      <c r="AA62" s="13">
        <f t="shared" si="3"/>
        <v>0</v>
      </c>
      <c r="AB62" s="13" t="str">
        <f t="shared" si="4"/>
        <v>#DIV/0!</v>
      </c>
      <c r="AC62" s="37" t="s">
        <v>48</v>
      </c>
    </row>
    <row r="63" ht="15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 t="str">
        <f>M63/C17*100000</f>
        <v>#DIV/0!</v>
      </c>
      <c r="O63" s="71"/>
      <c r="P63" s="28" t="str">
        <f>O63/D17*100000</f>
        <v>#DIV/0!</v>
      </c>
      <c r="Q63" s="71"/>
      <c r="R63" s="28" t="str">
        <f>Q63/E17*100000</f>
        <v>#DIV/0!</v>
      </c>
      <c r="S63" s="61"/>
      <c r="T63" s="28" t="str">
        <f>S63/F17*100000</f>
        <v>#DIV/0!</v>
      </c>
      <c r="U63" s="61"/>
      <c r="V63" s="28" t="str">
        <f>U63/G17*100000</f>
        <v>#DIV/0!</v>
      </c>
      <c r="W63" s="61"/>
      <c r="X63" s="28" t="str">
        <f>W63/H17*100000</f>
        <v>#DIV/0!</v>
      </c>
      <c r="Y63" s="40">
        <f t="shared" ref="Y63:Z63" si="69">((M63+O63+Q63+S63)/1)</f>
        <v>0</v>
      </c>
      <c r="Z63" s="40" t="str">
        <f t="shared" si="69"/>
        <v>#DIV/0!</v>
      </c>
      <c r="AA63" s="13">
        <f t="shared" si="3"/>
        <v>0</v>
      </c>
      <c r="AB63" s="13" t="str">
        <f t="shared" si="4"/>
        <v>#DIV/0!</v>
      </c>
      <c r="AC63" s="37" t="s">
        <v>48</v>
      </c>
    </row>
    <row r="64" ht="18.7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 t="str">
        <f>M64/C17*100000</f>
        <v>#DIV/0!</v>
      </c>
      <c r="O64" s="71"/>
      <c r="P64" s="28" t="str">
        <f>O64/D17*100000</f>
        <v>#DIV/0!</v>
      </c>
      <c r="Q64" s="71"/>
      <c r="R64" s="28" t="str">
        <f>Q64/E17*100000</f>
        <v>#DIV/0!</v>
      </c>
      <c r="S64" s="61"/>
      <c r="T64" s="28" t="str">
        <f>S64/F17*100000</f>
        <v>#DIV/0!</v>
      </c>
      <c r="U64" s="28"/>
      <c r="V64" s="28" t="str">
        <f>U64/G17*100000</f>
        <v>#DIV/0!</v>
      </c>
      <c r="W64" s="61"/>
      <c r="X64" s="28" t="str">
        <f>W64/H17*100000</f>
        <v>#DIV/0!</v>
      </c>
      <c r="Y64" s="40">
        <f t="shared" ref="Y64:Z64" si="70">((M64+O64+Q64+S64)/1)</f>
        <v>0</v>
      </c>
      <c r="Z64" s="40" t="str">
        <f t="shared" si="70"/>
        <v>#DIV/0!</v>
      </c>
      <c r="AA64" s="13">
        <f t="shared" si="3"/>
        <v>0</v>
      </c>
      <c r="AB64" s="13" t="str">
        <f t="shared" si="4"/>
        <v>#DIV/0!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 t="str">
        <f>M65/C17*100000</f>
        <v>#DIV/0!</v>
      </c>
      <c r="O65" s="71"/>
      <c r="P65" s="28" t="str">
        <f>O65/D17*100000</f>
        <v>#DIV/0!</v>
      </c>
      <c r="Q65" s="71"/>
      <c r="R65" s="28" t="str">
        <f>Q65/E17*100000</f>
        <v>#DIV/0!</v>
      </c>
      <c r="S65" s="71"/>
      <c r="T65" s="28" t="str">
        <f>S65/F17*100000</f>
        <v>#DIV/0!</v>
      </c>
      <c r="U65" s="71"/>
      <c r="V65" s="28" t="str">
        <f>U65/G17*100000</f>
        <v>#DIV/0!</v>
      </c>
      <c r="W65" s="61"/>
      <c r="X65" s="28" t="str">
        <f>W65/H17*100000</f>
        <v>#DIV/0!</v>
      </c>
      <c r="Y65" s="40">
        <f t="shared" ref="Y65:Z65" si="71">((M65+O65+Q65+S65)/1)</f>
        <v>0</v>
      </c>
      <c r="Z65" s="40" t="str">
        <f t="shared" si="71"/>
        <v>#DIV/0!</v>
      </c>
      <c r="AA65" s="13">
        <f t="shared" si="3"/>
        <v>0</v>
      </c>
      <c r="AB65" s="13" t="str">
        <f t="shared" si="4"/>
        <v>#DIV/0!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 t="str">
        <f>M66/C17*100000</f>
        <v>#DIV/0!</v>
      </c>
      <c r="O66" s="71"/>
      <c r="P66" s="28" t="str">
        <f>O66/D17*100000</f>
        <v>#DIV/0!</v>
      </c>
      <c r="Q66" s="71"/>
      <c r="R66" s="28" t="str">
        <f>Q66/E17*100000</f>
        <v>#DIV/0!</v>
      </c>
      <c r="S66" s="71"/>
      <c r="T66" s="28" t="str">
        <f>S66/F17*100000</f>
        <v>#DIV/0!</v>
      </c>
      <c r="U66" s="71"/>
      <c r="V66" s="28" t="str">
        <f>U66/G17*100000</f>
        <v>#DIV/0!</v>
      </c>
      <c r="W66" s="61"/>
      <c r="X66" s="28" t="str">
        <f>W66/H17*100000</f>
        <v>#DIV/0!</v>
      </c>
      <c r="Y66" s="40">
        <f t="shared" ref="Y66:Z66" si="72">((M66+O66+Q66+S66)/1)</f>
        <v>0</v>
      </c>
      <c r="Z66" s="40" t="str">
        <f t="shared" si="72"/>
        <v>#DIV/0!</v>
      </c>
      <c r="AA66" s="13">
        <f t="shared" si="3"/>
        <v>0</v>
      </c>
      <c r="AB66" s="13" t="str">
        <f t="shared" si="4"/>
        <v>#DIV/0!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 t="str">
        <f>M67/C17*100000</f>
        <v>#DIV/0!</v>
      </c>
      <c r="O67" s="71"/>
      <c r="P67" s="28" t="str">
        <f>O67/D17*100000</f>
        <v>#DIV/0!</v>
      </c>
      <c r="Q67" s="71"/>
      <c r="R67" s="28" t="str">
        <f>Q67/E17*100000</f>
        <v>#DIV/0!</v>
      </c>
      <c r="S67" s="71"/>
      <c r="T67" s="28" t="str">
        <f>S67/F17*100000</f>
        <v>#DIV/0!</v>
      </c>
      <c r="U67" s="71"/>
      <c r="V67" s="28" t="str">
        <f>U67/G17*100000</f>
        <v>#DIV/0!</v>
      </c>
      <c r="W67" s="61"/>
      <c r="X67" s="28" t="str">
        <f>W67/H17*100000</f>
        <v>#DIV/0!</v>
      </c>
      <c r="Y67" s="40">
        <f t="shared" ref="Y67:Z67" si="73">((M67+O67+Q67+S67)/1)</f>
        <v>0</v>
      </c>
      <c r="Z67" s="40" t="str">
        <f t="shared" si="73"/>
        <v>#DIV/0!</v>
      </c>
      <c r="AA67" s="13">
        <f t="shared" si="3"/>
        <v>0</v>
      </c>
      <c r="AB67" s="13" t="str">
        <f t="shared" si="4"/>
        <v>#DIV/0!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 t="str">
        <f>M68/C11*100000</f>
        <v>#DIV/0!</v>
      </c>
      <c r="O68" s="71"/>
      <c r="P68" s="28" t="str">
        <f>O68/D11*100000</f>
        <v>#DIV/0!</v>
      </c>
      <c r="Q68" s="71"/>
      <c r="R68" s="28" t="str">
        <f>Q68/E11*100000</f>
        <v>#DIV/0!</v>
      </c>
      <c r="S68" s="71"/>
      <c r="T68" s="28" t="str">
        <f>S68/F11*100000</f>
        <v>#DIV/0!</v>
      </c>
      <c r="U68" s="71"/>
      <c r="V68" s="28" t="str">
        <f>U68/G11*100000</f>
        <v>#DIV/0!</v>
      </c>
      <c r="W68" s="61"/>
      <c r="X68" s="28" t="str">
        <f>W68/H11*100000</f>
        <v>#DIV/0!</v>
      </c>
      <c r="Y68" s="40">
        <f t="shared" ref="Y68:Z68" si="74">((M68+O68+Q68+S68)/2)</f>
        <v>0</v>
      </c>
      <c r="Z68" s="40" t="str">
        <f t="shared" si="74"/>
        <v>#DIV/0!</v>
      </c>
      <c r="AA68" s="13">
        <f t="shared" si="3"/>
        <v>0</v>
      </c>
      <c r="AB68" s="13" t="str">
        <f t="shared" si="4"/>
        <v>#DIV/0!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 t="str">
        <f>M69/C11*100000</f>
        <v>#DIV/0!</v>
      </c>
      <c r="O69" s="71"/>
      <c r="P69" s="28" t="str">
        <f>O69/D11*100000</f>
        <v>#DIV/0!</v>
      </c>
      <c r="Q69" s="71"/>
      <c r="R69" s="28" t="str">
        <f>Q69/E11*100000</f>
        <v>#DIV/0!</v>
      </c>
      <c r="S69" s="71"/>
      <c r="T69" s="28" t="str">
        <f>S69/F11*100000</f>
        <v>#DIV/0!</v>
      </c>
      <c r="U69" s="71"/>
      <c r="V69" s="28" t="str">
        <f>U69/G11*100000</f>
        <v>#DIV/0!</v>
      </c>
      <c r="W69" s="61"/>
      <c r="X69" s="28" t="str">
        <f>W69/H11*100000</f>
        <v>#DIV/0!</v>
      </c>
      <c r="Y69" s="13">
        <f t="shared" ref="Y69:Z69" si="75">((M69+O69+Q69+S69)/2)</f>
        <v>0</v>
      </c>
      <c r="Z69" s="13" t="str">
        <f t="shared" si="75"/>
        <v>#DIV/0!</v>
      </c>
      <c r="AA69" s="13">
        <f t="shared" si="3"/>
        <v>0</v>
      </c>
      <c r="AB69" s="13" t="str">
        <f t="shared" si="4"/>
        <v>#DIV/0!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 t="str">
        <f>M70/C7*100000</f>
        <v>#DIV/0!</v>
      </c>
      <c r="O70" s="77"/>
      <c r="P70" s="39" t="str">
        <f>O70/D7*100000</f>
        <v>#DIV/0!</v>
      </c>
      <c r="Q70" s="77"/>
      <c r="R70" s="39" t="str">
        <f>Q70/E7*100000</f>
        <v>#DIV/0!</v>
      </c>
      <c r="S70" s="77"/>
      <c r="T70" s="39" t="str">
        <f>S70/F7*100000</f>
        <v>#DIV/0!</v>
      </c>
      <c r="U70" s="77"/>
      <c r="V70" s="39" t="str">
        <f>U70/G7*100000</f>
        <v>#DIV/0!</v>
      </c>
      <c r="W70" s="76"/>
      <c r="X70" s="39" t="str">
        <f>W70/H7*100000</f>
        <v>#DIV/0!</v>
      </c>
      <c r="Y70" s="40">
        <f t="shared" ref="Y70:Z70" si="76">((M70+O70+Q70+S70)/1)</f>
        <v>0</v>
      </c>
      <c r="Z70" s="40" t="str">
        <f t="shared" si="76"/>
        <v>#DIV/0!</v>
      </c>
      <c r="AA70" s="40">
        <f t="shared" si="3"/>
        <v>0</v>
      </c>
      <c r="AB70" s="40" t="str">
        <f t="shared" si="4"/>
        <v>#DIV/0!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1:H1"/>
    <mergeCell ref="B2:H2"/>
    <mergeCell ref="B3:H3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50.25" customHeight="1">
      <c r="B1" s="1"/>
      <c r="C1" s="2" t="s">
        <v>132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137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/>
      <c r="N3" s="13" t="str">
        <f>M3/C7*1000</f>
        <v>#DIV/0!</v>
      </c>
      <c r="O3" s="12"/>
      <c r="P3" s="13" t="str">
        <f>O3/D7*1000</f>
        <v>#DIV/0!</v>
      </c>
      <c r="Q3" s="47"/>
      <c r="R3" s="13" t="str">
        <f>Q3/E7*1000</f>
        <v>#DIV/0!</v>
      </c>
      <c r="S3" s="12"/>
      <c r="T3" s="13" t="str">
        <f>S3/F7*1000</f>
        <v>#DIV/0!</v>
      </c>
      <c r="U3" s="12"/>
      <c r="V3" s="13" t="str">
        <f>U3/G7*1000</f>
        <v>#DIV/0!</v>
      </c>
      <c r="W3" s="12"/>
      <c r="X3" s="13" t="str">
        <f>W3/H7*1000</f>
        <v>#DIV/0!</v>
      </c>
      <c r="Y3" s="13">
        <f t="shared" ref="Y3:Z3" si="1">((M3+O3+Q3+S3)/4)</f>
        <v>0</v>
      </c>
      <c r="Z3" s="13" t="str">
        <f t="shared" si="1"/>
        <v>#DIV/0!</v>
      </c>
      <c r="AA3" s="13">
        <f t="shared" ref="AA3:AA70" si="3">((S3+U3)/2)</f>
        <v>0</v>
      </c>
      <c r="AB3" s="13" t="str">
        <f t="shared" ref="AB3:AB70" si="4">(V3+X3)/2</f>
        <v>#DIV/0!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/>
      <c r="N4" s="13" t="str">
        <f>M4/C7*1000</f>
        <v>#DIV/0!</v>
      </c>
      <c r="O4" s="12"/>
      <c r="P4" s="13" t="str">
        <f>O4/D7*1000</f>
        <v>#DIV/0!</v>
      </c>
      <c r="Q4" s="47"/>
      <c r="R4" s="13" t="str">
        <f>Q4/E7*1000</f>
        <v>#DIV/0!</v>
      </c>
      <c r="S4" s="12"/>
      <c r="T4" s="13" t="str">
        <f>S4/F7*1000</f>
        <v>#DIV/0!</v>
      </c>
      <c r="U4" s="12"/>
      <c r="V4" s="13" t="str">
        <f>U4/G7*1000</f>
        <v>#DIV/0!</v>
      </c>
      <c r="W4" s="12"/>
      <c r="X4" s="13" t="str">
        <f>W4/H7*1000</f>
        <v>#DIV/0!</v>
      </c>
      <c r="Y4" s="13">
        <f t="shared" ref="Y4:Z4" si="2">((M4+O4+Q4+S4)/4)</f>
        <v>0</v>
      </c>
      <c r="Z4" s="13" t="str">
        <f t="shared" si="2"/>
        <v>#DIV/0!</v>
      </c>
      <c r="AA4" s="13">
        <f t="shared" si="3"/>
        <v>0</v>
      </c>
      <c r="AB4" s="13" t="str">
        <f t="shared" si="4"/>
        <v>#DIV/0!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/>
      <c r="N5" s="13" t="str">
        <f>M5/C12*100000</f>
        <v>#DIV/0!</v>
      </c>
      <c r="O5" s="12"/>
      <c r="P5" s="13" t="str">
        <f>O5/D12*100000</f>
        <v>#DIV/0!</v>
      </c>
      <c r="Q5" s="47"/>
      <c r="R5" s="13" t="str">
        <f>Q5/E12*100000</f>
        <v>#DIV/0!</v>
      </c>
      <c r="S5" s="12"/>
      <c r="T5" s="13" t="str">
        <f>S5/F12*100000</f>
        <v>#DIV/0!</v>
      </c>
      <c r="U5" s="12"/>
      <c r="V5" s="13" t="str">
        <f>U5/G12*100000</f>
        <v>#DIV/0!</v>
      </c>
      <c r="W5" s="12"/>
      <c r="X5" s="13" t="str">
        <f>W5/H12*100000</f>
        <v>#DIV/0!</v>
      </c>
      <c r="Y5" s="13">
        <f t="shared" ref="Y5:Z5" si="5">((M5+O5+Q5+S5)/4)</f>
        <v>0</v>
      </c>
      <c r="Z5" s="13" t="str">
        <f t="shared" si="5"/>
        <v>#DIV/0!</v>
      </c>
      <c r="AA5" s="13">
        <f t="shared" si="3"/>
        <v>0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 t="str">
        <f>M6/M4*1000</f>
        <v>#DIV/0!</v>
      </c>
      <c r="O6" s="12"/>
      <c r="P6" s="13" t="str">
        <f>O6/O4*1000</f>
        <v>#DIV/0!</v>
      </c>
      <c r="Q6" s="47"/>
      <c r="R6" s="13" t="str">
        <f>Q6/Q4*1000</f>
        <v>#DIV/0!</v>
      </c>
      <c r="S6" s="12"/>
      <c r="T6" s="13" t="str">
        <f>S6/S4*1000</f>
        <v>#DIV/0!</v>
      </c>
      <c r="U6" s="12"/>
      <c r="V6" s="13" t="str">
        <f>U6/U4*1000</f>
        <v>#DIV/0!</v>
      </c>
      <c r="W6" s="12"/>
      <c r="X6" s="13" t="str">
        <f>W6/W4*1000</f>
        <v>#DIV/0!</v>
      </c>
      <c r="Y6" s="13">
        <f t="shared" ref="Y6:Z6" si="6">((M6+O6+Q6+S6)/4)</f>
        <v>0</v>
      </c>
      <c r="Z6" s="13" t="str">
        <f t="shared" si="6"/>
        <v>#DIV/0!</v>
      </c>
      <c r="AA6" s="13">
        <f t="shared" si="3"/>
        <v>0</v>
      </c>
      <c r="AB6" s="13" t="str">
        <f t="shared" si="4"/>
        <v>#DIV/0!</v>
      </c>
      <c r="AC6" s="14" t="s">
        <v>22</v>
      </c>
    </row>
    <row r="7" ht="14.25" customHeight="1">
      <c r="A7" s="5"/>
      <c r="B7" s="55" t="s">
        <v>35</v>
      </c>
      <c r="C7" s="56"/>
      <c r="D7" s="56"/>
      <c r="E7" s="56"/>
      <c r="F7" s="57"/>
      <c r="G7" s="57"/>
      <c r="H7" s="58"/>
      <c r="I7" s="5"/>
      <c r="J7" s="5"/>
      <c r="K7" s="5"/>
      <c r="L7" s="11" t="s">
        <v>36</v>
      </c>
      <c r="M7" s="12"/>
      <c r="N7" s="59"/>
      <c r="O7" s="12"/>
      <c r="P7" s="59"/>
      <c r="Q7" s="47"/>
      <c r="R7" s="59"/>
      <c r="S7" s="12"/>
      <c r="T7" s="59"/>
      <c r="U7" s="12"/>
      <c r="V7" s="59"/>
      <c r="W7" s="12"/>
      <c r="X7" s="59"/>
      <c r="Y7" s="13">
        <f t="shared" ref="Y7:Z7" si="7">((M7+O7+Q7+S7)/4)</f>
        <v>0</v>
      </c>
      <c r="Z7" s="13">
        <f t="shared" si="7"/>
        <v>0</v>
      </c>
      <c r="AA7" s="13">
        <f t="shared" si="3"/>
        <v>0</v>
      </c>
      <c r="AB7" s="13">
        <f t="shared" si="4"/>
        <v>0</v>
      </c>
      <c r="AC7" s="14" t="s">
        <v>37</v>
      </c>
    </row>
    <row r="8" ht="14.25" customHeight="1">
      <c r="A8" s="5"/>
      <c r="B8" s="55" t="s">
        <v>38</v>
      </c>
      <c r="C8" s="57"/>
      <c r="D8" s="53"/>
      <c r="E8" s="57"/>
      <c r="F8" s="57"/>
      <c r="G8" s="57"/>
      <c r="H8" s="58"/>
      <c r="I8" s="5"/>
      <c r="J8" s="5"/>
      <c r="K8" s="5"/>
      <c r="L8" s="11" t="s">
        <v>39</v>
      </c>
      <c r="M8" s="12"/>
      <c r="N8" s="13" t="str">
        <f>M8/C15*1000</f>
        <v>#DIV/0!</v>
      </c>
      <c r="O8" s="12"/>
      <c r="P8" s="13" t="str">
        <f>O8/D15*1000</f>
        <v>#DIV/0!</v>
      </c>
      <c r="Q8" s="47"/>
      <c r="R8" s="13" t="str">
        <f>Q8/E15*1000</f>
        <v>#DIV/0!</v>
      </c>
      <c r="S8" s="12"/>
      <c r="T8" s="13" t="str">
        <f>S8/F15*1000</f>
        <v>#DIV/0!</v>
      </c>
      <c r="U8" s="12"/>
      <c r="V8" s="13" t="str">
        <f>U8/G15*1000</f>
        <v>#DIV/0!</v>
      </c>
      <c r="W8" s="12"/>
      <c r="X8" s="13" t="str">
        <f>W8/H15*1000</f>
        <v>#DIV/0!</v>
      </c>
      <c r="Y8" s="13">
        <f t="shared" ref="Y8:Z8" si="8">((M8+O8+Q8+S8)/4)</f>
        <v>0</v>
      </c>
      <c r="Z8" s="13" t="str">
        <f t="shared" si="8"/>
        <v>#DIV/0!</v>
      </c>
      <c r="AA8" s="13">
        <f t="shared" si="3"/>
        <v>0</v>
      </c>
      <c r="AB8" s="13" t="str">
        <f t="shared" si="4"/>
        <v>#DIV/0!</v>
      </c>
      <c r="AC8" s="14" t="s">
        <v>37</v>
      </c>
    </row>
    <row r="9" ht="14.25" customHeight="1">
      <c r="A9" s="5"/>
      <c r="B9" s="55" t="s">
        <v>40</v>
      </c>
      <c r="C9" s="57"/>
      <c r="D9" s="53"/>
      <c r="E9" s="57"/>
      <c r="F9" s="57"/>
      <c r="G9" s="57"/>
      <c r="H9" s="58"/>
      <c r="I9" s="5"/>
      <c r="J9" s="5"/>
      <c r="K9" s="5"/>
      <c r="L9" s="11" t="s">
        <v>41</v>
      </c>
      <c r="M9" s="12"/>
      <c r="N9" s="13" t="str">
        <f>M9/C7*100000</f>
        <v>#DIV/0!</v>
      </c>
      <c r="O9" s="12"/>
      <c r="P9" s="13" t="str">
        <f>O9/D7*100000</f>
        <v>#DIV/0!</v>
      </c>
      <c r="Q9" s="47"/>
      <c r="R9" s="13" t="str">
        <f>Q9/E7*100000</f>
        <v>#DIV/0!</v>
      </c>
      <c r="S9" s="12"/>
      <c r="T9" s="13" t="str">
        <f>S9/F7*100000</f>
        <v>#DIV/0!</v>
      </c>
      <c r="U9" s="12"/>
      <c r="V9" s="13" t="str">
        <f>U9/G7*100000</f>
        <v>#DIV/0!</v>
      </c>
      <c r="W9" s="12"/>
      <c r="X9" s="13" t="str">
        <f>W9/H7*100000</f>
        <v>#DIV/0!</v>
      </c>
      <c r="Y9" s="13">
        <f t="shared" ref="Y9:Z9" si="9">((M9+O9+Q9+S9)/4)</f>
        <v>0</v>
      </c>
      <c r="Z9" s="13" t="str">
        <f t="shared" si="9"/>
        <v>#DIV/0!</v>
      </c>
      <c r="AA9" s="13">
        <f t="shared" si="3"/>
        <v>0</v>
      </c>
      <c r="AB9" s="13" t="str">
        <f t="shared" si="4"/>
        <v>#DIV/0!</v>
      </c>
      <c r="AC9" s="14" t="s">
        <v>22</v>
      </c>
    </row>
    <row r="10" ht="14.25" customHeight="1">
      <c r="A10" s="5"/>
      <c r="B10" s="55" t="s">
        <v>42</v>
      </c>
      <c r="C10" s="57"/>
      <c r="D10" s="57"/>
      <c r="E10" s="57"/>
      <c r="F10" s="60"/>
      <c r="G10" s="53"/>
      <c r="H10" s="58"/>
      <c r="I10" s="5"/>
      <c r="J10" s="5"/>
      <c r="K10" s="5"/>
      <c r="L10" s="11" t="s">
        <v>43</v>
      </c>
      <c r="M10" s="12"/>
      <c r="N10" s="13" t="str">
        <f>M10/C15*100000</f>
        <v>#DIV/0!</v>
      </c>
      <c r="O10" s="12"/>
      <c r="P10" s="13" t="str">
        <f t="shared" ref="P10:P11" si="11">O10/D15*100000</f>
        <v>#DIV/0!</v>
      </c>
      <c r="Q10" s="47"/>
      <c r="R10" s="13" t="str">
        <f>Q10/E15*100000</f>
        <v>#DIV/0!</v>
      </c>
      <c r="S10" s="12"/>
      <c r="T10" s="13" t="str">
        <f>S10/F15*100000</f>
        <v>#DIV/0!</v>
      </c>
      <c r="U10" s="12"/>
      <c r="V10" s="13" t="str">
        <f>U10/G15*100000</f>
        <v>#DIV/0!</v>
      </c>
      <c r="W10" s="12"/>
      <c r="X10" s="13" t="str">
        <f>W10/H15*100000</f>
        <v>#DIV/0!</v>
      </c>
      <c r="Y10" s="13">
        <f t="shared" ref="Y10:Z10" si="10">((M10+O10+Q10+S10)/4)</f>
        <v>0</v>
      </c>
      <c r="Z10" s="13" t="str">
        <f t="shared" si="10"/>
        <v>#DIV/0!</v>
      </c>
      <c r="AA10" s="13">
        <f t="shared" si="3"/>
        <v>0</v>
      </c>
      <c r="AB10" s="13" t="str">
        <f t="shared" si="4"/>
        <v>#DIV/0!</v>
      </c>
      <c r="AC10" s="14" t="s">
        <v>22</v>
      </c>
    </row>
    <row r="11" ht="14.25" customHeight="1">
      <c r="A11" s="5"/>
      <c r="B11" s="55" t="s">
        <v>44</v>
      </c>
      <c r="C11" s="57"/>
      <c r="D11" s="57"/>
      <c r="E11" s="57"/>
      <c r="F11" s="60"/>
      <c r="G11" s="53"/>
      <c r="H11" s="58"/>
      <c r="I11" s="5"/>
      <c r="J11" s="5"/>
      <c r="K11" s="5"/>
      <c r="L11" s="11" t="s">
        <v>45</v>
      </c>
      <c r="M11" s="12"/>
      <c r="N11" s="13" t="str">
        <f>M11/C15*100000</f>
        <v>#DIV/0!</v>
      </c>
      <c r="O11" s="12"/>
      <c r="P11" s="13" t="str">
        <f t="shared" si="11"/>
        <v>#DIV/0!</v>
      </c>
      <c r="Q11" s="47"/>
      <c r="R11" s="13" t="str">
        <f>Q11/F16*100000</f>
        <v>#DIV/0!</v>
      </c>
      <c r="S11" s="12"/>
      <c r="T11" s="13" t="str">
        <f>S11/F15*100000</f>
        <v>#DIV/0!</v>
      </c>
      <c r="U11" s="12"/>
      <c r="V11" s="13" t="str">
        <f>U11/G15*100000</f>
        <v>#DIV/0!</v>
      </c>
      <c r="W11" s="12"/>
      <c r="X11" s="13" t="str">
        <f>W11/H15*100000</f>
        <v>#DIV/0!</v>
      </c>
      <c r="Y11" s="13">
        <f t="shared" ref="Y11:Z11" si="12">((M11+O11+Q11+S11)/4)</f>
        <v>0</v>
      </c>
      <c r="Z11" s="13" t="str">
        <f t="shared" si="12"/>
        <v>#DIV/0!</v>
      </c>
      <c r="AA11" s="13">
        <f t="shared" si="3"/>
        <v>0</v>
      </c>
      <c r="AB11" s="13" t="str">
        <f t="shared" si="4"/>
        <v>#DIV/0!</v>
      </c>
      <c r="AC11" s="14" t="s">
        <v>22</v>
      </c>
    </row>
    <row r="12" ht="14.25" customHeight="1">
      <c r="A12" s="5"/>
      <c r="B12" s="55" t="s">
        <v>46</v>
      </c>
      <c r="C12" s="53"/>
      <c r="D12" s="57"/>
      <c r="E12" s="53"/>
      <c r="F12" s="53"/>
      <c r="G12" s="57"/>
      <c r="H12" s="58"/>
      <c r="I12" s="5"/>
      <c r="J12" s="5"/>
      <c r="K12" s="5"/>
      <c r="L12" s="11" t="s">
        <v>47</v>
      </c>
      <c r="M12" s="12"/>
      <c r="N12" s="13" t="str">
        <f>M12/C7*100000</f>
        <v>#DIV/0!</v>
      </c>
      <c r="O12" s="12"/>
      <c r="P12" s="13" t="str">
        <f>O12/D7*100000</f>
        <v>#DIV/0!</v>
      </c>
      <c r="Q12" s="47"/>
      <c r="R12" s="13" t="str">
        <f>Q12/E7*100000</f>
        <v>#DIV/0!</v>
      </c>
      <c r="S12" s="12"/>
      <c r="T12" s="13" t="str">
        <f>S12/F7*100000</f>
        <v>#DIV/0!</v>
      </c>
      <c r="U12" s="12"/>
      <c r="V12" s="13" t="str">
        <f>U12/G7*100000</f>
        <v>#DIV/0!</v>
      </c>
      <c r="W12" s="12"/>
      <c r="X12" s="13" t="str">
        <f>W12/H7*100000</f>
        <v>#DIV/0!</v>
      </c>
      <c r="Y12" s="13">
        <f t="shared" ref="Y12:Z12" si="13">((M12+O12+Q12+S12)/4)</f>
        <v>0</v>
      </c>
      <c r="Z12" s="13" t="str">
        <f t="shared" si="13"/>
        <v>#DIV/0!</v>
      </c>
      <c r="AA12" s="13">
        <f t="shared" si="3"/>
        <v>0</v>
      </c>
      <c r="AB12" s="13" t="str">
        <f t="shared" si="4"/>
        <v>#DIV/0!</v>
      </c>
      <c r="AC12" s="14" t="s">
        <v>48</v>
      </c>
    </row>
    <row r="13" ht="14.25" customHeight="1">
      <c r="A13" s="5"/>
      <c r="B13" s="55" t="s">
        <v>49</v>
      </c>
      <c r="C13" s="53"/>
      <c r="D13" s="57"/>
      <c r="E13" s="53"/>
      <c r="F13" s="53"/>
      <c r="G13" s="57"/>
      <c r="H13" s="58"/>
      <c r="I13" s="5"/>
      <c r="J13" s="5"/>
      <c r="K13" s="5"/>
      <c r="L13" s="11" t="s">
        <v>50</v>
      </c>
      <c r="M13" s="12"/>
      <c r="N13" s="13" t="str">
        <f>M13/C11*100000</f>
        <v>#DIV/0!</v>
      </c>
      <c r="O13" s="12"/>
      <c r="P13" s="13" t="str">
        <f>O13/D11*100000</f>
        <v>#DIV/0!</v>
      </c>
      <c r="Q13" s="47"/>
      <c r="R13" s="13" t="str">
        <f>Q13/E11*100000</f>
        <v>#DIV/0!</v>
      </c>
      <c r="S13" s="12"/>
      <c r="T13" s="13" t="str">
        <f>S13/F11*100000</f>
        <v>#DIV/0!</v>
      </c>
      <c r="U13" s="12"/>
      <c r="V13" s="13" t="str">
        <f>U13/G11*100000</f>
        <v>#DIV/0!</v>
      </c>
      <c r="W13" s="12"/>
      <c r="X13" s="13" t="str">
        <f>W13/H11*100000</f>
        <v>#DIV/0!</v>
      </c>
      <c r="Y13" s="13">
        <f t="shared" ref="Y13:Z13" si="14">((M13+O13+Q13+S13)/4)</f>
        <v>0</v>
      </c>
      <c r="Z13" s="13" t="str">
        <f t="shared" si="14"/>
        <v>#DIV/0!</v>
      </c>
      <c r="AA13" s="13">
        <f t="shared" si="3"/>
        <v>0</v>
      </c>
      <c r="AB13" s="13" t="str">
        <f t="shared" si="4"/>
        <v>#DIV/0!</v>
      </c>
      <c r="AC13" s="14" t="s">
        <v>48</v>
      </c>
    </row>
    <row r="14" ht="14.25" customHeight="1">
      <c r="A14" s="5"/>
      <c r="B14" s="55" t="s">
        <v>51</v>
      </c>
      <c r="C14" s="53"/>
      <c r="D14" s="53"/>
      <c r="E14" s="53"/>
      <c r="F14" s="53"/>
      <c r="G14" s="53"/>
      <c r="H14" s="58"/>
      <c r="I14" s="5"/>
      <c r="J14" s="5"/>
      <c r="K14" s="5"/>
      <c r="L14" s="11" t="s">
        <v>52</v>
      </c>
      <c r="M14" s="12"/>
      <c r="N14" s="13" t="str">
        <f>M14/M4*1000</f>
        <v>#DIV/0!</v>
      </c>
      <c r="O14" s="12"/>
      <c r="P14" s="13" t="str">
        <f>O14/O4*1000</f>
        <v>#DIV/0!</v>
      </c>
      <c r="Q14" s="47"/>
      <c r="R14" s="13" t="str">
        <f>Q14/Q4*1000</f>
        <v>#DIV/0!</v>
      </c>
      <c r="S14" s="12"/>
      <c r="T14" s="13" t="str">
        <f>S14/S4*1000</f>
        <v>#DIV/0!</v>
      </c>
      <c r="U14" s="12"/>
      <c r="V14" s="13" t="str">
        <f>U14/U4*1000</f>
        <v>#DIV/0!</v>
      </c>
      <c r="W14" s="12"/>
      <c r="X14" s="13" t="str">
        <f>W14/W4*1000</f>
        <v>#DIV/0!</v>
      </c>
      <c r="Y14" s="13">
        <f t="shared" ref="Y14:Z14" si="15">((M14+O14+Q14+S14)/4)</f>
        <v>0</v>
      </c>
      <c r="Z14" s="13" t="str">
        <f t="shared" si="15"/>
        <v>#DIV/0!</v>
      </c>
      <c r="AA14" s="13">
        <f t="shared" si="3"/>
        <v>0</v>
      </c>
      <c r="AB14" s="13" t="str">
        <f t="shared" si="4"/>
        <v>#DIV/0!</v>
      </c>
      <c r="AC14" s="14" t="s">
        <v>22</v>
      </c>
    </row>
    <row r="15" ht="14.25" customHeight="1">
      <c r="A15" s="5"/>
      <c r="B15" s="55" t="s">
        <v>53</v>
      </c>
      <c r="C15" s="53"/>
      <c r="D15" s="53"/>
      <c r="E15" s="53"/>
      <c r="F15" s="53"/>
      <c r="G15" s="53"/>
      <c r="H15" s="58"/>
      <c r="I15" s="5"/>
      <c r="J15" s="5"/>
      <c r="K15" s="5"/>
      <c r="L15" s="11" t="s">
        <v>54</v>
      </c>
      <c r="M15" s="12"/>
      <c r="N15" s="13" t="str">
        <f>M15/C15*100000</f>
        <v>#DIV/0!</v>
      </c>
      <c r="O15" s="12"/>
      <c r="P15" s="13" t="str">
        <f>O15/D15*100000</f>
        <v>#DIV/0!</v>
      </c>
      <c r="Q15" s="47"/>
      <c r="R15" s="13" t="str">
        <f>Q15/E15*100000</f>
        <v>#DIV/0!</v>
      </c>
      <c r="S15" s="12"/>
      <c r="T15" s="13" t="str">
        <f>S15/F15*100000</f>
        <v>#DIV/0!</v>
      </c>
      <c r="U15" s="12"/>
      <c r="V15" s="13" t="str">
        <f>U15/G15*100000</f>
        <v>#DIV/0!</v>
      </c>
      <c r="W15" s="12"/>
      <c r="X15" s="13" t="str">
        <f>W15/H15*100000</f>
        <v>#DIV/0!</v>
      </c>
      <c r="Y15" s="13">
        <f t="shared" ref="Y15:Z15" si="16">((M15+O15+Q15+S15)/4)</f>
        <v>0</v>
      </c>
      <c r="Z15" s="13" t="str">
        <f t="shared" si="16"/>
        <v>#DIV/0!</v>
      </c>
      <c r="AA15" s="13">
        <f t="shared" si="3"/>
        <v>0</v>
      </c>
      <c r="AB15" s="13" t="str">
        <f t="shared" si="4"/>
        <v>#DIV/0!</v>
      </c>
      <c r="AC15" s="14" t="s">
        <v>22</v>
      </c>
    </row>
    <row r="16" ht="14.25" customHeight="1">
      <c r="A16" s="5"/>
      <c r="B16" s="55" t="s">
        <v>55</v>
      </c>
      <c r="C16" s="53"/>
      <c r="D16" s="53"/>
      <c r="E16" s="53"/>
      <c r="F16" s="53"/>
      <c r="G16" s="53"/>
      <c r="H16" s="58"/>
      <c r="I16" s="5"/>
      <c r="J16" s="5"/>
      <c r="K16" s="5"/>
      <c r="L16" s="11" t="s">
        <v>56</v>
      </c>
      <c r="M16" s="12"/>
      <c r="N16" s="13" t="str">
        <f>M16/M4*100</f>
        <v>#DIV/0!</v>
      </c>
      <c r="O16" s="12"/>
      <c r="P16" s="13" t="str">
        <f>O16/O4*100</f>
        <v>#DIV/0!</v>
      </c>
      <c r="Q16" s="47"/>
      <c r="R16" s="13" t="str">
        <f>Q16/Q4*100</f>
        <v>#DIV/0!</v>
      </c>
      <c r="S16" s="12"/>
      <c r="T16" s="13" t="str">
        <f>S16/S4*100</f>
        <v>#DIV/0!</v>
      </c>
      <c r="U16" s="12"/>
      <c r="V16" s="13" t="str">
        <f>U16/U4*100</f>
        <v>#DIV/0!</v>
      </c>
      <c r="W16" s="12"/>
      <c r="X16" s="13" t="str">
        <f>W16/W4*100</f>
        <v>#DIV/0!</v>
      </c>
      <c r="Y16" s="13">
        <f t="shared" ref="Y16:Z16" si="17">((M16+O16+Q16+S16)/4)</f>
        <v>0</v>
      </c>
      <c r="Z16" s="13" t="str">
        <f t="shared" si="17"/>
        <v>#DIV/0!</v>
      </c>
      <c r="AA16" s="13">
        <f t="shared" si="3"/>
        <v>0</v>
      </c>
      <c r="AB16" s="13" t="str">
        <f t="shared" si="4"/>
        <v>#DIV/0!</v>
      </c>
      <c r="AC16" s="14" t="s">
        <v>24</v>
      </c>
    </row>
    <row r="17" ht="14.25" customHeight="1">
      <c r="A17" s="5"/>
      <c r="B17" s="55" t="s">
        <v>57</v>
      </c>
      <c r="C17" s="53"/>
      <c r="D17" s="53"/>
      <c r="E17" s="53"/>
      <c r="F17" s="53"/>
      <c r="G17" s="53"/>
      <c r="H17" s="58"/>
      <c r="I17" s="5"/>
      <c r="J17" s="5"/>
      <c r="K17" s="5"/>
      <c r="L17" s="11" t="s">
        <v>58</v>
      </c>
      <c r="M17" s="12"/>
      <c r="N17" s="13" t="str">
        <f>M17/M4*100</f>
        <v>#DIV/0!</v>
      </c>
      <c r="O17" s="12"/>
      <c r="P17" s="13" t="str">
        <f>O17/O4*100</f>
        <v>#DIV/0!</v>
      </c>
      <c r="Q17" s="47"/>
      <c r="R17" s="13" t="str">
        <f>Q17/Q4*100</f>
        <v>#DIV/0!</v>
      </c>
      <c r="S17" s="12"/>
      <c r="T17" s="13" t="str">
        <f>S17/S4*100</f>
        <v>#DIV/0!</v>
      </c>
      <c r="U17" s="12"/>
      <c r="V17" s="13" t="str">
        <f>U17/U4*100</f>
        <v>#DIV/0!</v>
      </c>
      <c r="W17" s="12"/>
      <c r="X17" s="13" t="str">
        <f>W17/W4*100</f>
        <v>#DIV/0!</v>
      </c>
      <c r="Y17" s="13">
        <f t="shared" ref="Y17:Z17" si="18">((M17+O17+Q17+S17)/4)</f>
        <v>0</v>
      </c>
      <c r="Z17" s="13" t="str">
        <f t="shared" si="18"/>
        <v>#DIV/0!</v>
      </c>
      <c r="AA17" s="13">
        <f t="shared" si="3"/>
        <v>0</v>
      </c>
      <c r="AB17" s="13" t="str">
        <f t="shared" si="4"/>
        <v>#DIV/0!</v>
      </c>
      <c r="AC17" s="14" t="s">
        <v>24</v>
      </c>
    </row>
    <row r="18" ht="14.25" customHeight="1">
      <c r="A18" s="5"/>
      <c r="B18" s="55" t="s">
        <v>59</v>
      </c>
      <c r="C18" s="53"/>
      <c r="D18" s="53"/>
      <c r="E18" s="53"/>
      <c r="F18" s="53"/>
      <c r="G18" s="53"/>
      <c r="H18" s="58"/>
      <c r="I18" s="5"/>
      <c r="J18" s="5"/>
      <c r="K18" s="5"/>
      <c r="L18" s="11" t="s">
        <v>60</v>
      </c>
      <c r="M18" s="61"/>
      <c r="N18" s="28" t="str">
        <f>M18/C15*1000</f>
        <v>#DIV/0!</v>
      </c>
      <c r="O18" s="12"/>
      <c r="P18" s="28" t="str">
        <f>O18/D15*1000</f>
        <v>#DIV/0!</v>
      </c>
      <c r="Q18" s="47"/>
      <c r="R18" s="28" t="str">
        <f>Q18/E15*1000</f>
        <v>#DIV/0!</v>
      </c>
      <c r="S18" s="61"/>
      <c r="T18" s="28" t="str">
        <f>S18/F15*1000</f>
        <v>#DIV/0!</v>
      </c>
      <c r="U18" s="61"/>
      <c r="V18" s="28" t="str">
        <f>U18/G15*1000</f>
        <v>#DIV/0!</v>
      </c>
      <c r="W18" s="61"/>
      <c r="X18" s="28" t="str">
        <f>W18/H15*1000</f>
        <v>#DIV/0!</v>
      </c>
      <c r="Y18" s="13">
        <f t="shared" ref="Y18:Z18" si="19">((M18+O18+Q18+S18)/4)</f>
        <v>0</v>
      </c>
      <c r="Z18" s="13" t="str">
        <f t="shared" si="19"/>
        <v>#DIV/0!</v>
      </c>
      <c r="AA18" s="13">
        <f t="shared" si="3"/>
        <v>0</v>
      </c>
      <c r="AB18" s="13" t="str">
        <f t="shared" si="4"/>
        <v>#DIV/0!</v>
      </c>
      <c r="AC18" s="14" t="s">
        <v>48</v>
      </c>
    </row>
    <row r="19" ht="14.25" customHeight="1">
      <c r="A19" s="5"/>
      <c r="B19" s="55" t="s">
        <v>61</v>
      </c>
      <c r="C19" s="53"/>
      <c r="D19" s="53"/>
      <c r="E19" s="53"/>
      <c r="F19" s="53"/>
      <c r="G19" s="53"/>
      <c r="H19" s="58"/>
      <c r="I19" s="5"/>
      <c r="J19" s="5"/>
      <c r="K19" s="5"/>
      <c r="L19" s="11" t="s">
        <v>62</v>
      </c>
      <c r="M19" s="12"/>
      <c r="N19" s="13" t="str">
        <f>M19/M4*100</f>
        <v>#DIV/0!</v>
      </c>
      <c r="O19" s="12"/>
      <c r="P19" s="13" t="str">
        <f>O19/O4*100</f>
        <v>#DIV/0!</v>
      </c>
      <c r="Q19" s="47"/>
      <c r="R19" s="13" t="str">
        <f>Q19/Q4*100</f>
        <v>#DIV/0!</v>
      </c>
      <c r="S19" s="12"/>
      <c r="T19" s="13" t="str">
        <f>S19/S4*100</f>
        <v>#DIV/0!</v>
      </c>
      <c r="U19" s="12"/>
      <c r="V19" s="13" t="str">
        <f>U19/U4*100</f>
        <v>#DIV/0!</v>
      </c>
      <c r="W19" s="12"/>
      <c r="X19" s="13" t="str">
        <f>W19/W4*100</f>
        <v>#DIV/0!</v>
      </c>
      <c r="Y19" s="13">
        <f t="shared" ref="Y19:Z19" si="20">((M19+O19+Q19+S19)/4)</f>
        <v>0</v>
      </c>
      <c r="Z19" s="13" t="str">
        <f t="shared" si="20"/>
        <v>#DIV/0!</v>
      </c>
      <c r="AA19" s="13">
        <f t="shared" si="3"/>
        <v>0</v>
      </c>
      <c r="AB19" s="13" t="str">
        <f t="shared" si="4"/>
        <v>#DIV/0!</v>
      </c>
      <c r="AC19" s="14" t="s">
        <v>63</v>
      </c>
    </row>
    <row r="20" ht="14.25" customHeight="1">
      <c r="A20" s="5"/>
      <c r="B20" s="55" t="s">
        <v>64</v>
      </c>
      <c r="C20" s="53"/>
      <c r="D20" s="57"/>
      <c r="E20" s="53"/>
      <c r="F20" s="53"/>
      <c r="G20" s="53"/>
      <c r="H20" s="58"/>
      <c r="I20" s="5"/>
      <c r="J20" s="5"/>
      <c r="K20" s="5"/>
      <c r="L20" s="11" t="s">
        <v>65</v>
      </c>
      <c r="M20" s="12"/>
      <c r="N20" s="13" t="str">
        <f t="shared" ref="N20:N21" si="22">M20/C20*1000</f>
        <v>#DIV/0!</v>
      </c>
      <c r="O20" s="12"/>
      <c r="P20" s="13" t="str">
        <f t="shared" ref="P20:P21" si="23">O20/D20*1000</f>
        <v>#DIV/0!</v>
      </c>
      <c r="Q20" s="47"/>
      <c r="R20" s="13" t="str">
        <f t="shared" ref="R20:R21" si="24">Q20/E20*1000</f>
        <v>#DIV/0!</v>
      </c>
      <c r="S20" s="12"/>
      <c r="T20" s="13" t="str">
        <f t="shared" ref="T20:T21" si="25">S20/F20*1000</f>
        <v>#DIV/0!</v>
      </c>
      <c r="U20" s="12"/>
      <c r="V20" s="13" t="str">
        <f t="shared" ref="V20:V21" si="26">U20/G20*1000</f>
        <v>#DIV/0!</v>
      </c>
      <c r="W20" s="12"/>
      <c r="X20" s="13" t="str">
        <f t="shared" ref="X20:X21" si="27">W20/H20*1000</f>
        <v>#DIV/0!</v>
      </c>
      <c r="Y20" s="13">
        <f t="shared" ref="Y20:Z20" si="21">((M20+O20+Q20+S20)/4)</f>
        <v>0</v>
      </c>
      <c r="Z20" s="13" t="str">
        <f t="shared" si="21"/>
        <v>#DIV/0!</v>
      </c>
      <c r="AA20" s="13">
        <f t="shared" si="3"/>
        <v>0</v>
      </c>
      <c r="AB20" s="13" t="str">
        <f t="shared" si="4"/>
        <v>#DIV/0!</v>
      </c>
      <c r="AC20" s="14" t="s">
        <v>63</v>
      </c>
    </row>
    <row r="21" ht="14.25" customHeight="1">
      <c r="A21" s="5"/>
      <c r="B21" s="55" t="s">
        <v>66</v>
      </c>
      <c r="C21" s="53"/>
      <c r="D21" s="57"/>
      <c r="E21" s="53"/>
      <c r="F21" s="53"/>
      <c r="G21" s="53"/>
      <c r="H21" s="58"/>
      <c r="I21" s="5"/>
      <c r="J21" s="5"/>
      <c r="K21" s="5"/>
      <c r="L21" s="11" t="s">
        <v>67</v>
      </c>
      <c r="M21" s="12"/>
      <c r="N21" s="13" t="str">
        <f t="shared" si="22"/>
        <v>#DIV/0!</v>
      </c>
      <c r="O21" s="12"/>
      <c r="P21" s="13" t="str">
        <f t="shared" si="23"/>
        <v>#DIV/0!</v>
      </c>
      <c r="Q21" s="47"/>
      <c r="R21" s="13" t="str">
        <f t="shared" si="24"/>
        <v>#DIV/0!</v>
      </c>
      <c r="S21" s="12"/>
      <c r="T21" s="13" t="str">
        <f t="shared" si="25"/>
        <v>#DIV/0!</v>
      </c>
      <c r="U21" s="12"/>
      <c r="V21" s="13" t="str">
        <f t="shared" si="26"/>
        <v>#DIV/0!</v>
      </c>
      <c r="W21" s="12"/>
      <c r="X21" s="13" t="str">
        <f t="shared" si="27"/>
        <v>#DIV/0!</v>
      </c>
      <c r="Y21" s="13">
        <f t="shared" ref="Y21:Z21" si="28">((M21+O21+Q21+S21)/4)</f>
        <v>0</v>
      </c>
      <c r="Z21" s="13" t="str">
        <f t="shared" si="28"/>
        <v>#DIV/0!</v>
      </c>
      <c r="AA21" s="13">
        <f t="shared" si="3"/>
        <v>0</v>
      </c>
      <c r="AB21" s="13" t="str">
        <f t="shared" si="4"/>
        <v>#DIV/0!</v>
      </c>
      <c r="AC21" s="14" t="s">
        <v>63</v>
      </c>
    </row>
    <row r="22" ht="14.25" customHeight="1">
      <c r="A22" s="5"/>
      <c r="B22" s="55" t="s">
        <v>68</v>
      </c>
      <c r="C22" s="53"/>
      <c r="D22" s="53"/>
      <c r="E22" s="53"/>
      <c r="F22" s="53"/>
      <c r="G22" s="53"/>
      <c r="H22" s="58"/>
      <c r="I22" s="5"/>
      <c r="J22" s="5"/>
      <c r="K22" s="5"/>
      <c r="L22" s="11" t="s">
        <v>69</v>
      </c>
      <c r="M22" s="61"/>
      <c r="N22" s="28" t="str">
        <f>M22/C7*100000</f>
        <v>#DIV/0!</v>
      </c>
      <c r="O22" s="12"/>
      <c r="P22" s="28" t="str">
        <f>O22/D7*100000</f>
        <v>#DIV/0!</v>
      </c>
      <c r="Q22" s="47"/>
      <c r="R22" s="28" t="str">
        <f>Q22/E7*100000</f>
        <v>#DIV/0!</v>
      </c>
      <c r="S22" s="61"/>
      <c r="T22" s="28" t="str">
        <f>S22/F7*100000</f>
        <v>#DIV/0!</v>
      </c>
      <c r="U22" s="61"/>
      <c r="V22" s="28" t="str">
        <f>U22/G7*100000</f>
        <v>#DIV/0!</v>
      </c>
      <c r="W22" s="61"/>
      <c r="X22" s="28" t="str">
        <f>W22/H7*100000</f>
        <v>#DIV/0!</v>
      </c>
      <c r="Y22" s="13">
        <f t="shared" ref="Y22:Z22" si="29">((M22+O22+Q22+S22)/4)</f>
        <v>0</v>
      </c>
      <c r="Z22" s="13" t="str">
        <f t="shared" si="29"/>
        <v>#DIV/0!</v>
      </c>
      <c r="AA22" s="13">
        <f t="shared" si="3"/>
        <v>0</v>
      </c>
      <c r="AB22" s="13" t="str">
        <f t="shared" si="4"/>
        <v>#DIV/0!</v>
      </c>
      <c r="AC22" s="14" t="s">
        <v>22</v>
      </c>
    </row>
    <row r="23" ht="14.25" customHeight="1">
      <c r="A23" s="5"/>
      <c r="B23" s="55" t="s">
        <v>70</v>
      </c>
      <c r="C23" s="53"/>
      <c r="D23" s="53"/>
      <c r="E23" s="53"/>
      <c r="F23" s="53"/>
      <c r="G23" s="53"/>
      <c r="H23" s="58"/>
      <c r="I23" s="5"/>
      <c r="J23" s="5"/>
      <c r="K23" s="5"/>
      <c r="L23" s="11" t="s">
        <v>71</v>
      </c>
      <c r="M23" s="61"/>
      <c r="N23" s="28" t="str">
        <f>M23/C7*100000</f>
        <v>#DIV/0!</v>
      </c>
      <c r="O23" s="12"/>
      <c r="P23" s="28" t="str">
        <f>O23/D7*100000</f>
        <v>#DIV/0!</v>
      </c>
      <c r="Q23" s="47"/>
      <c r="R23" s="28" t="str">
        <f>Q23/E7*100000</f>
        <v>#DIV/0!</v>
      </c>
      <c r="S23" s="61"/>
      <c r="T23" s="28" t="str">
        <f>S23/F7*100000</f>
        <v>#DIV/0!</v>
      </c>
      <c r="U23" s="61"/>
      <c r="V23" s="28" t="str">
        <f>U23/G7*100000</f>
        <v>#DIV/0!</v>
      </c>
      <c r="W23" s="61"/>
      <c r="X23" s="28" t="str">
        <f>W23/H7*100000</f>
        <v>#DIV/0!</v>
      </c>
      <c r="Y23" s="13">
        <f t="shared" ref="Y23:Z23" si="30">((M23+O23+Q23+S23)/4)</f>
        <v>0</v>
      </c>
      <c r="Z23" s="13" t="str">
        <f t="shared" si="30"/>
        <v>#DIV/0!</v>
      </c>
      <c r="AA23" s="13">
        <f t="shared" si="3"/>
        <v>0</v>
      </c>
      <c r="AB23" s="13" t="str">
        <f t="shared" si="4"/>
        <v>#DIV/0!</v>
      </c>
      <c r="AC23" s="14" t="s">
        <v>22</v>
      </c>
    </row>
    <row r="24" ht="14.25" customHeight="1">
      <c r="A24" s="5"/>
      <c r="B24" s="55" t="s">
        <v>72</v>
      </c>
      <c r="C24" s="53"/>
      <c r="D24" s="53"/>
      <c r="E24" s="53"/>
      <c r="F24" s="53"/>
      <c r="G24" s="53"/>
      <c r="H24" s="58"/>
      <c r="I24" s="5"/>
      <c r="J24" s="5"/>
      <c r="K24" s="5"/>
      <c r="L24" s="11" t="s">
        <v>73</v>
      </c>
      <c r="M24" s="61"/>
      <c r="N24" s="28" t="str">
        <f>M24/C7*100000</f>
        <v>#DIV/0!</v>
      </c>
      <c r="O24" s="12"/>
      <c r="P24" s="28" t="str">
        <f>O24/D7*100000</f>
        <v>#DIV/0!</v>
      </c>
      <c r="Q24" s="47"/>
      <c r="R24" s="28" t="str">
        <f>Q24/E7*100000</f>
        <v>#DIV/0!</v>
      </c>
      <c r="S24" s="61"/>
      <c r="T24" s="28" t="str">
        <f>S24/F7*100000</f>
        <v>#DIV/0!</v>
      </c>
      <c r="U24" s="61"/>
      <c r="V24" s="28" t="str">
        <f>U24/G7*100000</f>
        <v>#DIV/0!</v>
      </c>
      <c r="W24" s="61"/>
      <c r="X24" s="28" t="str">
        <f>W24/H7*100000</f>
        <v>#DIV/0!</v>
      </c>
      <c r="Y24" s="13">
        <f t="shared" ref="Y24:Z24" si="31">((M24+O24+Q24+S24)/4)</f>
        <v>0</v>
      </c>
      <c r="Z24" s="13" t="str">
        <f t="shared" si="31"/>
        <v>#DIV/0!</v>
      </c>
      <c r="AA24" s="13">
        <f t="shared" si="3"/>
        <v>0</v>
      </c>
      <c r="AB24" s="13" t="str">
        <f t="shared" si="4"/>
        <v>#DIV/0!</v>
      </c>
      <c r="AC24" s="14" t="s">
        <v>22</v>
      </c>
    </row>
    <row r="25" ht="14.25" customHeight="1">
      <c r="A25" s="5"/>
      <c r="B25" s="55" t="s">
        <v>74</v>
      </c>
      <c r="C25" s="53"/>
      <c r="D25" s="53"/>
      <c r="E25" s="53"/>
      <c r="F25" s="53"/>
      <c r="G25" s="53"/>
      <c r="H25" s="58"/>
      <c r="I25" s="5"/>
      <c r="J25" s="5"/>
      <c r="K25" s="5"/>
      <c r="L25" s="11" t="s">
        <v>75</v>
      </c>
      <c r="M25" s="61"/>
      <c r="N25" s="28" t="str">
        <f>M25/C7*100000</f>
        <v>#DIV/0!</v>
      </c>
      <c r="O25" s="12"/>
      <c r="P25" s="28" t="str">
        <f>O25/D7*100000</f>
        <v>#DIV/0!</v>
      </c>
      <c r="Q25" s="47"/>
      <c r="R25" s="28" t="str">
        <f>Q25/E7*100000</f>
        <v>#DIV/0!</v>
      </c>
      <c r="S25" s="61"/>
      <c r="T25" s="28" t="str">
        <f>S25/F7*100000</f>
        <v>#DIV/0!</v>
      </c>
      <c r="U25" s="61"/>
      <c r="V25" s="28" t="str">
        <f>U25/G7*100000</f>
        <v>#DIV/0!</v>
      </c>
      <c r="W25" s="61"/>
      <c r="X25" s="28" t="str">
        <f>W25/H7*100000</f>
        <v>#DIV/0!</v>
      </c>
      <c r="Y25" s="13">
        <f t="shared" ref="Y25:Z25" si="32">((M25+O25+Q25+S25)/4)</f>
        <v>0</v>
      </c>
      <c r="Z25" s="13" t="str">
        <f t="shared" si="32"/>
        <v>#DIV/0!</v>
      </c>
      <c r="AA25" s="13">
        <f t="shared" si="3"/>
        <v>0</v>
      </c>
      <c r="AB25" s="13" t="str">
        <f t="shared" si="4"/>
        <v>#DIV/0!</v>
      </c>
      <c r="AC25" s="14" t="s">
        <v>48</v>
      </c>
    </row>
    <row r="26" ht="14.25" customHeight="1">
      <c r="A26" s="5"/>
      <c r="B26" s="55" t="s">
        <v>76</v>
      </c>
      <c r="C26" s="62"/>
      <c r="D26" s="62"/>
      <c r="E26" s="62"/>
      <c r="F26" s="62"/>
      <c r="G26" s="62"/>
      <c r="H26" s="58"/>
      <c r="I26" s="5"/>
      <c r="J26" s="5"/>
      <c r="K26" s="5"/>
      <c r="L26" s="11" t="s">
        <v>77</v>
      </c>
      <c r="M26" s="12"/>
      <c r="N26" s="13" t="str">
        <f>M26/C7*100000</f>
        <v>#DIV/0!</v>
      </c>
      <c r="O26" s="12"/>
      <c r="P26" s="13" t="str">
        <f>O26/D7*100000</f>
        <v>#DIV/0!</v>
      </c>
      <c r="Q26" s="47"/>
      <c r="R26" s="13" t="str">
        <f>Q26/E7*100000</f>
        <v>#DIV/0!</v>
      </c>
      <c r="S26" s="12"/>
      <c r="T26" s="13" t="str">
        <f>S26/F7*100000</f>
        <v>#DIV/0!</v>
      </c>
      <c r="U26" s="12"/>
      <c r="V26" s="13" t="str">
        <f>U26/G7*100000</f>
        <v>#DIV/0!</v>
      </c>
      <c r="W26" s="12"/>
      <c r="X26" s="13" t="str">
        <f>W26/H7*100000</f>
        <v>#DIV/0!</v>
      </c>
      <c r="Y26" s="13">
        <f t="shared" ref="Y26:Z26" si="33">((M26+O26+Q26+S26)/4)</f>
        <v>0</v>
      </c>
      <c r="Z26" s="13" t="str">
        <f t="shared" si="33"/>
        <v>#DIV/0!</v>
      </c>
      <c r="AA26" s="13">
        <f t="shared" si="3"/>
        <v>0</v>
      </c>
      <c r="AB26" s="13" t="str">
        <f t="shared" si="4"/>
        <v>#DIV/0!</v>
      </c>
      <c r="AC26" s="14" t="s">
        <v>22</v>
      </c>
    </row>
    <row r="27" ht="14.25" customHeight="1">
      <c r="A27" s="5"/>
      <c r="B27" s="63" t="s">
        <v>78</v>
      </c>
      <c r="C27" s="64"/>
      <c r="D27" s="64"/>
      <c r="E27" s="65"/>
      <c r="F27" s="65"/>
      <c r="G27" s="65"/>
      <c r="H27" s="66"/>
      <c r="I27" s="5"/>
      <c r="J27" s="5"/>
      <c r="K27" s="5"/>
      <c r="L27" s="11" t="s">
        <v>79</v>
      </c>
      <c r="M27" s="12"/>
      <c r="N27" s="13" t="str">
        <f>M27/C11*100000</f>
        <v>#DIV/0!</v>
      </c>
      <c r="O27" s="12"/>
      <c r="P27" s="13" t="str">
        <f>O27/D11*100000</f>
        <v>#DIV/0!</v>
      </c>
      <c r="Q27" s="47"/>
      <c r="R27" s="13" t="str">
        <f>Q27/E11*100000</f>
        <v>#DIV/0!</v>
      </c>
      <c r="S27" s="12"/>
      <c r="T27" s="13" t="str">
        <f>S27/F11*100000</f>
        <v>#DIV/0!</v>
      </c>
      <c r="U27" s="12"/>
      <c r="V27" s="13" t="str">
        <f>U27/G11*100000</f>
        <v>#DIV/0!</v>
      </c>
      <c r="W27" s="12"/>
      <c r="X27" s="13" t="str">
        <f>W27/H11*100000</f>
        <v>#DIV/0!</v>
      </c>
      <c r="Y27" s="13">
        <f t="shared" ref="Y27:Z27" si="34">((M27+O27+Q27+S27)/4)</f>
        <v>0</v>
      </c>
      <c r="Z27" s="13" t="str">
        <f t="shared" si="34"/>
        <v>#DIV/0!</v>
      </c>
      <c r="AA27" s="13">
        <f t="shared" si="3"/>
        <v>0</v>
      </c>
      <c r="AB27" s="13" t="str">
        <f t="shared" si="4"/>
        <v>#DIV/0!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 t="str">
        <f>M28/C11*100000</f>
        <v>#DIV/0!</v>
      </c>
      <c r="O28" s="12"/>
      <c r="P28" s="13" t="str">
        <f>O28/D11*100000</f>
        <v>#DIV/0!</v>
      </c>
      <c r="Q28" s="47"/>
      <c r="R28" s="13" t="str">
        <f>Q28/E11*100000</f>
        <v>#DIV/0!</v>
      </c>
      <c r="S28" s="12"/>
      <c r="T28" s="13" t="str">
        <f>S28/F11*100000</f>
        <v>#DIV/0!</v>
      </c>
      <c r="U28" s="12"/>
      <c r="V28" s="13" t="str">
        <f>U28/G11*100000</f>
        <v>#DIV/0!</v>
      </c>
      <c r="W28" s="12"/>
      <c r="X28" s="13" t="str">
        <f>W28/H11*100000</f>
        <v>#DIV/0!</v>
      </c>
      <c r="Y28" s="13">
        <f t="shared" ref="Y28:Z28" si="35">((M28+O28+Q28+S28)/4)</f>
        <v>0</v>
      </c>
      <c r="Z28" s="13" t="str">
        <f t="shared" si="35"/>
        <v>#DIV/0!</v>
      </c>
      <c r="AA28" s="13">
        <f t="shared" si="3"/>
        <v>0</v>
      </c>
      <c r="AB28" s="13" t="str">
        <f t="shared" si="4"/>
        <v>#DIV/0!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 t="str">
        <f>M29/C10*100000</f>
        <v>#DIV/0!</v>
      </c>
      <c r="O29" s="12"/>
      <c r="P29" s="13" t="str">
        <f>O29/D10*100000</f>
        <v>#DIV/0!</v>
      </c>
      <c r="Q29" s="47"/>
      <c r="R29" s="13" t="str">
        <f>Q29/E10*100000</f>
        <v>#DIV/0!</v>
      </c>
      <c r="S29" s="12"/>
      <c r="T29" s="13" t="str">
        <f>S29/F10*100000</f>
        <v>#DIV/0!</v>
      </c>
      <c r="U29" s="12"/>
      <c r="V29" s="13" t="str">
        <f>U29/G10*100000</f>
        <v>#DIV/0!</v>
      </c>
      <c r="W29" s="12"/>
      <c r="X29" s="13" t="str">
        <f>W29/H10*100000</f>
        <v>#DIV/0!</v>
      </c>
      <c r="Y29" s="13">
        <f t="shared" ref="Y29:Z29" si="36">((M29+O29+Q29+S29)/4)</f>
        <v>0</v>
      </c>
      <c r="Z29" s="13" t="str">
        <f t="shared" si="36"/>
        <v>#DIV/0!</v>
      </c>
      <c r="AA29" s="13">
        <f t="shared" si="3"/>
        <v>0</v>
      </c>
      <c r="AB29" s="13" t="str">
        <f t="shared" si="4"/>
        <v>#DIV/0!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 t="str">
        <f>M30/C7*100000</f>
        <v>#DIV/0!</v>
      </c>
      <c r="O30" s="12"/>
      <c r="P30" s="13" t="str">
        <f>O30/D7*100000</f>
        <v>#DIV/0!</v>
      </c>
      <c r="Q30" s="47"/>
      <c r="R30" s="13" t="str">
        <f>Q30/E7*100000</f>
        <v>#DIV/0!</v>
      </c>
      <c r="S30" s="12"/>
      <c r="T30" s="13" t="str">
        <f>S30/F7*100000</f>
        <v>#DIV/0!</v>
      </c>
      <c r="U30" s="12"/>
      <c r="V30" s="13" t="str">
        <f>U30/G7*100000</f>
        <v>#DIV/0!</v>
      </c>
      <c r="W30" s="12"/>
      <c r="X30" s="13" t="str">
        <f>W30/H7*100000</f>
        <v>#DIV/0!</v>
      </c>
      <c r="Y30" s="13">
        <f t="shared" ref="Y30:Z30" si="37">((M30+O30+Q30+S30)/4)</f>
        <v>0</v>
      </c>
      <c r="Z30" s="13" t="str">
        <f t="shared" si="37"/>
        <v>#DIV/0!</v>
      </c>
      <c r="AA30" s="13">
        <f t="shared" si="3"/>
        <v>0</v>
      </c>
      <c r="AB30" s="13" t="str">
        <f t="shared" si="4"/>
        <v>#DIV/0!</v>
      </c>
      <c r="AC30" s="14" t="s">
        <v>22</v>
      </c>
    </row>
    <row r="31" ht="14.25" customHeight="1">
      <c r="A31" s="5"/>
      <c r="B31" s="32" t="s">
        <v>84</v>
      </c>
      <c r="C31" s="31"/>
      <c r="D31" s="31"/>
      <c r="E31" s="31"/>
      <c r="F31" s="31"/>
      <c r="G31" s="31"/>
      <c r="H31" s="31"/>
      <c r="I31" s="5"/>
      <c r="J31" s="5"/>
      <c r="K31" s="5"/>
      <c r="L31" s="11" t="s">
        <v>85</v>
      </c>
      <c r="M31" s="12"/>
      <c r="N31" s="13" t="str">
        <f>M31/C7*100000</f>
        <v>#DIV/0!</v>
      </c>
      <c r="O31" s="12"/>
      <c r="P31" s="13" t="str">
        <f>O31/D7*100000</f>
        <v>#DIV/0!</v>
      </c>
      <c r="Q31" s="47"/>
      <c r="R31" s="13" t="str">
        <f>Q31/E7*100000</f>
        <v>#DIV/0!</v>
      </c>
      <c r="S31" s="12"/>
      <c r="T31" s="13" t="str">
        <f>S31/F7*100000</f>
        <v>#DIV/0!</v>
      </c>
      <c r="U31" s="12"/>
      <c r="V31" s="13" t="str">
        <f>U31/G7*100000</f>
        <v>#DIV/0!</v>
      </c>
      <c r="W31" s="12"/>
      <c r="X31" s="13" t="str">
        <f>W31/H7*100000</f>
        <v>#DIV/0!</v>
      </c>
      <c r="Y31" s="13">
        <f t="shared" ref="Y31:Z31" si="38">((M31+O31+Q31+S31)/4)</f>
        <v>0</v>
      </c>
      <c r="Z31" s="13" t="str">
        <f t="shared" si="38"/>
        <v>#DIV/0!</v>
      </c>
      <c r="AA31" s="13">
        <f t="shared" si="3"/>
        <v>0</v>
      </c>
      <c r="AB31" s="13" t="str">
        <f t="shared" si="4"/>
        <v>#DIV/0!</v>
      </c>
      <c r="AC31" s="14" t="s">
        <v>22</v>
      </c>
    </row>
    <row r="32" ht="14.25" customHeight="1">
      <c r="A32" s="5"/>
      <c r="B32" s="32" t="s">
        <v>86</v>
      </c>
      <c r="C32" s="31"/>
      <c r="D32" s="31"/>
      <c r="E32" s="31"/>
      <c r="F32" s="31"/>
      <c r="G32" s="31"/>
      <c r="H32" s="31"/>
      <c r="I32" s="5"/>
      <c r="J32" s="5"/>
      <c r="K32" s="5"/>
      <c r="L32" s="11" t="s">
        <v>87</v>
      </c>
      <c r="M32" s="61"/>
      <c r="N32" s="34" t="str">
        <f>M32/C7*100</f>
        <v>#DIV/0!</v>
      </c>
      <c r="O32" s="12"/>
      <c r="P32" s="34" t="str">
        <f>O32/D7*100</f>
        <v>#DIV/0!</v>
      </c>
      <c r="Q32" s="47"/>
      <c r="R32" s="34" t="str">
        <f>Q32/E7*100</f>
        <v>#DIV/0!</v>
      </c>
      <c r="S32" s="61"/>
      <c r="T32" s="34" t="str">
        <f>S32/F7*100</f>
        <v>#DIV/0!</v>
      </c>
      <c r="U32" s="61"/>
      <c r="V32" s="34" t="str">
        <f>U32/G7*100</f>
        <v>#DIV/0!</v>
      </c>
      <c r="W32" s="61"/>
      <c r="X32" s="34" t="str">
        <f>W32/H7*100</f>
        <v>#DIV/0!</v>
      </c>
      <c r="Y32" s="13">
        <f t="shared" ref="Y32:Z32" si="39">((M32+O32+Q32+S32)/4)</f>
        <v>0</v>
      </c>
      <c r="Z32" s="35" t="str">
        <f t="shared" si="39"/>
        <v>#DIV/0!</v>
      </c>
      <c r="AA32" s="13">
        <f t="shared" si="3"/>
        <v>0</v>
      </c>
      <c r="AB32" s="13" t="str">
        <f t="shared" si="4"/>
        <v>#DIV/0!</v>
      </c>
      <c r="AC32" s="14" t="s">
        <v>48</v>
      </c>
    </row>
    <row r="33" ht="14.25" customHeight="1">
      <c r="A33" s="5"/>
      <c r="B33" s="32" t="s">
        <v>88</v>
      </c>
      <c r="C33" s="31"/>
      <c r="D33" s="31"/>
      <c r="E33" s="31"/>
      <c r="F33" s="31"/>
      <c r="G33" s="31"/>
      <c r="H33" s="31"/>
      <c r="I33" s="5"/>
      <c r="J33" s="5"/>
      <c r="K33" s="5"/>
      <c r="L33" s="11" t="s">
        <v>89</v>
      </c>
      <c r="M33" s="12"/>
      <c r="N33" s="13" t="str">
        <f>M33/C7*10000</f>
        <v>#DIV/0!</v>
      </c>
      <c r="O33" s="12"/>
      <c r="P33" s="13" t="str">
        <f>O33/D7*10000</f>
        <v>#DIV/0!</v>
      </c>
      <c r="Q33" s="47"/>
      <c r="R33" s="13" t="str">
        <f>Q33/E7*10000</f>
        <v>#DIV/0!</v>
      </c>
      <c r="S33" s="12"/>
      <c r="T33" s="13" t="str">
        <f>S33/F7*10000</f>
        <v>#DIV/0!</v>
      </c>
      <c r="U33" s="12"/>
      <c r="V33" s="13" t="str">
        <f>U33/G7*10000</f>
        <v>#DIV/0!</v>
      </c>
      <c r="W33" s="12"/>
      <c r="X33" s="13" t="str">
        <f>W33/H7*10000</f>
        <v>#DIV/0!</v>
      </c>
      <c r="Y33" s="13">
        <f t="shared" ref="Y33:Z33" si="40">((M33+O33+Q33+S33)/4)</f>
        <v>0</v>
      </c>
      <c r="Z33" s="13" t="str">
        <f t="shared" si="40"/>
        <v>#DIV/0!</v>
      </c>
      <c r="AA33" s="13">
        <f t="shared" si="3"/>
        <v>0</v>
      </c>
      <c r="AB33" s="13" t="str">
        <f t="shared" si="4"/>
        <v>#DIV/0!</v>
      </c>
      <c r="AC33" s="14" t="s">
        <v>48</v>
      </c>
    </row>
    <row r="34" ht="14.25" customHeight="1">
      <c r="A34" s="5"/>
      <c r="B34" s="32" t="s">
        <v>90</v>
      </c>
      <c r="C34" s="31"/>
      <c r="D34" s="31"/>
      <c r="E34" s="31"/>
      <c r="F34" s="31"/>
      <c r="G34" s="31"/>
      <c r="H34" s="31"/>
      <c r="I34" s="5"/>
      <c r="J34" s="5"/>
      <c r="K34" s="5"/>
      <c r="L34" s="11" t="s">
        <v>91</v>
      </c>
      <c r="M34" s="12"/>
      <c r="N34" s="13" t="str">
        <f>M34/C7*10000</f>
        <v>#DIV/0!</v>
      </c>
      <c r="O34" s="12"/>
      <c r="P34" s="13" t="str">
        <f>O34/D7*10000</f>
        <v>#DIV/0!</v>
      </c>
      <c r="Q34" s="47"/>
      <c r="R34" s="13" t="str">
        <f>Q34/E7*10000</f>
        <v>#DIV/0!</v>
      </c>
      <c r="S34" s="12"/>
      <c r="T34" s="13" t="str">
        <f>S34/F7*10000</f>
        <v>#DIV/0!</v>
      </c>
      <c r="U34" s="12"/>
      <c r="V34" s="13" t="str">
        <f>U34/G7*10000</f>
        <v>#DIV/0!</v>
      </c>
      <c r="W34" s="12"/>
      <c r="X34" s="13" t="str">
        <f>W34/H7*10000</f>
        <v>#DIV/0!</v>
      </c>
      <c r="Y34" s="13">
        <f t="shared" ref="Y34:Z34" si="41">((M34+O34+Q34+S34)/4)</f>
        <v>0</v>
      </c>
      <c r="Z34" s="13" t="str">
        <f t="shared" si="41"/>
        <v>#DIV/0!</v>
      </c>
      <c r="AA34" s="13">
        <f t="shared" si="3"/>
        <v>0</v>
      </c>
      <c r="AB34" s="13" t="str">
        <f t="shared" si="4"/>
        <v>#DIV/0!</v>
      </c>
      <c r="AC34" s="14" t="s">
        <v>48</v>
      </c>
    </row>
    <row r="35" ht="14.25" customHeight="1">
      <c r="A35" s="5"/>
      <c r="B35" s="32" t="s">
        <v>92</v>
      </c>
      <c r="C35" s="31"/>
      <c r="D35" s="31"/>
      <c r="E35" s="31"/>
      <c r="F35" s="31"/>
      <c r="G35" s="31"/>
      <c r="H35" s="31"/>
      <c r="I35" s="5"/>
      <c r="J35" s="5"/>
      <c r="K35" s="5"/>
      <c r="L35" s="11" t="s">
        <v>93</v>
      </c>
      <c r="M35" s="12"/>
      <c r="N35" s="13" t="str">
        <f>M35/M4*1000</f>
        <v>#DIV/0!</v>
      </c>
      <c r="O35" s="12"/>
      <c r="P35" s="13" t="str">
        <f>O35/O4*1000</f>
        <v>#DIV/0!</v>
      </c>
      <c r="Q35" s="47"/>
      <c r="R35" s="13" t="str">
        <f>Q35/Q4*1000</f>
        <v>#DIV/0!</v>
      </c>
      <c r="S35" s="12"/>
      <c r="T35" s="13" t="str">
        <f>S35/S4*1000</f>
        <v>#DIV/0!</v>
      </c>
      <c r="U35" s="12"/>
      <c r="V35" s="13" t="str">
        <f>U35/U4*1000</f>
        <v>#DIV/0!</v>
      </c>
      <c r="W35" s="12"/>
      <c r="X35" s="13" t="str">
        <f>W35/W4*1000</f>
        <v>#DIV/0!</v>
      </c>
      <c r="Y35" s="13">
        <f t="shared" ref="Y35:Z35" si="42">((M35+O35+Q35+S35)/4)</f>
        <v>0</v>
      </c>
      <c r="Z35" s="13" t="str">
        <f t="shared" si="42"/>
        <v>#DIV/0!</v>
      </c>
      <c r="AA35" s="13">
        <f t="shared" si="3"/>
        <v>0</v>
      </c>
      <c r="AB35" s="13" t="str">
        <f t="shared" si="4"/>
        <v>#DIV/0!</v>
      </c>
      <c r="AC35" s="14" t="s">
        <v>48</v>
      </c>
    </row>
    <row r="36" ht="14.25" customHeight="1">
      <c r="A36" s="5"/>
      <c r="B36" s="32" t="s">
        <v>94</v>
      </c>
      <c r="C36" s="31"/>
      <c r="D36" s="31"/>
      <c r="E36" s="31"/>
      <c r="F36" s="31"/>
      <c r="G36" s="31"/>
      <c r="H36" s="31"/>
      <c r="I36" s="5"/>
      <c r="J36" s="5"/>
      <c r="K36" s="5"/>
      <c r="L36" s="11" t="s">
        <v>95</v>
      </c>
      <c r="M36" s="12"/>
      <c r="N36" s="13" t="str">
        <f>M36/M4*1000</f>
        <v>#DIV/0!</v>
      </c>
      <c r="O36" s="12"/>
      <c r="P36" s="13" t="str">
        <f>O36/O4*1000</f>
        <v>#DIV/0!</v>
      </c>
      <c r="Q36" s="47"/>
      <c r="R36" s="13" t="str">
        <f>Q36/Q4*1000</f>
        <v>#DIV/0!</v>
      </c>
      <c r="S36" s="12"/>
      <c r="T36" s="13" t="str">
        <f>S36/S4*1000</f>
        <v>#DIV/0!</v>
      </c>
      <c r="U36" s="12"/>
      <c r="V36" s="13" t="str">
        <f>U36/U4*1000</f>
        <v>#DIV/0!</v>
      </c>
      <c r="W36" s="12"/>
      <c r="X36" s="13" t="str">
        <f>W36/W4*1000</f>
        <v>#DIV/0!</v>
      </c>
      <c r="Y36" s="13">
        <f t="shared" ref="Y36:Z36" si="43">((M36+O36+Q36+S36)/4)</f>
        <v>0</v>
      </c>
      <c r="Z36" s="13" t="str">
        <f t="shared" si="43"/>
        <v>#DIV/0!</v>
      </c>
      <c r="AA36" s="13">
        <f t="shared" si="3"/>
        <v>0</v>
      </c>
      <c r="AB36" s="13" t="str">
        <f t="shared" si="4"/>
        <v>#DIV/0!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13">
        <f t="shared" ref="Y37:Z37" si="44">((M37+O37+Q37+S37)/4)</f>
        <v>0</v>
      </c>
      <c r="Z37" s="13">
        <f t="shared" si="44"/>
        <v>0</v>
      </c>
      <c r="AA37" s="13">
        <f t="shared" si="3"/>
        <v>0</v>
      </c>
      <c r="AB37" s="13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 t="str">
        <f>M38/C7*10000</f>
        <v>#DIV/0!</v>
      </c>
      <c r="O38" s="12"/>
      <c r="P38" s="13" t="str">
        <f>O38/E7*10000</f>
        <v>#DIV/0!</v>
      </c>
      <c r="Q38" s="47"/>
      <c r="R38" s="13" t="str">
        <f>Q38/E7*10000</f>
        <v>#DIV/0!</v>
      </c>
      <c r="S38" s="12"/>
      <c r="T38" s="13" t="str">
        <f>S38/F7*10000</f>
        <v>#DIV/0!</v>
      </c>
      <c r="U38" s="12"/>
      <c r="V38" s="13" t="str">
        <f>U38/G7*10000</f>
        <v>#DIV/0!</v>
      </c>
      <c r="W38" s="12"/>
      <c r="X38" s="13" t="str">
        <f>W38/H7*10000</f>
        <v>#DIV/0!</v>
      </c>
      <c r="Y38" s="13">
        <f t="shared" ref="Y38:Z38" si="45">((M38+O38+Q38+S38)/4)</f>
        <v>0</v>
      </c>
      <c r="Z38" s="13" t="str">
        <f t="shared" si="45"/>
        <v>#DIV/0!</v>
      </c>
      <c r="AA38" s="13">
        <f t="shared" si="3"/>
        <v>0</v>
      </c>
      <c r="AB38" s="13" t="str">
        <f t="shared" si="4"/>
        <v>#DIV/0!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 t="str">
        <f>M39/C17*10000</f>
        <v>#DIV/0!</v>
      </c>
      <c r="O39" s="12"/>
      <c r="P39" s="13" t="str">
        <f>O39/D17*10000</f>
        <v>#DIV/0!</v>
      </c>
      <c r="Q39" s="47"/>
      <c r="R39" s="13" t="str">
        <f>Q39/E17*100000</f>
        <v>#DIV/0!</v>
      </c>
      <c r="S39" s="12"/>
      <c r="T39" s="13" t="str">
        <f>S39/F17*100000</f>
        <v>#DIV/0!</v>
      </c>
      <c r="U39" s="12"/>
      <c r="V39" s="13" t="str">
        <f>U39/G17*100000</f>
        <v>#DIV/0!</v>
      </c>
      <c r="W39" s="12"/>
      <c r="X39" s="13" t="str">
        <f>W39/H17*100000</f>
        <v>#DIV/0!</v>
      </c>
      <c r="Y39" s="13">
        <f t="shared" ref="Y39:Z39" si="46">((M39+O39+Q39+S39)/4)</f>
        <v>0</v>
      </c>
      <c r="Z39" s="13" t="str">
        <f t="shared" si="46"/>
        <v>#DIV/0!</v>
      </c>
      <c r="AA39" s="13">
        <f t="shared" si="3"/>
        <v>0</v>
      </c>
      <c r="AB39" s="13" t="str">
        <f t="shared" si="4"/>
        <v>#DIV/0!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 t="str">
        <f>M40/C7*100000</f>
        <v>#DIV/0!</v>
      </c>
      <c r="O40" s="12"/>
      <c r="P40" s="13" t="str">
        <f>O40/D7*100000</f>
        <v>#DIV/0!</v>
      </c>
      <c r="Q40" s="47"/>
      <c r="R40" s="13" t="str">
        <f>Q40/E7*100000</f>
        <v>#DIV/0!</v>
      </c>
      <c r="S40" s="12"/>
      <c r="T40" s="13" t="str">
        <f>S40/F7*100000</f>
        <v>#DIV/0!</v>
      </c>
      <c r="U40" s="12"/>
      <c r="V40" s="13" t="str">
        <f>U40/G7*100000</f>
        <v>#DIV/0!</v>
      </c>
      <c r="W40" s="12"/>
      <c r="X40" s="13" t="str">
        <f>W40/H7*100000</f>
        <v>#DIV/0!</v>
      </c>
      <c r="Y40" s="13">
        <f t="shared" ref="Y40:Z40" si="47">((M40+O40+Q40+S40)/4)</f>
        <v>0</v>
      </c>
      <c r="Z40" s="13" t="str">
        <f t="shared" si="47"/>
        <v>#DIV/0!</v>
      </c>
      <c r="AA40" s="13">
        <f t="shared" si="3"/>
        <v>0</v>
      </c>
      <c r="AB40" s="13" t="str">
        <f t="shared" si="4"/>
        <v>#DIV/0!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 t="str">
        <f>M41/C7*10000</f>
        <v>#DIV/0!</v>
      </c>
      <c r="O41" s="12"/>
      <c r="P41" s="28" t="str">
        <f>O41/D7*10000</f>
        <v>#DIV/0!</v>
      </c>
      <c r="Q41" s="47"/>
      <c r="R41" s="28" t="str">
        <f>Q41/E7*10000</f>
        <v>#DIV/0!</v>
      </c>
      <c r="S41" s="61"/>
      <c r="T41" s="28" t="str">
        <f>S41/F7*10000</f>
        <v>#DIV/0!</v>
      </c>
      <c r="U41" s="61"/>
      <c r="V41" s="28" t="str">
        <f>U41/G7*10000</f>
        <v>#DIV/0!</v>
      </c>
      <c r="W41" s="61"/>
      <c r="X41" s="28" t="str">
        <f>W41/H7*10000</f>
        <v>#DIV/0!</v>
      </c>
      <c r="Y41" s="13">
        <f t="shared" ref="Y41:Z41" si="48">((M41+O41+Q41+S41)/4)</f>
        <v>0</v>
      </c>
      <c r="Z41" s="13" t="str">
        <f t="shared" si="48"/>
        <v>#DIV/0!</v>
      </c>
      <c r="AA41" s="13">
        <f t="shared" si="3"/>
        <v>0</v>
      </c>
      <c r="AB41" s="13" t="str">
        <f t="shared" si="4"/>
        <v>#DIV/0!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 t="str">
        <f>M42/C7*10000</f>
        <v>#DIV/0!</v>
      </c>
      <c r="O42" s="12"/>
      <c r="P42" s="28" t="str">
        <f>O42/D7*10000</f>
        <v>#DIV/0!</v>
      </c>
      <c r="Q42" s="47"/>
      <c r="R42" s="28" t="str">
        <f>Q42/E7*10000</f>
        <v>#DIV/0!</v>
      </c>
      <c r="S42" s="61"/>
      <c r="T42" s="28" t="str">
        <f>S42/F7*10000</f>
        <v>#DIV/0!</v>
      </c>
      <c r="U42" s="61"/>
      <c r="V42" s="28" t="str">
        <f>U42/G7*10000</f>
        <v>#DIV/0!</v>
      </c>
      <c r="W42" s="61"/>
      <c r="X42" s="28" t="str">
        <f>W42/H7*10000</f>
        <v>#DIV/0!</v>
      </c>
      <c r="Y42" s="13">
        <f t="shared" ref="Y42:Z42" si="49">((M42+O42+Q42+S42)/4)</f>
        <v>0</v>
      </c>
      <c r="Z42" s="13" t="str">
        <f t="shared" si="49"/>
        <v>#DIV/0!</v>
      </c>
      <c r="AA42" s="13">
        <f t="shared" si="3"/>
        <v>0</v>
      </c>
      <c r="AB42" s="13" t="str">
        <f t="shared" si="4"/>
        <v>#DIV/0!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 t="str">
        <f>M43/C16*10000</f>
        <v>#DIV/0!</v>
      </c>
      <c r="O43" s="12"/>
      <c r="P43" s="28" t="str">
        <f>O43/D16*10000</f>
        <v>#DIV/0!</v>
      </c>
      <c r="Q43" s="47"/>
      <c r="R43" s="28" t="str">
        <f>Q43/E16*100000</f>
        <v>#DIV/0!</v>
      </c>
      <c r="S43" s="61"/>
      <c r="T43" s="28" t="str">
        <f>S43/F16*100000</f>
        <v>#DIV/0!</v>
      </c>
      <c r="U43" s="61"/>
      <c r="V43" s="28" t="str">
        <f>U43/G16*100000</f>
        <v>#DIV/0!</v>
      </c>
      <c r="W43" s="61"/>
      <c r="X43" s="28" t="str">
        <f>W43/H16*100000</f>
        <v>#DIV/0!</v>
      </c>
      <c r="Y43" s="13">
        <f t="shared" ref="Y43:Z43" si="50">((M43+O43+Q43+S43)/4)</f>
        <v>0</v>
      </c>
      <c r="Z43" s="13" t="str">
        <f t="shared" si="50"/>
        <v>#DIV/0!</v>
      </c>
      <c r="AA43" s="13">
        <f t="shared" si="3"/>
        <v>0</v>
      </c>
      <c r="AB43" s="13" t="str">
        <f t="shared" si="4"/>
        <v>#DIV/0!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 t="str">
        <f>M44/C7*100000</f>
        <v>#DIV/0!</v>
      </c>
      <c r="O44" s="12"/>
      <c r="P44" s="28" t="str">
        <f>O44/D7*100000</f>
        <v>#DIV/0!</v>
      </c>
      <c r="Q44" s="12"/>
      <c r="R44" s="13" t="str">
        <f>Q44/E7*100000</f>
        <v>#DIV/0!</v>
      </c>
      <c r="S44" s="12"/>
      <c r="T44" s="13" t="str">
        <f>S44/F7*100000</f>
        <v>#DIV/0!</v>
      </c>
      <c r="U44" s="12"/>
      <c r="V44" s="13" t="str">
        <f>U44/G7*100000</f>
        <v>#DIV/0!</v>
      </c>
      <c r="W44" s="12"/>
      <c r="X44" s="13" t="str">
        <f>W44/H7*100000</f>
        <v>#DIV/0!</v>
      </c>
      <c r="Y44" s="13">
        <f t="shared" ref="Y44:Z44" si="51">((M44+O44+Q44+S44)/4)</f>
        <v>0</v>
      </c>
      <c r="Z44" s="13" t="str">
        <f t="shared" si="51"/>
        <v>#DIV/0!</v>
      </c>
      <c r="AA44" s="13">
        <f t="shared" si="3"/>
        <v>0</v>
      </c>
      <c r="AB44" s="13" t="str">
        <f t="shared" si="4"/>
        <v>#DIV/0!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 t="str">
        <f>M45/M4*100</f>
        <v>#DIV/0!</v>
      </c>
      <c r="O45" s="12"/>
      <c r="P45" s="28" t="str">
        <f>O45/O4*100</f>
        <v>#DIV/0!</v>
      </c>
      <c r="Q45" s="12"/>
      <c r="R45" s="13" t="str">
        <f>Q45/Q4*100</f>
        <v>#DIV/0!</v>
      </c>
      <c r="S45" s="12"/>
      <c r="T45" s="13" t="str">
        <f>S45/S4*100</f>
        <v>#DIV/0!</v>
      </c>
      <c r="U45" s="12"/>
      <c r="V45" s="13" t="str">
        <f>U45/U4*100</f>
        <v>#DIV/0!</v>
      </c>
      <c r="W45" s="12"/>
      <c r="X45" s="13" t="str">
        <f>W45/W4*100</f>
        <v>#DIV/0!</v>
      </c>
      <c r="Y45" s="13">
        <f t="shared" ref="Y45:Z45" si="52">((M45+O45+Q45+S45)/4)</f>
        <v>0</v>
      </c>
      <c r="Z45" s="13" t="str">
        <f t="shared" si="52"/>
        <v>#DIV/0!</v>
      </c>
      <c r="AA45" s="13">
        <f t="shared" si="3"/>
        <v>0</v>
      </c>
      <c r="AB45" s="13" t="str">
        <f t="shared" si="4"/>
        <v>#DIV/0!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 t="str">
        <f>M46/M4*100</f>
        <v>#DIV/0!</v>
      </c>
      <c r="O46" s="12"/>
      <c r="P46" s="28" t="str">
        <f>O46/O4*100</f>
        <v>#DIV/0!</v>
      </c>
      <c r="Q46" s="12"/>
      <c r="R46" s="13" t="str">
        <f>Q46/Q4*100</f>
        <v>#DIV/0!</v>
      </c>
      <c r="S46" s="12"/>
      <c r="T46" s="13" t="str">
        <f>S46/S4*100</f>
        <v>#DIV/0!</v>
      </c>
      <c r="U46" s="12"/>
      <c r="V46" s="13" t="str">
        <f>U46/U4*100</f>
        <v>#DIV/0!</v>
      </c>
      <c r="W46" s="12"/>
      <c r="X46" s="13" t="str">
        <f>W46/W4*100</f>
        <v>#DIV/0!</v>
      </c>
      <c r="Y46" s="13">
        <f t="shared" ref="Y46:Z46" si="53">((M46+O46+Q46+S46)/4)</f>
        <v>0</v>
      </c>
      <c r="Z46" s="13" t="str">
        <f t="shared" si="53"/>
        <v>#DIV/0!</v>
      </c>
      <c r="AA46" s="13">
        <f t="shared" si="3"/>
        <v>0</v>
      </c>
      <c r="AB46" s="13" t="str">
        <f t="shared" si="4"/>
        <v>#DIV/0!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 t="str">
        <f>M47/C7*100000</f>
        <v>#DIV/0!</v>
      </c>
      <c r="O47" s="47"/>
      <c r="P47" s="13" t="str">
        <f>O47/D7*100000</f>
        <v>#DIV/0!</v>
      </c>
      <c r="Q47" s="47"/>
      <c r="R47" s="13" t="str">
        <f>Q47/E7*100000</f>
        <v>#DIV/0!</v>
      </c>
      <c r="S47" s="12"/>
      <c r="T47" s="13" t="str">
        <f>S47/F7*100000</f>
        <v>#DIV/0!</v>
      </c>
      <c r="U47" s="12"/>
      <c r="V47" s="13" t="str">
        <f>U47/G7*100000</f>
        <v>#DIV/0!</v>
      </c>
      <c r="W47" s="12"/>
      <c r="X47" s="13" t="str">
        <f>W47/H7*100000</f>
        <v>#DIV/0!</v>
      </c>
      <c r="Y47" s="13">
        <f t="shared" ref="Y47:Z47" si="54">((M47+O47+Q47+S47)/4)</f>
        <v>0</v>
      </c>
      <c r="Z47" s="13" t="str">
        <f t="shared" si="54"/>
        <v>#DIV/0!</v>
      </c>
      <c r="AA47" s="13">
        <f t="shared" si="3"/>
        <v>0</v>
      </c>
      <c r="AB47" s="13" t="str">
        <f t="shared" si="4"/>
        <v>#DIV/0!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 t="str">
        <f>M48/C7*100000</f>
        <v>#DIV/0!</v>
      </c>
      <c r="O48" s="12"/>
      <c r="P48" s="13" t="str">
        <f>O48/D7*100000</f>
        <v>#DIV/0!</v>
      </c>
      <c r="Q48" s="47"/>
      <c r="R48" s="13" t="str">
        <f>Q48/E7*100000</f>
        <v>#DIV/0!</v>
      </c>
      <c r="S48" s="12"/>
      <c r="T48" s="13" t="str">
        <f>S48/F7*100000</f>
        <v>#DIV/0!</v>
      </c>
      <c r="U48" s="12"/>
      <c r="V48" s="13" t="str">
        <f>U48/G7*100000</f>
        <v>#DIV/0!</v>
      </c>
      <c r="W48" s="12"/>
      <c r="X48" s="13" t="str">
        <f>W48/H7*100000</f>
        <v>#DIV/0!</v>
      </c>
      <c r="Y48" s="13">
        <f t="shared" ref="Y48:Z48" si="55">((M48+O48+Q48+S48)/4)</f>
        <v>0</v>
      </c>
      <c r="Z48" s="13" t="str">
        <f t="shared" si="55"/>
        <v>#DIV/0!</v>
      </c>
      <c r="AA48" s="13">
        <f t="shared" si="3"/>
        <v>0</v>
      </c>
      <c r="AB48" s="13" t="str">
        <f t="shared" si="4"/>
        <v>#DIV/0!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 t="str">
        <f>M49/C7*100000</f>
        <v>#DIV/0!</v>
      </c>
      <c r="O49" s="12"/>
      <c r="P49" s="13" t="str">
        <f>O49/D7*100000</f>
        <v>#DIV/0!</v>
      </c>
      <c r="Q49" s="47"/>
      <c r="R49" s="13" t="str">
        <f>Q49/E7*100000</f>
        <v>#DIV/0!</v>
      </c>
      <c r="S49" s="12"/>
      <c r="T49" s="13" t="str">
        <f>S49/F7*100000</f>
        <v>#DIV/0!</v>
      </c>
      <c r="U49" s="12"/>
      <c r="V49" s="13" t="str">
        <f>U49/G7*100000</f>
        <v>#DIV/0!</v>
      </c>
      <c r="W49" s="12"/>
      <c r="X49" s="13" t="str">
        <f>W49/H7*100000</f>
        <v>#DIV/0!</v>
      </c>
      <c r="Y49" s="13">
        <f t="shared" ref="Y49:Z49" si="56">((M49+O49+Q49+S49)/4)</f>
        <v>0</v>
      </c>
      <c r="Z49" s="13" t="str">
        <f t="shared" si="56"/>
        <v>#DIV/0!</v>
      </c>
      <c r="AA49" s="13">
        <f t="shared" si="3"/>
        <v>0</v>
      </c>
      <c r="AB49" s="13" t="str">
        <f t="shared" si="4"/>
        <v>#DIV/0!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 t="str">
        <f>M50/C7*100000</f>
        <v>#DIV/0!</v>
      </c>
      <c r="O50" s="47"/>
      <c r="P50" s="13" t="str">
        <f>O50/D7*100000</f>
        <v>#DIV/0!</v>
      </c>
      <c r="Q50" s="47"/>
      <c r="R50" s="13" t="str">
        <f>Q50/E7*100000</f>
        <v>#DIV/0!</v>
      </c>
      <c r="S50" s="12"/>
      <c r="T50" s="13" t="str">
        <f>S50/F7*100000</f>
        <v>#DIV/0!</v>
      </c>
      <c r="U50" s="12"/>
      <c r="V50" s="13" t="str">
        <f>U50/G7*100000</f>
        <v>#DIV/0!</v>
      </c>
      <c r="W50" s="12"/>
      <c r="X50" s="13" t="str">
        <f>W50/H7*100000</f>
        <v>#DIV/0!</v>
      </c>
      <c r="Y50" s="13">
        <f t="shared" ref="Y50:Z50" si="57">((M50+O50+Q50+S50)/4)</f>
        <v>0</v>
      </c>
      <c r="Z50" s="13" t="str">
        <f t="shared" si="57"/>
        <v>#DIV/0!</v>
      </c>
      <c r="AA50" s="13">
        <f t="shared" si="3"/>
        <v>0</v>
      </c>
      <c r="AB50" s="13" t="str">
        <f t="shared" si="4"/>
        <v>#DIV/0!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 t="str">
        <f>M51/C7*100000</f>
        <v>#DIV/0!</v>
      </c>
      <c r="O51" s="47"/>
      <c r="P51" s="13" t="str">
        <f>O51/D7*100000</f>
        <v>#DIV/0!</v>
      </c>
      <c r="Q51" s="47"/>
      <c r="R51" s="13" t="str">
        <f>Q51/E7*100000</f>
        <v>#DIV/0!</v>
      </c>
      <c r="S51" s="12"/>
      <c r="T51" s="13" t="str">
        <f>S51/F7*100000</f>
        <v>#DIV/0!</v>
      </c>
      <c r="U51" s="12"/>
      <c r="V51" s="13" t="str">
        <f>U51/G7*100000</f>
        <v>#DIV/0!</v>
      </c>
      <c r="W51" s="12"/>
      <c r="X51" s="13" t="str">
        <f>W51/H7*100000</f>
        <v>#DIV/0!</v>
      </c>
      <c r="Y51" s="13">
        <f t="shared" ref="Y51:Z51" si="58">((M51+O51+Q51+S51)/4)</f>
        <v>0</v>
      </c>
      <c r="Z51" s="13" t="str">
        <f t="shared" si="58"/>
        <v>#DIV/0!</v>
      </c>
      <c r="AA51" s="13">
        <f t="shared" si="3"/>
        <v>0</v>
      </c>
      <c r="AB51" s="13" t="str">
        <f t="shared" si="4"/>
        <v>#DIV/0!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 t="str">
        <f>M52/C7*100000</f>
        <v>#DIV/0!</v>
      </c>
      <c r="O52" s="47"/>
      <c r="P52" s="13" t="str">
        <f>O52/D7*100000</f>
        <v>#DIV/0!</v>
      </c>
      <c r="Q52" s="47"/>
      <c r="R52" s="13" t="str">
        <f>Q52/E7*100000</f>
        <v>#DIV/0!</v>
      </c>
      <c r="S52" s="12"/>
      <c r="T52" s="13" t="str">
        <f>S52/F7*100000</f>
        <v>#DIV/0!</v>
      </c>
      <c r="U52" s="12"/>
      <c r="V52" s="13" t="str">
        <f>U52/G7*100000</f>
        <v>#DIV/0!</v>
      </c>
      <c r="W52" s="12"/>
      <c r="X52" s="13" t="str">
        <f>W52/H7*100000</f>
        <v>#DIV/0!</v>
      </c>
      <c r="Y52" s="13">
        <f t="shared" ref="Y52:Z52" si="59">((M52+O52+Q52+S52)/4)</f>
        <v>0</v>
      </c>
      <c r="Z52" s="13" t="str">
        <f t="shared" si="59"/>
        <v>#DIV/0!</v>
      </c>
      <c r="AA52" s="13">
        <f t="shared" si="3"/>
        <v>0</v>
      </c>
      <c r="AB52" s="13" t="str">
        <f t="shared" si="4"/>
        <v>#DIV/0!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 t="str">
        <f>M53/C17*100000</f>
        <v>#DIV/0!</v>
      </c>
      <c r="O53" s="47"/>
      <c r="P53" s="13" t="str">
        <f>O53/D17*100000</f>
        <v>#DIV/0!</v>
      </c>
      <c r="Q53" s="47"/>
      <c r="R53" s="13" t="str">
        <f>Q53/E17*100000</f>
        <v>#DIV/0!</v>
      </c>
      <c r="S53" s="12"/>
      <c r="T53" s="13" t="str">
        <f>S53/F17*100000</f>
        <v>#DIV/0!</v>
      </c>
      <c r="U53" s="12"/>
      <c r="V53" s="13" t="str">
        <f>U53/G17*100000</f>
        <v>#DIV/0!</v>
      </c>
      <c r="W53" s="12"/>
      <c r="X53" s="13" t="str">
        <f>W53/H17*100000</f>
        <v>#DIV/0!</v>
      </c>
      <c r="Y53" s="13">
        <f t="shared" ref="Y53:Z53" si="60">((M53+O53+Q53+S53)/4)</f>
        <v>0</v>
      </c>
      <c r="Z53" s="13" t="str">
        <f t="shared" si="60"/>
        <v>#DIV/0!</v>
      </c>
      <c r="AA53" s="13">
        <f t="shared" si="3"/>
        <v>0</v>
      </c>
      <c r="AB53" s="13" t="str">
        <f t="shared" si="4"/>
        <v>#DIV/0!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 t="str">
        <f>M54/C19*100000</f>
        <v>#DIV/0!</v>
      </c>
      <c r="O54" s="47"/>
      <c r="P54" s="13" t="str">
        <f>O54/D19*100000</f>
        <v>#DIV/0!</v>
      </c>
      <c r="Q54" s="47"/>
      <c r="R54" s="13" t="str">
        <f>Q54/E19*100000</f>
        <v>#DIV/0!</v>
      </c>
      <c r="S54" s="12"/>
      <c r="T54" s="13" t="str">
        <f>S54/F19*100000</f>
        <v>#DIV/0!</v>
      </c>
      <c r="U54" s="12"/>
      <c r="V54" s="13" t="str">
        <f>U54/G19*100000</f>
        <v>#DIV/0!</v>
      </c>
      <c r="W54" s="12"/>
      <c r="X54" s="13" t="str">
        <f>W54/H19*100000</f>
        <v>#DIV/0!</v>
      </c>
      <c r="Y54" s="13">
        <f t="shared" ref="Y54:Z54" si="61">((M54+O54+Q54+S54)/4)</f>
        <v>0</v>
      </c>
      <c r="Z54" s="13" t="str">
        <f t="shared" si="61"/>
        <v>#DIV/0!</v>
      </c>
      <c r="AA54" s="13">
        <f t="shared" si="3"/>
        <v>0</v>
      </c>
      <c r="AB54" s="13" t="str">
        <f t="shared" si="4"/>
        <v>#DIV/0!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 t="str">
        <f>M55/C19*100000</f>
        <v>#DIV/0!</v>
      </c>
      <c r="O55" s="47"/>
      <c r="P55" s="13" t="str">
        <f>O55/D19*100000</f>
        <v>#DIV/0!</v>
      </c>
      <c r="Q55" s="47"/>
      <c r="R55" s="13" t="str">
        <f>Q55/E19*100000</f>
        <v>#DIV/0!</v>
      </c>
      <c r="S55" s="12"/>
      <c r="T55" s="13" t="str">
        <f>S55/F19*100000</f>
        <v>#DIV/0!</v>
      </c>
      <c r="U55" s="12"/>
      <c r="V55" s="13" t="str">
        <f>U55/G19*100000</f>
        <v>#DIV/0!</v>
      </c>
      <c r="W55" s="12"/>
      <c r="X55" s="13" t="str">
        <f>W55/H19*100000</f>
        <v>#DIV/0!</v>
      </c>
      <c r="Y55" s="13">
        <f t="shared" ref="Y55:Z55" si="62">((M55+O55+Q55+S55)/4)</f>
        <v>0</v>
      </c>
      <c r="Z55" s="13" t="str">
        <f t="shared" si="62"/>
        <v>#DIV/0!</v>
      </c>
      <c r="AA55" s="13">
        <f t="shared" si="3"/>
        <v>0</v>
      </c>
      <c r="AB55" s="13" t="str">
        <f t="shared" si="4"/>
        <v>#DIV/0!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 t="str">
        <f>M56/C7*100000</f>
        <v>#DIV/0!</v>
      </c>
      <c r="O56" s="47"/>
      <c r="P56" s="13" t="str">
        <f>O56/D7*100000</f>
        <v>#DIV/0!</v>
      </c>
      <c r="Q56" s="47"/>
      <c r="R56" s="13" t="str">
        <f>Q56/E7*100000</f>
        <v>#DIV/0!</v>
      </c>
      <c r="S56" s="12"/>
      <c r="T56" s="13" t="str">
        <f>S56/F7*100000</f>
        <v>#DIV/0!</v>
      </c>
      <c r="U56" s="12"/>
      <c r="V56" s="13" t="str">
        <f>U56/G7*100000</f>
        <v>#DIV/0!</v>
      </c>
      <c r="W56" s="12"/>
      <c r="X56" s="13" t="str">
        <f>W56/H7*100000</f>
        <v>#DIV/0!</v>
      </c>
      <c r="Y56" s="13">
        <f t="shared" ref="Y56:Z56" si="63">((M56+O56+Q56+S56)/4)</f>
        <v>0</v>
      </c>
      <c r="Z56" s="13" t="str">
        <f t="shared" si="63"/>
        <v>#DIV/0!</v>
      </c>
      <c r="AA56" s="13">
        <f t="shared" si="3"/>
        <v>0</v>
      </c>
      <c r="AB56" s="13" t="str">
        <f t="shared" si="4"/>
        <v>#DIV/0!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 t="str">
        <f>M57/M4*100000</f>
        <v>#DIV/0!</v>
      </c>
      <c r="O57" s="47"/>
      <c r="P57" s="13" t="str">
        <f>O57/O4*100000</f>
        <v>#DIV/0!</v>
      </c>
      <c r="Q57" s="47"/>
      <c r="R57" s="13" t="str">
        <f>Q57/Q4*100000</f>
        <v>#DIV/0!</v>
      </c>
      <c r="S57" s="12"/>
      <c r="T57" s="13" t="str">
        <f>S57/S4*100000</f>
        <v>#DIV/0!</v>
      </c>
      <c r="U57" s="12"/>
      <c r="V57" s="13" t="str">
        <f>U57/U4*100000</f>
        <v>#DIV/0!</v>
      </c>
      <c r="W57" s="12"/>
      <c r="X57" s="13" t="str">
        <f>W57/W4*100000</f>
        <v>#DIV/0!</v>
      </c>
      <c r="Y57" s="13">
        <f t="shared" ref="Y57:Z57" si="64">((M57+O57+Q57+S57)/4)</f>
        <v>0</v>
      </c>
      <c r="Z57" s="13" t="str">
        <f t="shared" si="64"/>
        <v>#DIV/0!</v>
      </c>
      <c r="AA57" s="13">
        <f t="shared" si="3"/>
        <v>0</v>
      </c>
      <c r="AB57" s="13" t="str">
        <f t="shared" si="4"/>
        <v>#DIV/0!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 t="str">
        <f>M58/C7*100000</f>
        <v>#DIV/0!</v>
      </c>
      <c r="O58" s="71"/>
      <c r="P58" s="28" t="str">
        <f>O58/D7*100000</f>
        <v>#DIV/0!</v>
      </c>
      <c r="Q58" s="71"/>
      <c r="R58" s="28" t="str">
        <f>Q58/E7*100000</f>
        <v>#DIV/0!</v>
      </c>
      <c r="S58" s="61"/>
      <c r="T58" s="28" t="str">
        <f>S58/F7*100000</f>
        <v>#DIV/0!</v>
      </c>
      <c r="U58" s="61"/>
      <c r="V58" s="28" t="str">
        <f>U58/G7*100000</f>
        <v>#DIV/0!</v>
      </c>
      <c r="W58" s="61"/>
      <c r="X58" s="28" t="str">
        <f>W58/H7*100000</f>
        <v>#DIV/0!</v>
      </c>
      <c r="Y58" s="13">
        <f t="shared" ref="Y58:Z58" si="65">((M58+O58+Q58+S58)/4)</f>
        <v>0</v>
      </c>
      <c r="Z58" s="13" t="str">
        <f t="shared" si="65"/>
        <v>#DIV/0!</v>
      </c>
      <c r="AA58" s="13">
        <f t="shared" si="3"/>
        <v>0</v>
      </c>
      <c r="AB58" s="13" t="str">
        <f t="shared" si="4"/>
        <v>#DIV/0!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 t="str">
        <f>M59/C7*100000</f>
        <v>#DIV/0!</v>
      </c>
      <c r="O59" s="71"/>
      <c r="P59" s="28" t="str">
        <f>O59/D7*100000</f>
        <v>#DIV/0!</v>
      </c>
      <c r="Q59" s="71"/>
      <c r="R59" s="28" t="str">
        <f>Q59/E7*100000</f>
        <v>#DIV/0!</v>
      </c>
      <c r="S59" s="76"/>
      <c r="T59" s="39" t="str">
        <f>S59/F7*100000</f>
        <v>#DIV/0!</v>
      </c>
      <c r="U59" s="76"/>
      <c r="V59" s="39" t="str">
        <f>U59/G7*100000</f>
        <v>#DIV/0!</v>
      </c>
      <c r="W59" s="76"/>
      <c r="X59" s="39" t="str">
        <f>W59/H7*100000</f>
        <v>#DIV/0!</v>
      </c>
      <c r="Y59" s="40">
        <f t="shared" ref="Y59:Z59" si="66">((M59+O59+Q59+S59)/4)</f>
        <v>0</v>
      </c>
      <c r="Z59" s="40" t="str">
        <f t="shared" si="66"/>
        <v>#DIV/0!</v>
      </c>
      <c r="AA59" s="13">
        <f t="shared" si="3"/>
        <v>0</v>
      </c>
      <c r="AB59" s="13" t="str">
        <f t="shared" si="4"/>
        <v>#DIV/0!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 t="str">
        <f>M60/C17*100000</f>
        <v>#DIV/0!</v>
      </c>
      <c r="O60" s="71"/>
      <c r="P60" s="28" t="str">
        <f>O60/D17*100000</f>
        <v>#DIV/0!</v>
      </c>
      <c r="Q60" s="71"/>
      <c r="R60" s="28" t="str">
        <f>Q60/E17*100000</f>
        <v>#DIV/0!</v>
      </c>
      <c r="S60" s="61"/>
      <c r="T60" s="28" t="str">
        <f>S60/F17*100000</f>
        <v>#DIV/0!</v>
      </c>
      <c r="U60" s="61"/>
      <c r="V60" s="28" t="str">
        <f>U60/G17*100000</f>
        <v>#DIV/0!</v>
      </c>
      <c r="W60" s="61"/>
      <c r="X60" s="28" t="str">
        <f>W60/H17*100000</f>
        <v>#DIV/0!</v>
      </c>
      <c r="Y60" s="40">
        <f>((M60+O60+Q60+S60)/4)</f>
        <v>0</v>
      </c>
      <c r="Z60" s="40" t="str">
        <f>((N60+P60+R60+T60)/1)</f>
        <v>#DIV/0!</v>
      </c>
      <c r="AA60" s="13">
        <f t="shared" si="3"/>
        <v>0</v>
      </c>
      <c r="AB60" s="13" t="str">
        <f t="shared" si="4"/>
        <v>#DIV/0!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 t="str">
        <f>M61/C15*1000</f>
        <v>#DIV/0!</v>
      </c>
      <c r="O61" s="71"/>
      <c r="P61" s="28" t="str">
        <f>O61/D15*1000</f>
        <v>#DIV/0!</v>
      </c>
      <c r="Q61" s="71"/>
      <c r="R61" s="28" t="str">
        <f>Q61/E15*1000</f>
        <v>#DIV/0!</v>
      </c>
      <c r="S61" s="61"/>
      <c r="T61" s="28" t="str">
        <f>S61/F15*1000</f>
        <v>#DIV/0!</v>
      </c>
      <c r="U61" s="61"/>
      <c r="V61" s="28" t="str">
        <f>U61/G15*1000</f>
        <v>#DIV/0!</v>
      </c>
      <c r="W61" s="61"/>
      <c r="X61" s="28" t="str">
        <f>W61/H23*1000</f>
        <v>#DIV/0!</v>
      </c>
      <c r="Y61" s="40">
        <f t="shared" ref="Y61:Z61" si="67">((M61+O61+Q61+S61)/1)</f>
        <v>0</v>
      </c>
      <c r="Z61" s="40" t="str">
        <f t="shared" si="67"/>
        <v>#DIV/0!</v>
      </c>
      <c r="AA61" s="13">
        <f t="shared" si="3"/>
        <v>0</v>
      </c>
      <c r="AB61" s="13" t="str">
        <f t="shared" si="4"/>
        <v>#DIV/0!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 t="str">
        <f>M62/C15*1000</f>
        <v>#DIV/0!</v>
      </c>
      <c r="O62" s="71"/>
      <c r="P62" s="28" t="str">
        <f>O62/D15*1000</f>
        <v>#DIV/0!</v>
      </c>
      <c r="Q62" s="71"/>
      <c r="R62" s="28" t="str">
        <f>Q62/E15*1000</f>
        <v>#DIV/0!</v>
      </c>
      <c r="S62" s="61"/>
      <c r="T62" s="28" t="str">
        <f>S62/F15*1000</f>
        <v>#DIV/0!</v>
      </c>
      <c r="U62" s="61"/>
      <c r="V62" s="28" t="str">
        <f>U62/G15*1000</f>
        <v>#DIV/0!</v>
      </c>
      <c r="W62" s="61"/>
      <c r="X62" s="28" t="str">
        <f>W62/H15*1000</f>
        <v>#DIV/0!</v>
      </c>
      <c r="Y62" s="40">
        <f t="shared" ref="Y62:Z62" si="68">((M62+O62+Q62+S62)/1)</f>
        <v>0</v>
      </c>
      <c r="Z62" s="40" t="str">
        <f t="shared" si="68"/>
        <v>#DIV/0!</v>
      </c>
      <c r="AA62" s="13">
        <f t="shared" si="3"/>
        <v>0</v>
      </c>
      <c r="AB62" s="13" t="str">
        <f t="shared" si="4"/>
        <v>#DIV/0!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 t="str">
        <f>M63/C17*100000</f>
        <v>#DIV/0!</v>
      </c>
      <c r="O63" s="71"/>
      <c r="P63" s="28" t="str">
        <f>O63/D17*100000</f>
        <v>#DIV/0!</v>
      </c>
      <c r="Q63" s="71"/>
      <c r="R63" s="28" t="str">
        <f>Q63/E17*100000</f>
        <v>#DIV/0!</v>
      </c>
      <c r="S63" s="61"/>
      <c r="T63" s="28" t="str">
        <f>S63/F17*100000</f>
        <v>#DIV/0!</v>
      </c>
      <c r="U63" s="61"/>
      <c r="V63" s="28" t="str">
        <f>U63/G17*100000</f>
        <v>#DIV/0!</v>
      </c>
      <c r="W63" s="61"/>
      <c r="X63" s="28" t="str">
        <f>W63/H17*100000</f>
        <v>#DIV/0!</v>
      </c>
      <c r="Y63" s="40">
        <f t="shared" ref="Y63:Z63" si="69">((M63+O63+Q63+S63)/1)</f>
        <v>0</v>
      </c>
      <c r="Z63" s="40" t="str">
        <f t="shared" si="69"/>
        <v>#DIV/0!</v>
      </c>
      <c r="AA63" s="13">
        <f t="shared" si="3"/>
        <v>0</v>
      </c>
      <c r="AB63" s="13" t="str">
        <f t="shared" si="4"/>
        <v>#DIV/0!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 t="str">
        <f>M64/C17*100000</f>
        <v>#DIV/0!</v>
      </c>
      <c r="O64" s="71"/>
      <c r="P64" s="28" t="str">
        <f>O64/D17*100000</f>
        <v>#DIV/0!</v>
      </c>
      <c r="Q64" s="71"/>
      <c r="R64" s="28" t="str">
        <f>Q64/E17*100000</f>
        <v>#DIV/0!</v>
      </c>
      <c r="S64" s="61"/>
      <c r="T64" s="28" t="str">
        <f>S64/F17*100000</f>
        <v>#DIV/0!</v>
      </c>
      <c r="U64" s="28"/>
      <c r="V64" s="28" t="str">
        <f>U64/G17*100000</f>
        <v>#DIV/0!</v>
      </c>
      <c r="W64" s="61"/>
      <c r="X64" s="28" t="str">
        <f>W64/H17*100000</f>
        <v>#DIV/0!</v>
      </c>
      <c r="Y64" s="40">
        <f t="shared" ref="Y64:Z64" si="70">((M64+O64+Q64+S64)/1)</f>
        <v>0</v>
      </c>
      <c r="Z64" s="40" t="str">
        <f t="shared" si="70"/>
        <v>#DIV/0!</v>
      </c>
      <c r="AA64" s="13">
        <f t="shared" si="3"/>
        <v>0</v>
      </c>
      <c r="AB64" s="13" t="str">
        <f t="shared" si="4"/>
        <v>#DIV/0!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 t="str">
        <f>M65/C17*100000</f>
        <v>#DIV/0!</v>
      </c>
      <c r="O65" s="71"/>
      <c r="P65" s="28" t="str">
        <f>O65/D17*100000</f>
        <v>#DIV/0!</v>
      </c>
      <c r="Q65" s="71"/>
      <c r="R65" s="28" t="str">
        <f>Q65/E17*100000</f>
        <v>#DIV/0!</v>
      </c>
      <c r="S65" s="71"/>
      <c r="T65" s="28" t="str">
        <f>S65/F17*100000</f>
        <v>#DIV/0!</v>
      </c>
      <c r="U65" s="71"/>
      <c r="V65" s="28" t="str">
        <f>U65/G17*100000</f>
        <v>#DIV/0!</v>
      </c>
      <c r="W65" s="61"/>
      <c r="X65" s="28" t="str">
        <f>W65/H17*100000</f>
        <v>#DIV/0!</v>
      </c>
      <c r="Y65" s="40">
        <f t="shared" ref="Y65:Z65" si="71">((M65+O65+Q65+S65)/1)</f>
        <v>0</v>
      </c>
      <c r="Z65" s="40" t="str">
        <f t="shared" si="71"/>
        <v>#DIV/0!</v>
      </c>
      <c r="AA65" s="13">
        <f t="shared" si="3"/>
        <v>0</v>
      </c>
      <c r="AB65" s="13" t="str">
        <f t="shared" si="4"/>
        <v>#DIV/0!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 t="str">
        <f>M66/C17*100000</f>
        <v>#DIV/0!</v>
      </c>
      <c r="O66" s="71"/>
      <c r="P66" s="28" t="str">
        <f>O66/D17*100000</f>
        <v>#DIV/0!</v>
      </c>
      <c r="Q66" s="71"/>
      <c r="R66" s="28" t="str">
        <f>Q66/E17*100000</f>
        <v>#DIV/0!</v>
      </c>
      <c r="S66" s="71"/>
      <c r="T66" s="28" t="str">
        <f>S66/F17*100000</f>
        <v>#DIV/0!</v>
      </c>
      <c r="U66" s="71"/>
      <c r="V66" s="28" t="str">
        <f>U66/G17*100000</f>
        <v>#DIV/0!</v>
      </c>
      <c r="W66" s="61"/>
      <c r="X66" s="28" t="str">
        <f>W66/H17*100000</f>
        <v>#DIV/0!</v>
      </c>
      <c r="Y66" s="40">
        <f t="shared" ref="Y66:Z66" si="72">((M66+O66+Q66+S66)/1)</f>
        <v>0</v>
      </c>
      <c r="Z66" s="40" t="str">
        <f t="shared" si="72"/>
        <v>#DIV/0!</v>
      </c>
      <c r="AA66" s="13">
        <f t="shared" si="3"/>
        <v>0</v>
      </c>
      <c r="AB66" s="13" t="str">
        <f t="shared" si="4"/>
        <v>#DIV/0!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 t="str">
        <f>M67/C17*100000</f>
        <v>#DIV/0!</v>
      </c>
      <c r="O67" s="71"/>
      <c r="P67" s="28" t="str">
        <f>O67/D17*100000</f>
        <v>#DIV/0!</v>
      </c>
      <c r="Q67" s="71"/>
      <c r="R67" s="28" t="str">
        <f>Q67/E17*100000</f>
        <v>#DIV/0!</v>
      </c>
      <c r="S67" s="71"/>
      <c r="T67" s="28" t="str">
        <f>S67/F17*100000</f>
        <v>#DIV/0!</v>
      </c>
      <c r="U67" s="71"/>
      <c r="V67" s="28" t="str">
        <f>U67/G17*100000</f>
        <v>#DIV/0!</v>
      </c>
      <c r="W67" s="61"/>
      <c r="X67" s="28" t="str">
        <f>W67/H17*100000</f>
        <v>#DIV/0!</v>
      </c>
      <c r="Y67" s="40">
        <f t="shared" ref="Y67:Z67" si="73">((M67+O67+Q67+S67)/1)</f>
        <v>0</v>
      </c>
      <c r="Z67" s="40" t="str">
        <f t="shared" si="73"/>
        <v>#DIV/0!</v>
      </c>
      <c r="AA67" s="13">
        <f t="shared" si="3"/>
        <v>0</v>
      </c>
      <c r="AB67" s="13" t="str">
        <f t="shared" si="4"/>
        <v>#DIV/0!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 t="str">
        <f>M68/C11*100000</f>
        <v>#DIV/0!</v>
      </c>
      <c r="O68" s="71"/>
      <c r="P68" s="28" t="str">
        <f>O68/D11*100000</f>
        <v>#DIV/0!</v>
      </c>
      <c r="Q68" s="71"/>
      <c r="R68" s="28" t="str">
        <f>Q68/E11*100000</f>
        <v>#DIV/0!</v>
      </c>
      <c r="S68" s="71"/>
      <c r="T68" s="28" t="str">
        <f>S68/F11*100000</f>
        <v>#DIV/0!</v>
      </c>
      <c r="U68" s="71"/>
      <c r="V68" s="28" t="str">
        <f>U68/G11*100000</f>
        <v>#DIV/0!</v>
      </c>
      <c r="W68" s="61"/>
      <c r="X68" s="28" t="str">
        <f>W68/H11*100000</f>
        <v>#DIV/0!</v>
      </c>
      <c r="Y68" s="40">
        <f t="shared" ref="Y68:Z68" si="74">((M68+O68+Q68+S68)/2)</f>
        <v>0</v>
      </c>
      <c r="Z68" s="40" t="str">
        <f t="shared" si="74"/>
        <v>#DIV/0!</v>
      </c>
      <c r="AA68" s="13">
        <f t="shared" si="3"/>
        <v>0</v>
      </c>
      <c r="AB68" s="13" t="str">
        <f t="shared" si="4"/>
        <v>#DIV/0!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 t="str">
        <f>M69/C11*100000</f>
        <v>#DIV/0!</v>
      </c>
      <c r="O69" s="71"/>
      <c r="P69" s="28" t="str">
        <f>O69/D11*100000</f>
        <v>#DIV/0!</v>
      </c>
      <c r="Q69" s="71"/>
      <c r="R69" s="28" t="str">
        <f>Q69/E11*100000</f>
        <v>#DIV/0!</v>
      </c>
      <c r="S69" s="71"/>
      <c r="T69" s="28" t="str">
        <f>S69/F11*100000</f>
        <v>#DIV/0!</v>
      </c>
      <c r="U69" s="71"/>
      <c r="V69" s="28" t="str">
        <f>U69/G11*100000</f>
        <v>#DIV/0!</v>
      </c>
      <c r="W69" s="61"/>
      <c r="X69" s="28" t="str">
        <f>W69/H11*100000</f>
        <v>#DIV/0!</v>
      </c>
      <c r="Y69" s="13">
        <f t="shared" ref="Y69:Z69" si="75">((M69+O69+Q69+S69)/2)</f>
        <v>0</v>
      </c>
      <c r="Z69" s="13" t="str">
        <f t="shared" si="75"/>
        <v>#DIV/0!</v>
      </c>
      <c r="AA69" s="13">
        <f t="shared" si="3"/>
        <v>0</v>
      </c>
      <c r="AB69" s="13" t="str">
        <f t="shared" si="4"/>
        <v>#DIV/0!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 t="str">
        <f>M70/C7*100000</f>
        <v>#DIV/0!</v>
      </c>
      <c r="O70" s="77"/>
      <c r="P70" s="39" t="str">
        <f>O70/D7*100000</f>
        <v>#DIV/0!</v>
      </c>
      <c r="Q70" s="77"/>
      <c r="R70" s="39" t="str">
        <f>Q70/E7*100000</f>
        <v>#DIV/0!</v>
      </c>
      <c r="S70" s="77"/>
      <c r="T70" s="39" t="str">
        <f>S70/F7*100000</f>
        <v>#DIV/0!</v>
      </c>
      <c r="U70" s="77"/>
      <c r="V70" s="39" t="str">
        <f>U70/G7*100000</f>
        <v>#DIV/0!</v>
      </c>
      <c r="W70" s="76"/>
      <c r="X70" s="39" t="str">
        <f>W70/H7*100000</f>
        <v>#DIV/0!</v>
      </c>
      <c r="Y70" s="40">
        <f t="shared" ref="Y70:Z70" si="76">((M70+O70+Q70+S70)/1)</f>
        <v>0</v>
      </c>
      <c r="Z70" s="40" t="str">
        <f t="shared" si="76"/>
        <v>#DIV/0!</v>
      </c>
      <c r="AA70" s="40">
        <f t="shared" si="3"/>
        <v>0</v>
      </c>
      <c r="AB70" s="40" t="str">
        <f t="shared" si="4"/>
        <v>#DIV/0!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9.14"/>
    <col customWidth="1" min="10" max="10" width="5.57"/>
    <col customWidth="1" min="11" max="11" width="9.57"/>
    <col customWidth="1" min="12" max="12" width="36.86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45.75" customHeight="1">
      <c r="B1" s="1"/>
      <c r="C1" s="2" t="s">
        <v>132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45.75" customHeight="1">
      <c r="A2" s="5"/>
      <c r="B2" s="45" t="s">
        <v>138</v>
      </c>
      <c r="I2" s="5"/>
      <c r="J2" s="5"/>
      <c r="K2" s="5"/>
      <c r="L2" s="82" t="s">
        <v>3</v>
      </c>
      <c r="M2" s="83" t="s">
        <v>4</v>
      </c>
      <c r="N2" s="83" t="s">
        <v>5</v>
      </c>
      <c r="O2" s="83" t="s">
        <v>6</v>
      </c>
      <c r="P2" s="83" t="s">
        <v>7</v>
      </c>
      <c r="Q2" s="83" t="s">
        <v>8</v>
      </c>
      <c r="R2" s="83" t="s">
        <v>9</v>
      </c>
      <c r="S2" s="83" t="s">
        <v>10</v>
      </c>
      <c r="T2" s="83" t="s">
        <v>11</v>
      </c>
      <c r="U2" s="83" t="s">
        <v>12</v>
      </c>
      <c r="V2" s="83" t="s">
        <v>13</v>
      </c>
      <c r="W2" s="83" t="s">
        <v>14</v>
      </c>
      <c r="X2" s="83" t="s">
        <v>134</v>
      </c>
      <c r="Y2" s="83" t="s">
        <v>16</v>
      </c>
      <c r="Z2" s="83" t="s">
        <v>17</v>
      </c>
      <c r="AA2" s="83" t="s">
        <v>18</v>
      </c>
      <c r="AB2" s="83" t="s">
        <v>19</v>
      </c>
      <c r="AC2" s="84" t="s">
        <v>20</v>
      </c>
      <c r="AD2" s="85"/>
      <c r="AE2" s="85"/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86">
        <v>837.0</v>
      </c>
      <c r="N3" s="87">
        <f>M3/C7*1000</f>
        <v>5.719088226</v>
      </c>
      <c r="O3" s="86">
        <v>1137.0</v>
      </c>
      <c r="P3" s="87">
        <f>O3/D7*1000</f>
        <v>7.470679063</v>
      </c>
      <c r="Q3" s="88">
        <v>760.0</v>
      </c>
      <c r="R3" s="87">
        <f>Q3/E7*1000</f>
        <v>4.841288547</v>
      </c>
      <c r="S3" s="86">
        <v>688.0</v>
      </c>
      <c r="T3" s="87">
        <f>S3/F7*1000</f>
        <v>4.261513209</v>
      </c>
      <c r="U3" s="86">
        <v>752.0</v>
      </c>
      <c r="V3" s="87">
        <f>U3/G7*1000</f>
        <v>4.532523265</v>
      </c>
      <c r="W3" s="86">
        <v>368.0</v>
      </c>
      <c r="X3" s="87">
        <f>W3/H7*1000</f>
        <v>2.161374822</v>
      </c>
      <c r="Y3" s="87">
        <f t="shared" ref="Y3:Z3" si="1">((M3+O3+Q3+S3)/4)</f>
        <v>855.5</v>
      </c>
      <c r="Z3" s="87">
        <f t="shared" si="1"/>
        <v>5.573142261</v>
      </c>
      <c r="AA3" s="87">
        <f t="shared" ref="AA3:AA70" si="3">((S3+U3)/2)</f>
        <v>720</v>
      </c>
      <c r="AB3" s="87">
        <f t="shared" ref="AB3:AB70" si="4">(V3+X3)/2</f>
        <v>3.346949044</v>
      </c>
      <c r="AC3" s="89" t="s">
        <v>22</v>
      </c>
      <c r="AD3" s="85"/>
      <c r="AE3" s="85"/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86">
        <v>1861.0</v>
      </c>
      <c r="N4" s="87">
        <f>M4/C7*1000</f>
        <v>12.71591779</v>
      </c>
      <c r="O4" s="86">
        <v>1729.0</v>
      </c>
      <c r="P4" s="87">
        <f>O4/D7*1000</f>
        <v>11.36042577</v>
      </c>
      <c r="Q4" s="88">
        <v>1724.0</v>
      </c>
      <c r="R4" s="87">
        <f>Q4/E7*1000</f>
        <v>10.98208086</v>
      </c>
      <c r="S4" s="86">
        <v>1635.0</v>
      </c>
      <c r="T4" s="87">
        <f>S4/F7*1000</f>
        <v>10.12728793</v>
      </c>
      <c r="U4" s="86">
        <v>1519.0</v>
      </c>
      <c r="V4" s="87">
        <f>U4/G7*1000</f>
        <v>9.155455904</v>
      </c>
      <c r="W4" s="86">
        <v>761.0</v>
      </c>
      <c r="X4" s="87">
        <f>W4/H7*1000</f>
        <v>4.469582173</v>
      </c>
      <c r="Y4" s="87">
        <f t="shared" ref="Y4:Z4" si="2">((M4+O4+Q4+S4)/4)</f>
        <v>1737.25</v>
      </c>
      <c r="Z4" s="87">
        <f t="shared" si="2"/>
        <v>11.29642809</v>
      </c>
      <c r="AA4" s="87">
        <f t="shared" si="3"/>
        <v>1577</v>
      </c>
      <c r="AB4" s="87">
        <f t="shared" si="4"/>
        <v>6.812519039</v>
      </c>
      <c r="AC4" s="89" t="s">
        <v>24</v>
      </c>
      <c r="AD4" s="85"/>
      <c r="AE4" s="85"/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90" t="s">
        <v>139</v>
      </c>
      <c r="J5" s="5"/>
      <c r="K5" s="5"/>
      <c r="L5" s="11" t="s">
        <v>32</v>
      </c>
      <c r="M5" s="86">
        <v>2.0</v>
      </c>
      <c r="N5" s="87">
        <f>M5/C12*100000</f>
        <v>107.2961373</v>
      </c>
      <c r="O5" s="86">
        <v>2.0</v>
      </c>
      <c r="P5" s="87">
        <f>O5/D12*100000</f>
        <v>115.942029</v>
      </c>
      <c r="Q5" s="88">
        <v>0.0</v>
      </c>
      <c r="R5" s="87">
        <f>Q5/E12*100000</f>
        <v>0</v>
      </c>
      <c r="S5" s="86">
        <v>0.0</v>
      </c>
      <c r="T5" s="87">
        <f>S5/F12*100000</f>
        <v>0</v>
      </c>
      <c r="U5" s="86">
        <v>2.0</v>
      </c>
      <c r="V5" s="87">
        <f>U5/G12*100000</f>
        <v>131.061599</v>
      </c>
      <c r="W5" s="86">
        <v>0.0</v>
      </c>
      <c r="X5" s="87">
        <f>W5/H12*100000</f>
        <v>0</v>
      </c>
      <c r="Y5" s="87">
        <f t="shared" ref="Y5:Z5" si="5">((M5+O5+Q5+S5)/4)</f>
        <v>1</v>
      </c>
      <c r="Z5" s="87">
        <f t="shared" si="5"/>
        <v>55.80954158</v>
      </c>
      <c r="AA5" s="87">
        <f t="shared" si="3"/>
        <v>1</v>
      </c>
      <c r="AB5" s="87">
        <f t="shared" si="4"/>
        <v>65.53079948</v>
      </c>
      <c r="AC5" s="89" t="s">
        <v>33</v>
      </c>
      <c r="AD5" s="85"/>
      <c r="AE5" s="85"/>
    </row>
    <row r="6" ht="14.25" customHeight="1">
      <c r="A6" s="5"/>
      <c r="B6" s="52"/>
      <c r="C6" s="62"/>
      <c r="D6" s="62"/>
      <c r="E6" s="62"/>
      <c r="F6" s="62"/>
      <c r="G6" s="62"/>
      <c r="H6" s="91"/>
      <c r="I6" s="92"/>
      <c r="J6" s="5"/>
      <c r="K6" s="5"/>
      <c r="L6" s="11" t="s">
        <v>34</v>
      </c>
      <c r="M6" s="86">
        <v>56.0</v>
      </c>
      <c r="N6" s="87">
        <f>M6/M4*1000</f>
        <v>30.09134874</v>
      </c>
      <c r="O6" s="86">
        <v>91.0</v>
      </c>
      <c r="P6" s="87">
        <f>O6/O4*1000</f>
        <v>52.63157895</v>
      </c>
      <c r="Q6" s="88">
        <v>38.0</v>
      </c>
      <c r="R6" s="87">
        <f>Q6/Q4*1000</f>
        <v>22.04176334</v>
      </c>
      <c r="S6" s="86">
        <v>31.0</v>
      </c>
      <c r="T6" s="87">
        <f>S6/S4*1000</f>
        <v>18.96024465</v>
      </c>
      <c r="U6" s="86">
        <v>23.0</v>
      </c>
      <c r="V6" s="87">
        <f>U6/U4*1000</f>
        <v>15.14154049</v>
      </c>
      <c r="W6" s="86">
        <v>17.0</v>
      </c>
      <c r="X6" s="87">
        <f>W6/W4*1000</f>
        <v>22.3390276</v>
      </c>
      <c r="Y6" s="87">
        <f t="shared" ref="Y6:Z6" si="6">((M6+O6+Q6+S6)/4)</f>
        <v>54</v>
      </c>
      <c r="Z6" s="87">
        <f t="shared" si="6"/>
        <v>30.93123392</v>
      </c>
      <c r="AA6" s="87">
        <f t="shared" si="3"/>
        <v>27</v>
      </c>
      <c r="AB6" s="87">
        <f t="shared" si="4"/>
        <v>18.74028404</v>
      </c>
      <c r="AC6" s="89" t="s">
        <v>22</v>
      </c>
      <c r="AD6" s="85"/>
      <c r="AE6" s="85"/>
    </row>
    <row r="7" ht="14.25" customHeight="1">
      <c r="A7" s="5"/>
      <c r="B7" s="55" t="s">
        <v>35</v>
      </c>
      <c r="C7" s="93">
        <v>146352.0</v>
      </c>
      <c r="D7" s="93">
        <v>152195.0</v>
      </c>
      <c r="E7" s="93">
        <v>156983.0</v>
      </c>
      <c r="F7" s="93">
        <v>161445.0</v>
      </c>
      <c r="G7" s="93">
        <v>165912.0</v>
      </c>
      <c r="H7" s="93">
        <v>170262.0</v>
      </c>
      <c r="I7" s="94">
        <v>174415.0</v>
      </c>
      <c r="J7" s="5"/>
      <c r="K7" s="5"/>
      <c r="L7" s="11" t="s">
        <v>36</v>
      </c>
      <c r="M7" s="86">
        <v>27.0</v>
      </c>
      <c r="N7" s="95">
        <f>(ZIPAQUIRA!$M7/(M4+M6))*1000</f>
        <v>14.08450704</v>
      </c>
      <c r="O7" s="86">
        <v>19.0</v>
      </c>
      <c r="P7" s="95">
        <f>ZIPAQUIRA!$O7/(O4+O6)*1000</f>
        <v>10.43956044</v>
      </c>
      <c r="Q7" s="88">
        <v>25.0</v>
      </c>
      <c r="R7" s="95">
        <f>ZIPAQUIRA!$Q7/(Q4+Q6)*1000</f>
        <v>14.18842225</v>
      </c>
      <c r="S7" s="86">
        <v>19.0</v>
      </c>
      <c r="T7" s="95">
        <f>ZIPAQUIRA!$S7/(S4+S6)*1000</f>
        <v>11.40456182</v>
      </c>
      <c r="U7" s="86">
        <v>21.0</v>
      </c>
      <c r="V7" s="95">
        <f>(ZIPAQUIRA!$U7/(U4+U6))*1000</f>
        <v>13.61867704</v>
      </c>
      <c r="W7" s="86">
        <v>11.0</v>
      </c>
      <c r="X7" s="95">
        <f>ZIPAQUIRA!$W7/(W4+W6)*1000</f>
        <v>14.13881748</v>
      </c>
      <c r="Y7" s="87">
        <f t="shared" ref="Y7:Z7" si="7">((M7+O7+Q7+S7)/4)</f>
        <v>22.5</v>
      </c>
      <c r="Z7" s="87">
        <f t="shared" si="7"/>
        <v>12.52926289</v>
      </c>
      <c r="AA7" s="87">
        <f t="shared" si="3"/>
        <v>20</v>
      </c>
      <c r="AB7" s="87">
        <f t="shared" si="4"/>
        <v>13.87874726</v>
      </c>
      <c r="AC7" s="89" t="s">
        <v>37</v>
      </c>
      <c r="AD7" s="85"/>
      <c r="AE7" s="85"/>
    </row>
    <row r="8" ht="14.25" customHeight="1">
      <c r="A8" s="5"/>
      <c r="B8" s="55" t="s">
        <v>38</v>
      </c>
      <c r="C8" s="94">
        <v>121962.0</v>
      </c>
      <c r="D8" s="94">
        <v>127731.0</v>
      </c>
      <c r="E8" s="94">
        <v>132465.0</v>
      </c>
      <c r="F8" s="94">
        <v>136881.0</v>
      </c>
      <c r="G8" s="94">
        <v>141280.0</v>
      </c>
      <c r="H8" s="94">
        <v>145563.0</v>
      </c>
      <c r="I8" s="94">
        <v>149636.0</v>
      </c>
      <c r="J8" s="5"/>
      <c r="K8" s="5"/>
      <c r="L8" s="11" t="s">
        <v>39</v>
      </c>
      <c r="M8" s="86">
        <v>0.0</v>
      </c>
      <c r="N8" s="87">
        <f>M8/C15*1000</f>
        <v>0</v>
      </c>
      <c r="O8" s="86">
        <v>0.0</v>
      </c>
      <c r="P8" s="87">
        <f>O8/D15*1000</f>
        <v>0</v>
      </c>
      <c r="Q8" s="88">
        <v>0.0</v>
      </c>
      <c r="R8" s="87">
        <f>Q8/E15*1000</f>
        <v>0</v>
      </c>
      <c r="S8" s="86">
        <v>0.0</v>
      </c>
      <c r="T8" s="87">
        <f>S8/F15*1000</f>
        <v>0</v>
      </c>
      <c r="U8" s="86">
        <v>0.0</v>
      </c>
      <c r="V8" s="87">
        <f>U8/G15*1000</f>
        <v>0</v>
      </c>
      <c r="W8" s="86">
        <v>0.0</v>
      </c>
      <c r="X8" s="87">
        <f>W8/H15*1000</f>
        <v>0</v>
      </c>
      <c r="Y8" s="87">
        <f t="shared" ref="Y8:Z8" si="8">((M8+O8+Q8+S8)/4)</f>
        <v>0</v>
      </c>
      <c r="Z8" s="87">
        <f t="shared" si="8"/>
        <v>0</v>
      </c>
      <c r="AA8" s="87">
        <f t="shared" si="3"/>
        <v>0</v>
      </c>
      <c r="AB8" s="87">
        <f t="shared" si="4"/>
        <v>0</v>
      </c>
      <c r="AC8" s="89" t="s">
        <v>37</v>
      </c>
      <c r="AD8" s="85"/>
      <c r="AE8" s="85"/>
    </row>
    <row r="9" ht="14.25" customHeight="1">
      <c r="A9" s="5"/>
      <c r="B9" s="55" t="s">
        <v>40</v>
      </c>
      <c r="C9" s="96">
        <v>24390.0</v>
      </c>
      <c r="D9" s="96">
        <v>24464.0</v>
      </c>
      <c r="E9" s="96">
        <v>24518.0</v>
      </c>
      <c r="F9" s="96">
        <v>24564.0</v>
      </c>
      <c r="G9" s="96">
        <v>24632.0</v>
      </c>
      <c r="H9" s="96">
        <v>24699.0</v>
      </c>
      <c r="I9" s="96">
        <v>24779.0</v>
      </c>
      <c r="J9" s="5"/>
      <c r="K9" s="5"/>
      <c r="L9" s="11" t="s">
        <v>41</v>
      </c>
      <c r="M9" s="86">
        <v>48.0</v>
      </c>
      <c r="N9" s="87">
        <f>M9/C7*100000</f>
        <v>32.79763857</v>
      </c>
      <c r="O9" s="86">
        <v>61.0</v>
      </c>
      <c r="P9" s="87">
        <f>O9/D7*100000</f>
        <v>40.08016032</v>
      </c>
      <c r="Q9" s="88">
        <v>68.0</v>
      </c>
      <c r="R9" s="87">
        <f>Q9/E7*100000</f>
        <v>43.31679226</v>
      </c>
      <c r="S9" s="86">
        <v>50.0</v>
      </c>
      <c r="T9" s="87">
        <f>S9/F7*100000</f>
        <v>30.97029948</v>
      </c>
      <c r="U9" s="86">
        <v>48.0</v>
      </c>
      <c r="V9" s="87">
        <f>U9/G7*100000</f>
        <v>28.93099957</v>
      </c>
      <c r="W9" s="86">
        <v>33.0</v>
      </c>
      <c r="X9" s="87">
        <f>W9/H7*100000</f>
        <v>19.38189379</v>
      </c>
      <c r="Y9" s="87">
        <f t="shared" ref="Y9:Z9" si="9">((M9+O9+Q9+S9)/4)</f>
        <v>56.75</v>
      </c>
      <c r="Z9" s="87">
        <f t="shared" si="9"/>
        <v>36.79122266</v>
      </c>
      <c r="AA9" s="87">
        <f t="shared" si="3"/>
        <v>49</v>
      </c>
      <c r="AB9" s="87">
        <f t="shared" si="4"/>
        <v>24.15644668</v>
      </c>
      <c r="AC9" s="89" t="s">
        <v>22</v>
      </c>
      <c r="AD9" s="85"/>
      <c r="AE9" s="85"/>
    </row>
    <row r="10" ht="14.25" customHeight="1">
      <c r="A10" s="5"/>
      <c r="B10" s="55" t="s">
        <v>42</v>
      </c>
      <c r="C10" s="93">
        <v>71026.0</v>
      </c>
      <c r="D10" s="93">
        <v>73876.0</v>
      </c>
      <c r="E10" s="93">
        <v>76207.0</v>
      </c>
      <c r="F10" s="93">
        <v>78379.0</v>
      </c>
      <c r="G10" s="93">
        <v>80537.0</v>
      </c>
      <c r="H10" s="93">
        <v>82649.0</v>
      </c>
      <c r="I10" s="94">
        <v>84671.0</v>
      </c>
      <c r="J10" s="5"/>
      <c r="K10" s="5"/>
      <c r="L10" s="11" t="s">
        <v>43</v>
      </c>
      <c r="M10" s="86">
        <v>0.0</v>
      </c>
      <c r="N10" s="87">
        <f>M10/C15*100000</f>
        <v>0</v>
      </c>
      <c r="O10" s="86">
        <v>0.0</v>
      </c>
      <c r="P10" s="87">
        <f t="shared" ref="P10:P11" si="11">O10/D15*100000</f>
        <v>0</v>
      </c>
      <c r="Q10" s="88">
        <v>0.0</v>
      </c>
      <c r="R10" s="87">
        <f>Q10/E15*100000</f>
        <v>0</v>
      </c>
      <c r="S10" s="86">
        <v>0.0</v>
      </c>
      <c r="T10" s="87">
        <f>S10/F15*100000</f>
        <v>0</v>
      </c>
      <c r="U10" s="86">
        <v>0.0</v>
      </c>
      <c r="V10" s="87">
        <f>U10/G15*100000</f>
        <v>0</v>
      </c>
      <c r="W10" s="86">
        <v>0.0</v>
      </c>
      <c r="X10" s="87">
        <f>W10/H15*100000</f>
        <v>0</v>
      </c>
      <c r="Y10" s="87">
        <f t="shared" ref="Y10:Z10" si="10">((M10+O10+Q10+S10)/4)</f>
        <v>0</v>
      </c>
      <c r="Z10" s="87">
        <f t="shared" si="10"/>
        <v>0</v>
      </c>
      <c r="AA10" s="87">
        <f t="shared" si="3"/>
        <v>0</v>
      </c>
      <c r="AB10" s="87">
        <f t="shared" si="4"/>
        <v>0</v>
      </c>
      <c r="AC10" s="89" t="s">
        <v>22</v>
      </c>
      <c r="AD10" s="85"/>
      <c r="AE10" s="85"/>
    </row>
    <row r="11" ht="14.25" customHeight="1">
      <c r="A11" s="5"/>
      <c r="B11" s="97" t="s">
        <v>44</v>
      </c>
      <c r="C11" s="93">
        <v>75326.0</v>
      </c>
      <c r="D11" s="93">
        <v>78319.0</v>
      </c>
      <c r="E11" s="93">
        <v>80776.0</v>
      </c>
      <c r="F11" s="93">
        <v>83066.0</v>
      </c>
      <c r="G11" s="93">
        <v>85375.0</v>
      </c>
      <c r="H11" s="93">
        <v>87613.0</v>
      </c>
      <c r="I11" s="94">
        <v>89744.0</v>
      </c>
      <c r="J11" s="5"/>
      <c r="K11" s="5"/>
      <c r="L11" s="11" t="s">
        <v>45</v>
      </c>
      <c r="M11" s="86">
        <v>0.0</v>
      </c>
      <c r="N11" s="87">
        <f>M11/C15*100000</f>
        <v>0</v>
      </c>
      <c r="O11" s="86">
        <v>0.0</v>
      </c>
      <c r="P11" s="87">
        <f t="shared" si="11"/>
        <v>0</v>
      </c>
      <c r="Q11" s="88">
        <v>0.0</v>
      </c>
      <c r="R11" s="87">
        <f>Q11/F16*100000</f>
        <v>0</v>
      </c>
      <c r="S11" s="86">
        <v>0.0</v>
      </c>
      <c r="T11" s="87">
        <f>S11/F15*100000</f>
        <v>0</v>
      </c>
      <c r="U11" s="86">
        <v>0.0</v>
      </c>
      <c r="V11" s="87">
        <f>U11/G15*100000</f>
        <v>0</v>
      </c>
      <c r="W11" s="86">
        <v>0.0</v>
      </c>
      <c r="X11" s="87">
        <f>W11/H15*100000</f>
        <v>0</v>
      </c>
      <c r="Y11" s="87">
        <f t="shared" ref="Y11:Z11" si="12">((M11+O11+Q11+S11)/4)</f>
        <v>0</v>
      </c>
      <c r="Z11" s="87">
        <f t="shared" si="12"/>
        <v>0</v>
      </c>
      <c r="AA11" s="87">
        <f t="shared" si="3"/>
        <v>0</v>
      </c>
      <c r="AB11" s="87">
        <f t="shared" si="4"/>
        <v>0</v>
      </c>
      <c r="AC11" s="89" t="s">
        <v>22</v>
      </c>
      <c r="AD11" s="85"/>
      <c r="AE11" s="85"/>
    </row>
    <row r="12" ht="14.25" customHeight="1">
      <c r="A12" s="5"/>
      <c r="B12" s="97" t="s">
        <v>46</v>
      </c>
      <c r="C12" s="93">
        <v>1864.0</v>
      </c>
      <c r="D12" s="93">
        <v>1725.0</v>
      </c>
      <c r="E12" s="93">
        <v>1724.0</v>
      </c>
      <c r="F12" s="93">
        <v>1636.0</v>
      </c>
      <c r="G12" s="93">
        <v>1526.0</v>
      </c>
      <c r="H12" s="93">
        <v>759.0</v>
      </c>
      <c r="I12" s="94"/>
      <c r="J12" s="5"/>
      <c r="K12" s="5"/>
      <c r="L12" s="11" t="s">
        <v>47</v>
      </c>
      <c r="M12" s="86">
        <v>404.0</v>
      </c>
      <c r="N12" s="87">
        <f>M12/C7*100000</f>
        <v>276.0467913</v>
      </c>
      <c r="O12" s="86">
        <v>471.0</v>
      </c>
      <c r="P12" s="87">
        <f>O12/D7*100000</f>
        <v>309.4714018</v>
      </c>
      <c r="Q12" s="88">
        <v>798.0</v>
      </c>
      <c r="R12" s="87">
        <f>Q12/E7*100000</f>
        <v>508.3352975</v>
      </c>
      <c r="S12" s="86">
        <v>791.0</v>
      </c>
      <c r="T12" s="87">
        <f>S12/F7*100000</f>
        <v>489.9501378</v>
      </c>
      <c r="U12" s="86">
        <v>773.0</v>
      </c>
      <c r="V12" s="87">
        <f>U12/G7*100000</f>
        <v>465.9096388</v>
      </c>
      <c r="W12" s="86">
        <v>640.0</v>
      </c>
      <c r="X12" s="87">
        <f>W12/H7*100000</f>
        <v>375.8912734</v>
      </c>
      <c r="Y12" s="87">
        <f t="shared" ref="Y12:Z12" si="13">((M12+O12+Q12+S12)/4)</f>
        <v>616</v>
      </c>
      <c r="Z12" s="87">
        <f t="shared" si="13"/>
        <v>395.9509071</v>
      </c>
      <c r="AA12" s="87">
        <f t="shared" si="3"/>
        <v>782</v>
      </c>
      <c r="AB12" s="87">
        <f t="shared" si="4"/>
        <v>420.9004561</v>
      </c>
      <c r="AC12" s="89" t="s">
        <v>48</v>
      </c>
      <c r="AD12" s="85"/>
      <c r="AE12" s="85"/>
    </row>
    <row r="13" ht="14.25" customHeight="1">
      <c r="A13" s="5"/>
      <c r="B13" s="97" t="s">
        <v>49</v>
      </c>
      <c r="C13" s="93">
        <v>844.0</v>
      </c>
      <c r="D13" s="93">
        <v>1140.0</v>
      </c>
      <c r="E13" s="93">
        <v>764.0</v>
      </c>
      <c r="F13" s="93">
        <v>692.0</v>
      </c>
      <c r="G13" s="93">
        <v>762.0</v>
      </c>
      <c r="H13" s="93">
        <v>368.0</v>
      </c>
      <c r="I13" s="94"/>
      <c r="J13" s="5"/>
      <c r="K13" s="5"/>
      <c r="L13" s="11" t="s">
        <v>50</v>
      </c>
      <c r="M13" s="86">
        <v>348.0</v>
      </c>
      <c r="N13" s="87">
        <f>M13/C11*100000</f>
        <v>461.9918753</v>
      </c>
      <c r="O13" s="86">
        <v>402.0</v>
      </c>
      <c r="P13" s="87">
        <f>O13/D11*100000</f>
        <v>513.2854097</v>
      </c>
      <c r="Q13" s="88">
        <v>678.0</v>
      </c>
      <c r="R13" s="87">
        <f>Q13/E11*100000</f>
        <v>839.3582252</v>
      </c>
      <c r="S13" s="86">
        <v>676.0</v>
      </c>
      <c r="T13" s="87">
        <f>S13/F11*100000</f>
        <v>813.8107047</v>
      </c>
      <c r="U13" s="86">
        <v>641.0</v>
      </c>
      <c r="V13" s="87">
        <f>U13/G11*100000</f>
        <v>750.8052709</v>
      </c>
      <c r="W13" s="86">
        <v>514.0</v>
      </c>
      <c r="X13" s="87">
        <f>W13/H11*100000</f>
        <v>586.6709278</v>
      </c>
      <c r="Y13" s="87">
        <f t="shared" ref="Y13:Z13" si="14">((M13+O13+Q13+S13)/4)</f>
        <v>526</v>
      </c>
      <c r="Z13" s="87">
        <f t="shared" si="14"/>
        <v>657.1115537</v>
      </c>
      <c r="AA13" s="87">
        <f t="shared" si="3"/>
        <v>658.5</v>
      </c>
      <c r="AB13" s="87">
        <f t="shared" si="4"/>
        <v>668.7380993</v>
      </c>
      <c r="AC13" s="89" t="s">
        <v>48</v>
      </c>
      <c r="AD13" s="85"/>
      <c r="AE13" s="85"/>
    </row>
    <row r="14" ht="14.25" customHeight="1">
      <c r="A14" s="5"/>
      <c r="B14" s="97" t="s">
        <v>51</v>
      </c>
      <c r="C14" s="94">
        <v>2246.0</v>
      </c>
      <c r="D14" s="94">
        <v>2291.0</v>
      </c>
      <c r="E14" s="94">
        <v>2331.0</v>
      </c>
      <c r="F14" s="94">
        <v>2358.0</v>
      </c>
      <c r="G14" s="94">
        <v>2297.0</v>
      </c>
      <c r="H14" s="94">
        <v>2308.0</v>
      </c>
      <c r="I14" s="94">
        <v>2316.0</v>
      </c>
      <c r="J14" s="5"/>
      <c r="K14" s="5"/>
      <c r="L14" s="11" t="s">
        <v>52</v>
      </c>
      <c r="M14" s="86">
        <v>7.0</v>
      </c>
      <c r="N14" s="87">
        <f>M14/M4*1000</f>
        <v>3.761418592</v>
      </c>
      <c r="O14" s="86">
        <v>4.0</v>
      </c>
      <c r="P14" s="87">
        <f>O14/O4*1000</f>
        <v>2.313475998</v>
      </c>
      <c r="Q14" s="88">
        <v>17.0</v>
      </c>
      <c r="R14" s="87">
        <f>Q14/Q4*1000</f>
        <v>9.860788863</v>
      </c>
      <c r="S14" s="86">
        <v>7.0</v>
      </c>
      <c r="T14" s="87">
        <f>S14/S4*1000</f>
        <v>4.281345566</v>
      </c>
      <c r="U14" s="86">
        <v>6.0</v>
      </c>
      <c r="V14" s="87">
        <f>U14/U4*1000</f>
        <v>3.949967084</v>
      </c>
      <c r="W14" s="86">
        <v>2.0</v>
      </c>
      <c r="X14" s="87">
        <f>W14/W4*1000</f>
        <v>2.628120894</v>
      </c>
      <c r="Y14" s="87">
        <f t="shared" ref="Y14:Z14" si="15">((M14+O14+Q14+S14)/4)</f>
        <v>8.75</v>
      </c>
      <c r="Z14" s="87">
        <f t="shared" si="15"/>
        <v>5.054257255</v>
      </c>
      <c r="AA14" s="87">
        <f t="shared" si="3"/>
        <v>6.5</v>
      </c>
      <c r="AB14" s="87">
        <f t="shared" si="4"/>
        <v>3.289043989</v>
      </c>
      <c r="AC14" s="89" t="s">
        <v>22</v>
      </c>
      <c r="AD14" s="85"/>
      <c r="AE14" s="85"/>
    </row>
    <row r="15" ht="14.25" customHeight="1">
      <c r="A15" s="5"/>
      <c r="B15" s="97" t="s">
        <v>53</v>
      </c>
      <c r="C15" s="94">
        <v>11494.0</v>
      </c>
      <c r="D15" s="94">
        <v>11844.0</v>
      </c>
      <c r="E15" s="94">
        <v>12051.0</v>
      </c>
      <c r="F15" s="94">
        <v>12176.0</v>
      </c>
      <c r="G15" s="94">
        <v>12024.0</v>
      </c>
      <c r="H15" s="94">
        <v>12088.0</v>
      </c>
      <c r="I15" s="94">
        <v>12127.0</v>
      </c>
      <c r="J15" s="5"/>
      <c r="K15" s="5"/>
      <c r="L15" s="11" t="s">
        <v>54</v>
      </c>
      <c r="M15" s="86">
        <v>3.0</v>
      </c>
      <c r="N15" s="87">
        <f>M15/C15*100000</f>
        <v>26.10057421</v>
      </c>
      <c r="O15" s="86">
        <v>4.0</v>
      </c>
      <c r="P15" s="87">
        <f>O15/D15*100000</f>
        <v>33.7723742</v>
      </c>
      <c r="Q15" s="88">
        <v>2.0</v>
      </c>
      <c r="R15" s="87">
        <f>Q15/E15*100000</f>
        <v>16.5961331</v>
      </c>
      <c r="S15" s="86">
        <v>3.0</v>
      </c>
      <c r="T15" s="87">
        <f>S15/F15*100000</f>
        <v>24.63863338</v>
      </c>
      <c r="U15" s="86">
        <v>1.0</v>
      </c>
      <c r="V15" s="87">
        <f>U15/G15*100000</f>
        <v>8.316699933</v>
      </c>
      <c r="W15" s="86">
        <v>0.0</v>
      </c>
      <c r="X15" s="87">
        <f>W15/H15*100000</f>
        <v>0</v>
      </c>
      <c r="Y15" s="87">
        <f t="shared" ref="Y15:Z15" si="16">((M15+O15+Q15+S15)/4)</f>
        <v>3</v>
      </c>
      <c r="Z15" s="87">
        <f t="shared" si="16"/>
        <v>25.27692872</v>
      </c>
      <c r="AA15" s="87">
        <f t="shared" si="3"/>
        <v>2</v>
      </c>
      <c r="AB15" s="87">
        <f t="shared" si="4"/>
        <v>4.158349967</v>
      </c>
      <c r="AC15" s="89" t="s">
        <v>22</v>
      </c>
      <c r="AD15" s="85"/>
      <c r="AE15" s="85"/>
    </row>
    <row r="16" ht="14.25" customHeight="1">
      <c r="A16" s="5"/>
      <c r="B16" s="97" t="s">
        <v>55</v>
      </c>
      <c r="C16" s="94">
        <v>111043.0</v>
      </c>
      <c r="D16" s="94">
        <v>115805.0</v>
      </c>
      <c r="E16" s="94">
        <v>119755.0</v>
      </c>
      <c r="F16" s="94">
        <v>123459.0</v>
      </c>
      <c r="G16" s="94">
        <v>127326.0</v>
      </c>
      <c r="H16" s="94">
        <v>131044.0</v>
      </c>
      <c r="I16" s="94">
        <v>134670.0</v>
      </c>
      <c r="J16" s="5"/>
      <c r="K16" s="5"/>
      <c r="L16" s="11" t="s">
        <v>56</v>
      </c>
      <c r="M16" s="86">
        <v>202.0</v>
      </c>
      <c r="N16" s="87">
        <f>(M16/M4)*100</f>
        <v>10.85437937</v>
      </c>
      <c r="O16" s="86">
        <v>232.0</v>
      </c>
      <c r="P16" s="87">
        <f>O16/O4*100</f>
        <v>13.41816079</v>
      </c>
      <c r="Q16" s="88">
        <v>254.0</v>
      </c>
      <c r="R16" s="87">
        <f>Q16/Q4*100</f>
        <v>14.73317865</v>
      </c>
      <c r="S16" s="86">
        <v>210.0</v>
      </c>
      <c r="T16" s="87">
        <f>S16/S4*100</f>
        <v>12.8440367</v>
      </c>
      <c r="U16" s="86">
        <v>209.0</v>
      </c>
      <c r="V16" s="87">
        <f>U16/U4*100</f>
        <v>13.75905201</v>
      </c>
      <c r="W16" s="86">
        <v>103.0</v>
      </c>
      <c r="X16" s="87">
        <f>W16/W4*100</f>
        <v>13.5348226</v>
      </c>
      <c r="Y16" s="87">
        <f t="shared" ref="Y16:Z16" si="17">((M16+O16+Q16+S16)/4)</f>
        <v>224.5</v>
      </c>
      <c r="Z16" s="87">
        <f t="shared" si="17"/>
        <v>12.96243888</v>
      </c>
      <c r="AA16" s="87">
        <f t="shared" si="3"/>
        <v>209.5</v>
      </c>
      <c r="AB16" s="87">
        <f t="shared" si="4"/>
        <v>13.6469373</v>
      </c>
      <c r="AC16" s="89" t="s">
        <v>24</v>
      </c>
      <c r="AD16" s="85"/>
      <c r="AE16" s="85"/>
    </row>
    <row r="17" ht="14.25" customHeight="1">
      <c r="A17" s="5"/>
      <c r="B17" s="97" t="s">
        <v>57</v>
      </c>
      <c r="C17" s="94">
        <v>42271.0</v>
      </c>
      <c r="D17" s="94">
        <v>43410.0</v>
      </c>
      <c r="E17" s="94">
        <v>44269.0</v>
      </c>
      <c r="F17" s="94">
        <v>45057.0</v>
      </c>
      <c r="G17" s="94">
        <v>45775.0</v>
      </c>
      <c r="H17" s="94">
        <v>46493.0</v>
      </c>
      <c r="I17" s="94">
        <v>47121.0</v>
      </c>
      <c r="J17" s="5"/>
      <c r="K17" s="5"/>
      <c r="L17" s="11" t="s">
        <v>58</v>
      </c>
      <c r="M17" s="86">
        <v>86.0</v>
      </c>
      <c r="N17" s="87">
        <f>M17/M4*100</f>
        <v>4.621171413</v>
      </c>
      <c r="O17" s="86">
        <v>109.0</v>
      </c>
      <c r="P17" s="87">
        <f>O17/O4*100</f>
        <v>6.304222094</v>
      </c>
      <c r="Q17" s="88">
        <v>119.0</v>
      </c>
      <c r="R17" s="87">
        <f>Q17/Q4*100</f>
        <v>6.902552204</v>
      </c>
      <c r="S17" s="86">
        <v>95.0</v>
      </c>
      <c r="T17" s="87">
        <f>S17/S4*100</f>
        <v>5.810397554</v>
      </c>
      <c r="U17" s="86">
        <v>107.0</v>
      </c>
      <c r="V17" s="87">
        <f>U17/U4*100</f>
        <v>7.044107966</v>
      </c>
      <c r="W17" s="86">
        <v>47.0</v>
      </c>
      <c r="X17" s="87">
        <f>W17/W4*100</f>
        <v>6.1760841</v>
      </c>
      <c r="Y17" s="87">
        <f t="shared" ref="Y17:Z17" si="18">((M17+O17+Q17+S17)/4)</f>
        <v>102.25</v>
      </c>
      <c r="Z17" s="87">
        <f t="shared" si="18"/>
        <v>5.909585816</v>
      </c>
      <c r="AA17" s="87">
        <f t="shared" si="3"/>
        <v>101</v>
      </c>
      <c r="AB17" s="87">
        <f t="shared" si="4"/>
        <v>6.610096033</v>
      </c>
      <c r="AC17" s="89" t="s">
        <v>24</v>
      </c>
      <c r="AD17" s="85"/>
      <c r="AE17" s="85"/>
    </row>
    <row r="18" ht="14.25" customHeight="1">
      <c r="A18" s="5"/>
      <c r="B18" s="97" t="s">
        <v>59</v>
      </c>
      <c r="C18" s="94">
        <v>135144.0</v>
      </c>
      <c r="D18" s="94">
        <v>140246.0</v>
      </c>
      <c r="E18" s="94">
        <v>144292.0</v>
      </c>
      <c r="F18" s="94">
        <v>147985.0</v>
      </c>
      <c r="G18" s="94">
        <v>151771.0</v>
      </c>
      <c r="H18" s="94">
        <v>155227.0</v>
      </c>
      <c r="I18" s="94">
        <v>158437.0</v>
      </c>
      <c r="J18" s="5"/>
      <c r="K18" s="5"/>
      <c r="L18" s="11" t="s">
        <v>60</v>
      </c>
      <c r="M18" s="62">
        <v>21.0</v>
      </c>
      <c r="N18" s="98">
        <f>M18/C15*1000</f>
        <v>1.827040195</v>
      </c>
      <c r="O18" s="86">
        <v>31.0</v>
      </c>
      <c r="P18" s="98">
        <f>O18/D15*1000</f>
        <v>2.617359</v>
      </c>
      <c r="Q18" s="88">
        <v>74.0</v>
      </c>
      <c r="R18" s="98">
        <f>Q18/E15*1000</f>
        <v>6.140569247</v>
      </c>
      <c r="S18" s="62">
        <v>39.0</v>
      </c>
      <c r="T18" s="98">
        <f>S18/F15*1000</f>
        <v>3.203022339</v>
      </c>
      <c r="U18" s="62">
        <v>92.0</v>
      </c>
      <c r="V18" s="98">
        <f>U18/G15*1000</f>
        <v>7.651363939</v>
      </c>
      <c r="W18" s="62">
        <v>42.0</v>
      </c>
      <c r="X18" s="98">
        <f>W18/H15*1000</f>
        <v>3.474520185</v>
      </c>
      <c r="Y18" s="87">
        <f t="shared" ref="Y18:Z18" si="19">((M18+O18+Q18+S18)/4)</f>
        <v>41.25</v>
      </c>
      <c r="Z18" s="87">
        <f t="shared" si="19"/>
        <v>3.446997695</v>
      </c>
      <c r="AA18" s="87">
        <f t="shared" si="3"/>
        <v>65.5</v>
      </c>
      <c r="AB18" s="87">
        <f t="shared" si="4"/>
        <v>5.562942062</v>
      </c>
      <c r="AC18" s="89" t="s">
        <v>48</v>
      </c>
      <c r="AD18" s="85"/>
      <c r="AE18" s="85"/>
    </row>
    <row r="19" ht="14.25" customHeight="1">
      <c r="A19" s="5"/>
      <c r="B19" s="97" t="s">
        <v>61</v>
      </c>
      <c r="C19" s="94">
        <v>91386.0</v>
      </c>
      <c r="D19" s="94">
        <v>95397.0</v>
      </c>
      <c r="E19" s="94">
        <v>98652.0</v>
      </c>
      <c r="F19" s="94">
        <v>101624.0</v>
      </c>
      <c r="G19" s="94">
        <v>104752.0</v>
      </c>
      <c r="H19" s="94">
        <v>107549.0</v>
      </c>
      <c r="I19" s="94">
        <v>110185.0</v>
      </c>
      <c r="J19" s="5"/>
      <c r="K19" s="5"/>
      <c r="L19" s="11" t="s">
        <v>62</v>
      </c>
      <c r="M19" s="86">
        <v>108.0</v>
      </c>
      <c r="N19" s="87">
        <f>M19/M4*100</f>
        <v>5.803331542</v>
      </c>
      <c r="O19" s="86">
        <v>92.0</v>
      </c>
      <c r="P19" s="87">
        <f>O19/O4*100</f>
        <v>5.320994795</v>
      </c>
      <c r="Q19" s="88">
        <v>89.0</v>
      </c>
      <c r="R19" s="87">
        <f>Q19/Q4*100</f>
        <v>5.162412993</v>
      </c>
      <c r="S19" s="86">
        <v>87.0</v>
      </c>
      <c r="T19" s="87">
        <f>S19/S4*100</f>
        <v>5.321100917</v>
      </c>
      <c r="U19" s="86">
        <v>59.0</v>
      </c>
      <c r="V19" s="87">
        <f>U19/U4*100</f>
        <v>3.884134299</v>
      </c>
      <c r="W19" s="86">
        <v>24.0</v>
      </c>
      <c r="X19" s="87">
        <f>W19/W4*100</f>
        <v>3.153745072</v>
      </c>
      <c r="Y19" s="87">
        <f t="shared" ref="Y19:Z19" si="20">((M19+O19+Q19+S19)/4)</f>
        <v>94</v>
      </c>
      <c r="Z19" s="87">
        <f t="shared" si="20"/>
        <v>5.401960062</v>
      </c>
      <c r="AA19" s="87">
        <f t="shared" si="3"/>
        <v>73</v>
      </c>
      <c r="AB19" s="87">
        <f t="shared" si="4"/>
        <v>3.518939686</v>
      </c>
      <c r="AC19" s="89" t="s">
        <v>63</v>
      </c>
      <c r="AD19" s="85"/>
      <c r="AE19" s="85"/>
    </row>
    <row r="20" ht="14.25" customHeight="1">
      <c r="A20" s="5"/>
      <c r="B20" s="97" t="s">
        <v>64</v>
      </c>
      <c r="C20" s="94">
        <v>5266.0</v>
      </c>
      <c r="D20" s="94">
        <v>5400.0</v>
      </c>
      <c r="E20" s="94">
        <v>5517.0</v>
      </c>
      <c r="F20" s="94">
        <v>5639.0</v>
      </c>
      <c r="G20" s="94">
        <v>5809.0</v>
      </c>
      <c r="H20" s="94">
        <v>5955.0</v>
      </c>
      <c r="I20" s="94">
        <v>6102.0</v>
      </c>
      <c r="J20" s="5"/>
      <c r="K20" s="5"/>
      <c r="L20" s="11" t="s">
        <v>65</v>
      </c>
      <c r="M20" s="86">
        <v>7.0</v>
      </c>
      <c r="N20" s="87">
        <f t="shared" ref="N20:N21" si="22">M20/C20*1000</f>
        <v>1.329282188</v>
      </c>
      <c r="O20" s="86">
        <v>7.0</v>
      </c>
      <c r="P20" s="87">
        <f t="shared" ref="P20:P21" si="23">O20/D20*1000</f>
        <v>1.296296296</v>
      </c>
      <c r="Q20" s="88">
        <v>11.0</v>
      </c>
      <c r="R20" s="87">
        <f t="shared" ref="R20:R21" si="24">Q20/E20*1000</f>
        <v>1.99383723</v>
      </c>
      <c r="S20" s="86">
        <v>7.0</v>
      </c>
      <c r="T20" s="87">
        <f t="shared" ref="T20:T21" si="25">S20/F20*1000</f>
        <v>1.24135485</v>
      </c>
      <c r="U20" s="86">
        <v>5.0</v>
      </c>
      <c r="V20" s="87">
        <f t="shared" ref="V20:V21" si="26">U20/G20*1000</f>
        <v>0.8607333448</v>
      </c>
      <c r="W20" s="86">
        <v>1.0</v>
      </c>
      <c r="X20" s="87">
        <f t="shared" ref="X20:X21" si="27">W20/H20*1000</f>
        <v>0.1679261125</v>
      </c>
      <c r="Y20" s="87">
        <f t="shared" ref="Y20:Z20" si="21">((M20+O20+Q20+S20)/4)</f>
        <v>8</v>
      </c>
      <c r="Z20" s="87">
        <f t="shared" si="21"/>
        <v>1.465192641</v>
      </c>
      <c r="AA20" s="87">
        <f t="shared" si="3"/>
        <v>6</v>
      </c>
      <c r="AB20" s="87">
        <f t="shared" si="4"/>
        <v>0.5143297287</v>
      </c>
      <c r="AC20" s="89" t="s">
        <v>63</v>
      </c>
      <c r="AD20" s="85"/>
      <c r="AE20" s="85"/>
    </row>
    <row r="21" ht="16.5" customHeight="1">
      <c r="A21" s="5"/>
      <c r="B21" s="97" t="s">
        <v>66</v>
      </c>
      <c r="C21" s="94">
        <v>5817.0</v>
      </c>
      <c r="D21" s="94">
        <v>5870.0</v>
      </c>
      <c r="E21" s="94">
        <v>5887.0</v>
      </c>
      <c r="F21" s="94">
        <v>5912.0</v>
      </c>
      <c r="G21" s="94">
        <v>5997.0</v>
      </c>
      <c r="H21" s="94">
        <v>6069.0</v>
      </c>
      <c r="I21" s="94">
        <v>6147.0</v>
      </c>
      <c r="J21" s="5"/>
      <c r="K21" s="5"/>
      <c r="L21" s="11" t="s">
        <v>67</v>
      </c>
      <c r="M21" s="86">
        <v>255.0</v>
      </c>
      <c r="N21" s="87">
        <f t="shared" si="22"/>
        <v>43.8370294</v>
      </c>
      <c r="O21" s="86">
        <v>215.0</v>
      </c>
      <c r="P21" s="87">
        <f t="shared" si="23"/>
        <v>36.62691652</v>
      </c>
      <c r="Q21" s="88">
        <v>196.0</v>
      </c>
      <c r="R21" s="87">
        <f t="shared" si="24"/>
        <v>33.29369798</v>
      </c>
      <c r="S21" s="86">
        <v>186.0</v>
      </c>
      <c r="T21" s="87">
        <f t="shared" si="25"/>
        <v>31.46143437</v>
      </c>
      <c r="U21" s="86">
        <v>163.0</v>
      </c>
      <c r="V21" s="87">
        <f t="shared" si="26"/>
        <v>27.1802568</v>
      </c>
      <c r="W21" s="86">
        <v>69.0</v>
      </c>
      <c r="X21" s="87">
        <f t="shared" si="27"/>
        <v>11.36925358</v>
      </c>
      <c r="Y21" s="87">
        <f t="shared" ref="Y21:Z21" si="28">((M21+O21+Q21+S21)/4)</f>
        <v>213</v>
      </c>
      <c r="Z21" s="87">
        <f t="shared" si="28"/>
        <v>36.30476957</v>
      </c>
      <c r="AA21" s="87">
        <f t="shared" si="3"/>
        <v>174.5</v>
      </c>
      <c r="AB21" s="87">
        <f t="shared" si="4"/>
        <v>19.27475519</v>
      </c>
      <c r="AC21" s="89" t="s">
        <v>63</v>
      </c>
      <c r="AD21" s="85"/>
      <c r="AE21" s="85"/>
    </row>
    <row r="22" ht="23.25" customHeight="1">
      <c r="A22" s="5"/>
      <c r="B22" s="97" t="s">
        <v>68</v>
      </c>
      <c r="C22" s="94">
        <v>46188.0</v>
      </c>
      <c r="D22" s="94">
        <v>47846.0</v>
      </c>
      <c r="E22" s="94">
        <v>49138.0</v>
      </c>
      <c r="F22" s="94">
        <v>50333.0</v>
      </c>
      <c r="G22" s="94">
        <v>51566.0</v>
      </c>
      <c r="H22" s="94">
        <v>52672.0</v>
      </c>
      <c r="I22" s="94">
        <v>53702.0</v>
      </c>
      <c r="J22" s="5"/>
      <c r="K22" s="5"/>
      <c r="L22" s="11" t="s">
        <v>69</v>
      </c>
      <c r="M22" s="62">
        <v>15.0</v>
      </c>
      <c r="N22" s="98">
        <f>M22/C7*100000</f>
        <v>10.24926205</v>
      </c>
      <c r="O22" s="86">
        <v>21.0</v>
      </c>
      <c r="P22" s="98">
        <f>O22/D7*100000</f>
        <v>13.79808798</v>
      </c>
      <c r="Q22" s="88">
        <v>20.0</v>
      </c>
      <c r="R22" s="98">
        <f>Q22/E7*100000</f>
        <v>12.74023302</v>
      </c>
      <c r="S22" s="62">
        <v>19.0</v>
      </c>
      <c r="T22" s="98">
        <f>S22/F7*100000</f>
        <v>11.7687138</v>
      </c>
      <c r="U22" s="62">
        <v>19.0</v>
      </c>
      <c r="V22" s="98">
        <f>U22/G7*100000</f>
        <v>11.45185399</v>
      </c>
      <c r="W22" s="62">
        <v>13.0</v>
      </c>
      <c r="X22" s="98">
        <f>W22/H7*100000</f>
        <v>7.635291492</v>
      </c>
      <c r="Y22" s="87">
        <f t="shared" ref="Y22:Z22" si="29">((M22+O22+Q22+S22)/4)</f>
        <v>18.75</v>
      </c>
      <c r="Z22" s="87">
        <f t="shared" si="29"/>
        <v>12.13907421</v>
      </c>
      <c r="AA22" s="87">
        <f t="shared" si="3"/>
        <v>19</v>
      </c>
      <c r="AB22" s="87">
        <f t="shared" si="4"/>
        <v>9.543572743</v>
      </c>
      <c r="AC22" s="89" t="s">
        <v>22</v>
      </c>
      <c r="AD22" s="85"/>
      <c r="AE22" s="85"/>
    </row>
    <row r="23" ht="14.25" customHeight="1">
      <c r="A23" s="5"/>
      <c r="B23" s="97" t="s">
        <v>70</v>
      </c>
      <c r="C23" s="94">
        <v>13742.0</v>
      </c>
      <c r="D23" s="94">
        <v>14191.0</v>
      </c>
      <c r="E23" s="94">
        <v>14483.0</v>
      </c>
      <c r="F23" s="94">
        <v>14684.0</v>
      </c>
      <c r="G23" s="94">
        <v>14555.0</v>
      </c>
      <c r="H23" s="94">
        <v>14614.0</v>
      </c>
      <c r="I23" s="94">
        <v>14665.0</v>
      </c>
      <c r="J23" s="5"/>
      <c r="K23" s="5"/>
      <c r="L23" s="99" t="s">
        <v>71</v>
      </c>
      <c r="M23" s="62">
        <v>5.0</v>
      </c>
      <c r="N23" s="98">
        <f>M23/C7*100000</f>
        <v>3.416420684</v>
      </c>
      <c r="O23" s="86">
        <v>14.0</v>
      </c>
      <c r="P23" s="98">
        <f>O23/D7*100000</f>
        <v>9.198725319</v>
      </c>
      <c r="Q23" s="88">
        <v>11.0</v>
      </c>
      <c r="R23" s="98">
        <f>Q23/E7*100000</f>
        <v>7.00712816</v>
      </c>
      <c r="S23" s="62">
        <v>11.0</v>
      </c>
      <c r="T23" s="98">
        <f>S23/F7*100000</f>
        <v>6.813465886</v>
      </c>
      <c r="U23" s="62">
        <v>8.0</v>
      </c>
      <c r="V23" s="98">
        <f>U23/G7*100000</f>
        <v>4.821833261</v>
      </c>
      <c r="W23" s="62">
        <v>5.0</v>
      </c>
      <c r="X23" s="98">
        <f>W23/H7*100000</f>
        <v>2.936650574</v>
      </c>
      <c r="Y23" s="87">
        <f t="shared" ref="Y23:Z23" si="30">((M23+O23+Q23+S23)/4)</f>
        <v>10.25</v>
      </c>
      <c r="Z23" s="87">
        <f t="shared" si="30"/>
        <v>6.608935013</v>
      </c>
      <c r="AA23" s="87">
        <f t="shared" si="3"/>
        <v>9.5</v>
      </c>
      <c r="AB23" s="87">
        <f t="shared" si="4"/>
        <v>3.879241917</v>
      </c>
      <c r="AC23" s="89" t="s">
        <v>22</v>
      </c>
      <c r="AD23" s="85"/>
      <c r="AE23" s="85"/>
    </row>
    <row r="24" ht="14.25" customHeight="1">
      <c r="A24" s="5"/>
      <c r="B24" s="97" t="s">
        <v>72</v>
      </c>
      <c r="C24" s="94">
        <v>12938.0</v>
      </c>
      <c r="D24" s="94">
        <v>13406.0</v>
      </c>
      <c r="E24" s="94">
        <v>13810.0</v>
      </c>
      <c r="F24" s="94">
        <v>14209.0</v>
      </c>
      <c r="G24" s="94">
        <v>14672.0</v>
      </c>
      <c r="H24" s="94">
        <v>15039.0</v>
      </c>
      <c r="I24" s="94">
        <v>15306.0</v>
      </c>
      <c r="J24" s="5"/>
      <c r="K24" s="5"/>
      <c r="L24" s="100" t="s">
        <v>73</v>
      </c>
      <c r="M24" s="62">
        <v>13.0</v>
      </c>
      <c r="N24" s="98">
        <f>M24/C7*100000</f>
        <v>8.882693779</v>
      </c>
      <c r="O24" s="86">
        <v>16.0</v>
      </c>
      <c r="P24" s="98">
        <f>O24/D7*100000</f>
        <v>10.51282894</v>
      </c>
      <c r="Q24" s="88">
        <v>15.0</v>
      </c>
      <c r="R24" s="98">
        <f>Q24/E7*100000</f>
        <v>9.555174764</v>
      </c>
      <c r="S24" s="62">
        <v>7.0</v>
      </c>
      <c r="T24" s="98">
        <f>S24/F7*100000</f>
        <v>4.335841928</v>
      </c>
      <c r="U24" s="62">
        <v>10.0</v>
      </c>
      <c r="V24" s="98">
        <f>U24/G7*100000</f>
        <v>6.027291576</v>
      </c>
      <c r="W24" s="62">
        <v>5.0</v>
      </c>
      <c r="X24" s="98">
        <f>W24/H7*100000</f>
        <v>2.936650574</v>
      </c>
      <c r="Y24" s="87">
        <f t="shared" ref="Y24:Z24" si="31">((M24+O24+Q24+S24)/4)</f>
        <v>12.75</v>
      </c>
      <c r="Z24" s="87">
        <f t="shared" si="31"/>
        <v>8.321634852</v>
      </c>
      <c r="AA24" s="87">
        <f t="shared" si="3"/>
        <v>8.5</v>
      </c>
      <c r="AB24" s="87">
        <f t="shared" si="4"/>
        <v>4.481971075</v>
      </c>
      <c r="AC24" s="89" t="s">
        <v>22</v>
      </c>
      <c r="AD24" s="85"/>
      <c r="AE24" s="85"/>
    </row>
    <row r="25" ht="14.25" customHeight="1">
      <c r="A25" s="5"/>
      <c r="B25" s="97" t="s">
        <v>74</v>
      </c>
      <c r="C25" s="94">
        <v>13212.0</v>
      </c>
      <c r="D25" s="94">
        <v>13418.0</v>
      </c>
      <c r="E25" s="94">
        <v>13580.0</v>
      </c>
      <c r="F25" s="94">
        <v>13766.0</v>
      </c>
      <c r="G25" s="94">
        <v>14117.0</v>
      </c>
      <c r="H25" s="94">
        <v>14391.0</v>
      </c>
      <c r="I25" s="94">
        <v>14675.0</v>
      </c>
      <c r="J25" s="5"/>
      <c r="K25" s="5"/>
      <c r="L25" s="11" t="s">
        <v>75</v>
      </c>
      <c r="M25" s="62">
        <v>99.0</v>
      </c>
      <c r="N25" s="98">
        <f>M25/C7*100000</f>
        <v>67.64512955</v>
      </c>
      <c r="O25" s="86">
        <v>110.0</v>
      </c>
      <c r="P25" s="98">
        <f>O25/D7*100000</f>
        <v>72.27569894</v>
      </c>
      <c r="Q25" s="88">
        <v>127.0</v>
      </c>
      <c r="R25" s="98">
        <f>Q25/E7*100000</f>
        <v>80.90047967</v>
      </c>
      <c r="S25" s="62">
        <v>166.0</v>
      </c>
      <c r="T25" s="98">
        <f>S25/F7*100000</f>
        <v>102.8213943</v>
      </c>
      <c r="U25" s="62">
        <v>150.0</v>
      </c>
      <c r="V25" s="98">
        <f>U25/G7*100000</f>
        <v>90.40937364</v>
      </c>
      <c r="W25" s="62">
        <v>59.0</v>
      </c>
      <c r="X25" s="98">
        <f>W25/H7*100000</f>
        <v>34.65247677</v>
      </c>
      <c r="Y25" s="87">
        <f t="shared" ref="Y25:Z25" si="32">((M25+O25+Q25+S25)/4)</f>
        <v>125.5</v>
      </c>
      <c r="Z25" s="87">
        <f t="shared" si="32"/>
        <v>80.91067561</v>
      </c>
      <c r="AA25" s="87">
        <f t="shared" si="3"/>
        <v>158</v>
      </c>
      <c r="AB25" s="87">
        <f t="shared" si="4"/>
        <v>62.53092521</v>
      </c>
      <c r="AC25" s="89" t="s">
        <v>48</v>
      </c>
      <c r="AD25" s="85"/>
      <c r="AE25" s="85"/>
    </row>
    <row r="26" ht="14.25" customHeight="1">
      <c r="A26" s="5"/>
      <c r="B26" s="97" t="s">
        <v>76</v>
      </c>
      <c r="C26" s="94">
        <v>28684.0</v>
      </c>
      <c r="D26" s="94">
        <v>29394.0</v>
      </c>
      <c r="E26" s="94">
        <v>29701.0</v>
      </c>
      <c r="F26" s="94">
        <v>29849.0</v>
      </c>
      <c r="G26" s="94">
        <v>29802.0</v>
      </c>
      <c r="H26" s="94">
        <v>29850.0</v>
      </c>
      <c r="I26" s="94">
        <v>29867.0</v>
      </c>
      <c r="J26" s="5"/>
      <c r="K26" s="5"/>
      <c r="L26" s="11" t="s">
        <v>77</v>
      </c>
      <c r="M26" s="86">
        <v>298.0</v>
      </c>
      <c r="N26" s="87">
        <f>M26/C7*100000</f>
        <v>203.6186728</v>
      </c>
      <c r="O26" s="86">
        <v>425.0</v>
      </c>
      <c r="P26" s="87">
        <f>O26/D7*100000</f>
        <v>279.2470186</v>
      </c>
      <c r="Q26" s="88">
        <v>244.0</v>
      </c>
      <c r="R26" s="87">
        <f>Q26/E7*100000</f>
        <v>155.4308428</v>
      </c>
      <c r="S26" s="86">
        <v>230.0</v>
      </c>
      <c r="T26" s="87">
        <f>S26/F7*100000</f>
        <v>142.4633776</v>
      </c>
      <c r="U26" s="86">
        <v>235.0</v>
      </c>
      <c r="V26" s="87">
        <f>U26/G7*100000</f>
        <v>141.641352</v>
      </c>
      <c r="W26" s="86">
        <v>130.0</v>
      </c>
      <c r="X26" s="87">
        <f>W26/H7*100000</f>
        <v>76.35291492</v>
      </c>
      <c r="Y26" s="87">
        <f t="shared" ref="Y26:Z26" si="33">((M26+O26+Q26+S26)/4)</f>
        <v>299.25</v>
      </c>
      <c r="Z26" s="87">
        <f t="shared" si="33"/>
        <v>195.189978</v>
      </c>
      <c r="AA26" s="87">
        <f t="shared" si="3"/>
        <v>232.5</v>
      </c>
      <c r="AB26" s="87">
        <f t="shared" si="4"/>
        <v>108.9971335</v>
      </c>
      <c r="AC26" s="89" t="s">
        <v>22</v>
      </c>
      <c r="AD26" s="85"/>
      <c r="AE26" s="85"/>
    </row>
    <row r="27" ht="14.25" customHeight="1">
      <c r="A27" s="5"/>
      <c r="B27" s="101" t="s">
        <v>78</v>
      </c>
      <c r="C27" s="94">
        <v>17095.0</v>
      </c>
      <c r="D27" s="94">
        <v>18195.0</v>
      </c>
      <c r="E27" s="94">
        <v>19273.0</v>
      </c>
      <c r="F27" s="94">
        <v>20368.0</v>
      </c>
      <c r="G27" s="94">
        <v>21448.0</v>
      </c>
      <c r="H27" s="94">
        <v>22692.0</v>
      </c>
      <c r="I27" s="94">
        <v>23967.0</v>
      </c>
      <c r="J27" s="5"/>
      <c r="K27" s="5"/>
      <c r="L27" s="11" t="s">
        <v>79</v>
      </c>
      <c r="M27" s="86">
        <v>5.0</v>
      </c>
      <c r="N27" s="87">
        <f>M27/C11*100000</f>
        <v>6.637814301</v>
      </c>
      <c r="O27" s="86">
        <v>4.0</v>
      </c>
      <c r="P27" s="87">
        <f>O27/D11*100000</f>
        <v>5.107317509</v>
      </c>
      <c r="Q27" s="88">
        <v>3.0</v>
      </c>
      <c r="R27" s="87">
        <f>Q27/E11*100000</f>
        <v>3.713974448</v>
      </c>
      <c r="S27" s="86">
        <v>1.0</v>
      </c>
      <c r="T27" s="87">
        <f>S27/F11*100000</f>
        <v>1.203861989</v>
      </c>
      <c r="U27" s="86">
        <v>5.0</v>
      </c>
      <c r="V27" s="87">
        <f>U27/G11*100000</f>
        <v>5.856515373</v>
      </c>
      <c r="W27" s="86">
        <v>0.0</v>
      </c>
      <c r="X27" s="87">
        <f>W27/H11*100000</f>
        <v>0</v>
      </c>
      <c r="Y27" s="87">
        <f t="shared" ref="Y27:Z27" si="34">((M27+O27+Q27+S27)/4)</f>
        <v>3.25</v>
      </c>
      <c r="Z27" s="87">
        <f t="shared" si="34"/>
        <v>4.165742062</v>
      </c>
      <c r="AA27" s="87">
        <f t="shared" si="3"/>
        <v>3</v>
      </c>
      <c r="AB27" s="87">
        <f t="shared" si="4"/>
        <v>2.928257687</v>
      </c>
      <c r="AC27" s="89" t="s">
        <v>22</v>
      </c>
      <c r="AD27" s="85"/>
      <c r="AE27" s="85"/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86">
        <v>14.0</v>
      </c>
      <c r="N28" s="87">
        <f>M28/C11*100000</f>
        <v>18.58588004</v>
      </c>
      <c r="O28" s="86">
        <v>17.0</v>
      </c>
      <c r="P28" s="87">
        <f>O28/D11*100000</f>
        <v>21.70609941</v>
      </c>
      <c r="Q28" s="88">
        <v>9.0</v>
      </c>
      <c r="R28" s="87">
        <f>Q28/E11*100000</f>
        <v>11.14192334</v>
      </c>
      <c r="S28" s="86">
        <v>9.0</v>
      </c>
      <c r="T28" s="87">
        <f>S28/F11*100000</f>
        <v>10.8347579</v>
      </c>
      <c r="U28" s="86">
        <v>7.0</v>
      </c>
      <c r="V28" s="87">
        <f>U28/G11*100000</f>
        <v>8.199121523</v>
      </c>
      <c r="W28" s="86">
        <v>5.0</v>
      </c>
      <c r="X28" s="87">
        <f>W28/H11*100000</f>
        <v>5.70691564</v>
      </c>
      <c r="Y28" s="87">
        <f t="shared" ref="Y28:Z28" si="35">((M28+O28+Q28+S28)/4)</f>
        <v>12.25</v>
      </c>
      <c r="Z28" s="87">
        <f t="shared" si="35"/>
        <v>15.56716518</v>
      </c>
      <c r="AA28" s="87">
        <f t="shared" si="3"/>
        <v>8</v>
      </c>
      <c r="AB28" s="87">
        <f t="shared" si="4"/>
        <v>6.953018582</v>
      </c>
      <c r="AC28" s="89" t="s">
        <v>22</v>
      </c>
      <c r="AD28" s="85"/>
      <c r="AE28" s="8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86">
        <v>14.0</v>
      </c>
      <c r="N29" s="87">
        <f>M29/C10*100000</f>
        <v>19.71109171</v>
      </c>
      <c r="O29" s="86">
        <v>6.0</v>
      </c>
      <c r="P29" s="87">
        <f>O29/D10*100000</f>
        <v>8.121717473</v>
      </c>
      <c r="Q29" s="88">
        <v>7.0</v>
      </c>
      <c r="R29" s="87">
        <f>Q29/E10*100000</f>
        <v>9.185507893</v>
      </c>
      <c r="S29" s="86">
        <v>4.0</v>
      </c>
      <c r="T29" s="87">
        <f>S29/F10*100000</f>
        <v>5.103407801</v>
      </c>
      <c r="U29" s="86">
        <v>6.0</v>
      </c>
      <c r="V29" s="87">
        <f>U29/G10*100000</f>
        <v>7.449991929</v>
      </c>
      <c r="W29" s="86">
        <v>3.0</v>
      </c>
      <c r="X29" s="87">
        <f>W29/H10*100000</f>
        <v>3.629807983</v>
      </c>
      <c r="Y29" s="87">
        <f t="shared" ref="Y29:Z29" si="36">((M29+O29+Q29+S29)/4)</f>
        <v>7.75</v>
      </c>
      <c r="Z29" s="87">
        <f t="shared" si="36"/>
        <v>10.53043122</v>
      </c>
      <c r="AA29" s="87">
        <f t="shared" si="3"/>
        <v>5</v>
      </c>
      <c r="AB29" s="87">
        <f t="shared" si="4"/>
        <v>5.539899956</v>
      </c>
      <c r="AC29" s="89" t="s">
        <v>22</v>
      </c>
      <c r="AD29" s="85"/>
      <c r="AE29" s="85"/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86">
        <v>206.0</v>
      </c>
      <c r="N30" s="87">
        <f>M30/C7*100000</f>
        <v>140.7565322</v>
      </c>
      <c r="O30" s="86">
        <v>398.0</v>
      </c>
      <c r="P30" s="87">
        <f>O30/D7*100000</f>
        <v>261.5066198</v>
      </c>
      <c r="Q30" s="88">
        <v>71.0</v>
      </c>
      <c r="R30" s="87">
        <f>Q30/E7*100000</f>
        <v>45.22782722</v>
      </c>
      <c r="S30" s="86">
        <v>39.0</v>
      </c>
      <c r="T30" s="87">
        <f>S30/F7*100000</f>
        <v>24.1568336</v>
      </c>
      <c r="U30" s="86">
        <v>62.0</v>
      </c>
      <c r="V30" s="87">
        <f>U30/G7*100000</f>
        <v>37.36920777</v>
      </c>
      <c r="W30" s="86">
        <v>5.0</v>
      </c>
      <c r="X30" s="87">
        <f>W30/H7*100000</f>
        <v>2.936650574</v>
      </c>
      <c r="Y30" s="87">
        <f t="shared" ref="Y30:Z30" si="37">((M30+O30+Q30+S30)/4)</f>
        <v>178.5</v>
      </c>
      <c r="Z30" s="87">
        <f t="shared" si="37"/>
        <v>117.9119532</v>
      </c>
      <c r="AA30" s="87">
        <f t="shared" si="3"/>
        <v>50.5</v>
      </c>
      <c r="AB30" s="87">
        <f t="shared" si="4"/>
        <v>20.15292917</v>
      </c>
      <c r="AC30" s="89" t="s">
        <v>22</v>
      </c>
      <c r="AD30" s="85"/>
      <c r="AE30" s="85"/>
    </row>
    <row r="31" ht="14.25" customHeight="1">
      <c r="A31" s="5"/>
      <c r="B31" s="32" t="s">
        <v>84</v>
      </c>
      <c r="C31" s="31">
        <v>13742.0</v>
      </c>
      <c r="D31" s="31">
        <v>14191.0</v>
      </c>
      <c r="E31" s="31">
        <v>14483.0</v>
      </c>
      <c r="F31" s="31">
        <v>14684.0</v>
      </c>
      <c r="G31" s="31">
        <v>14555.0</v>
      </c>
      <c r="H31" s="31">
        <v>14614.0</v>
      </c>
      <c r="I31" s="5"/>
      <c r="J31" s="5"/>
      <c r="K31" s="5"/>
      <c r="L31" s="11" t="s">
        <v>85</v>
      </c>
      <c r="M31" s="86">
        <v>5.0</v>
      </c>
      <c r="N31" s="87">
        <f>M31/C7*100000</f>
        <v>3.416420684</v>
      </c>
      <c r="O31" s="86">
        <v>2.0</v>
      </c>
      <c r="P31" s="87">
        <f>O31/D7*100000</f>
        <v>1.314103617</v>
      </c>
      <c r="Q31" s="88">
        <v>3.0</v>
      </c>
      <c r="R31" s="87">
        <f>Q31/E7*100000</f>
        <v>1.911034953</v>
      </c>
      <c r="S31" s="86">
        <v>2.0</v>
      </c>
      <c r="T31" s="87">
        <f>S31/F7*100000</f>
        <v>1.238811979</v>
      </c>
      <c r="U31" s="86">
        <v>6.0</v>
      </c>
      <c r="V31" s="87">
        <f>U31/G7*100000</f>
        <v>3.616374946</v>
      </c>
      <c r="W31" s="86">
        <v>1.0</v>
      </c>
      <c r="X31" s="87">
        <f>W31/H7*100000</f>
        <v>0.5873301148</v>
      </c>
      <c r="Y31" s="87">
        <f t="shared" ref="Y31:Z31" si="38">((M31+O31+Q31+S31)/4)</f>
        <v>3</v>
      </c>
      <c r="Z31" s="87">
        <f t="shared" si="38"/>
        <v>1.970092808</v>
      </c>
      <c r="AA31" s="87">
        <f t="shared" si="3"/>
        <v>4</v>
      </c>
      <c r="AB31" s="87">
        <f t="shared" si="4"/>
        <v>2.10185253</v>
      </c>
      <c r="AC31" s="89" t="s">
        <v>22</v>
      </c>
      <c r="AD31" s="85"/>
      <c r="AE31" s="85"/>
    </row>
    <row r="32" ht="14.25" customHeight="1">
      <c r="A32" s="5"/>
      <c r="B32" s="32" t="s">
        <v>86</v>
      </c>
      <c r="C32" s="31">
        <v>12938.0</v>
      </c>
      <c r="D32" s="31">
        <v>13406.0</v>
      </c>
      <c r="E32" s="31">
        <v>13810.0</v>
      </c>
      <c r="F32" s="31">
        <v>14209.0</v>
      </c>
      <c r="G32" s="31">
        <v>14672.0</v>
      </c>
      <c r="H32" s="31">
        <v>15039.0</v>
      </c>
      <c r="I32" s="5"/>
      <c r="J32" s="5"/>
      <c r="K32" s="5"/>
      <c r="L32" s="11" t="s">
        <v>87</v>
      </c>
      <c r="M32" s="62">
        <v>25.0</v>
      </c>
      <c r="N32" s="102">
        <f>M32/C7*100</f>
        <v>0.01708210342</v>
      </c>
      <c r="O32" s="86">
        <v>38.0</v>
      </c>
      <c r="P32" s="102">
        <f>O32/D7*100</f>
        <v>0.02496796872</v>
      </c>
      <c r="Q32" s="88">
        <v>55.0</v>
      </c>
      <c r="R32" s="102">
        <f>Q32/E7*100</f>
        <v>0.0350356408</v>
      </c>
      <c r="S32" s="62">
        <v>55.0</v>
      </c>
      <c r="T32" s="102">
        <f>S32/F7*100</f>
        <v>0.03406732943</v>
      </c>
      <c r="U32" s="62">
        <v>54.0</v>
      </c>
      <c r="V32" s="102">
        <f>U32/G7*100</f>
        <v>0.03254737451</v>
      </c>
      <c r="W32" s="62">
        <v>39.0</v>
      </c>
      <c r="X32" s="102">
        <f>W32/H7*100</f>
        <v>0.02290587448</v>
      </c>
      <c r="Y32" s="87">
        <f t="shared" ref="Y32:Z32" si="39">((M32+O32+Q32+S32)/4)</f>
        <v>43.25</v>
      </c>
      <c r="Z32" s="103">
        <f t="shared" si="39"/>
        <v>0.02778826059</v>
      </c>
      <c r="AA32" s="87">
        <f t="shared" si="3"/>
        <v>54.5</v>
      </c>
      <c r="AB32" s="87">
        <f t="shared" si="4"/>
        <v>0.02772662449</v>
      </c>
      <c r="AC32" s="89" t="s">
        <v>48</v>
      </c>
      <c r="AD32" s="85"/>
      <c r="AE32" s="85"/>
    </row>
    <row r="33" ht="14.25" customHeight="1">
      <c r="A33" s="5"/>
      <c r="B33" s="32" t="s">
        <v>88</v>
      </c>
      <c r="C33" s="31">
        <v>13212.0</v>
      </c>
      <c r="D33" s="31">
        <v>13418.0</v>
      </c>
      <c r="E33" s="31">
        <v>13580.0</v>
      </c>
      <c r="F33" s="31">
        <v>13766.0</v>
      </c>
      <c r="G33" s="31">
        <v>14117.0</v>
      </c>
      <c r="H33" s="31">
        <v>14391.0</v>
      </c>
      <c r="I33" s="5"/>
      <c r="J33" s="5"/>
      <c r="K33" s="5"/>
      <c r="L33" s="11" t="s">
        <v>89</v>
      </c>
      <c r="M33" s="86">
        <v>13611.0</v>
      </c>
      <c r="N33" s="87">
        <f>M33/C7*10000</f>
        <v>930.0180387</v>
      </c>
      <c r="O33" s="86">
        <v>15381.0</v>
      </c>
      <c r="P33" s="87">
        <f>O33/D7*10000</f>
        <v>1010.611387</v>
      </c>
      <c r="Q33" s="88">
        <v>28621.0</v>
      </c>
      <c r="R33" s="87">
        <f>Q33/E7*10000</f>
        <v>1823.191046</v>
      </c>
      <c r="S33" s="86">
        <v>26085.0</v>
      </c>
      <c r="T33" s="87">
        <f>S33/F7*10000</f>
        <v>1615.720524</v>
      </c>
      <c r="U33" s="86">
        <v>24068.0</v>
      </c>
      <c r="V33" s="87">
        <f>U33/G7*10000</f>
        <v>1450.648537</v>
      </c>
      <c r="W33" s="86">
        <v>13934.0</v>
      </c>
      <c r="X33" s="87">
        <f>W33/H7*10000</f>
        <v>818.3857819</v>
      </c>
      <c r="Y33" s="87">
        <f t="shared" ref="Y33:Z33" si="40">((M33+O33+Q33+S33)/4)</f>
        <v>20924.5</v>
      </c>
      <c r="Z33" s="87">
        <f t="shared" si="40"/>
        <v>1344.885249</v>
      </c>
      <c r="AA33" s="87">
        <f t="shared" si="3"/>
        <v>25076.5</v>
      </c>
      <c r="AB33" s="87">
        <f t="shared" si="4"/>
        <v>1134.517159</v>
      </c>
      <c r="AC33" s="89" t="s">
        <v>48</v>
      </c>
      <c r="AD33" s="85"/>
      <c r="AE33" s="85"/>
    </row>
    <row r="34" ht="14.25" customHeight="1">
      <c r="A34" s="5"/>
      <c r="B34" s="32" t="s">
        <v>90</v>
      </c>
      <c r="C34" s="31">
        <v>28684.0</v>
      </c>
      <c r="D34" s="31">
        <v>29394.0</v>
      </c>
      <c r="E34" s="31">
        <v>29701.0</v>
      </c>
      <c r="F34" s="31">
        <v>29849.0</v>
      </c>
      <c r="G34" s="31">
        <v>29802.0</v>
      </c>
      <c r="H34" s="31">
        <v>29850.0</v>
      </c>
      <c r="I34" s="5"/>
      <c r="J34" s="5"/>
      <c r="K34" s="5"/>
      <c r="L34" s="11" t="s">
        <v>91</v>
      </c>
      <c r="M34" s="86">
        <v>7469.0</v>
      </c>
      <c r="N34" s="87">
        <f>M34/C7*10000</f>
        <v>510.3449218</v>
      </c>
      <c r="O34" s="86">
        <v>7972.0</v>
      </c>
      <c r="P34" s="87">
        <f>O34/D7*10000</f>
        <v>523.8017018</v>
      </c>
      <c r="Q34" s="88">
        <v>11918.0</v>
      </c>
      <c r="R34" s="87">
        <f>Q34/E7*10000</f>
        <v>759.1904856</v>
      </c>
      <c r="S34" s="86">
        <v>11684.0</v>
      </c>
      <c r="T34" s="87">
        <f>S34/F7*10000</f>
        <v>723.7139583</v>
      </c>
      <c r="U34" s="86">
        <v>11338.0</v>
      </c>
      <c r="V34" s="87">
        <f>U34/G7*10000</f>
        <v>683.3743189</v>
      </c>
      <c r="W34" s="86">
        <v>7243.0</v>
      </c>
      <c r="X34" s="87">
        <f>W34/H7*10000</f>
        <v>425.4032021</v>
      </c>
      <c r="Y34" s="87">
        <f t="shared" ref="Y34:Z34" si="41">((M34+O34+Q34+S34)/4)</f>
        <v>9760.75</v>
      </c>
      <c r="Z34" s="87">
        <f t="shared" si="41"/>
        <v>629.2627669</v>
      </c>
      <c r="AA34" s="87">
        <f t="shared" si="3"/>
        <v>11511</v>
      </c>
      <c r="AB34" s="87">
        <f t="shared" si="4"/>
        <v>554.3887605</v>
      </c>
      <c r="AC34" s="89" t="s">
        <v>48</v>
      </c>
      <c r="AD34" s="85"/>
      <c r="AE34" s="85"/>
    </row>
    <row r="35" ht="14.25" customHeight="1">
      <c r="A35" s="5"/>
      <c r="B35" s="32" t="s">
        <v>92</v>
      </c>
      <c r="C35" s="31">
        <v>60681.0</v>
      </c>
      <c r="D35" s="31">
        <v>63591.0</v>
      </c>
      <c r="E35" s="31">
        <v>66136.0</v>
      </c>
      <c r="F35" s="31">
        <v>68569.0</v>
      </c>
      <c r="G35" s="31">
        <v>71318.0</v>
      </c>
      <c r="H35" s="31">
        <v>73676.0</v>
      </c>
      <c r="I35" s="5"/>
      <c r="J35" s="5"/>
      <c r="K35" s="5"/>
      <c r="L35" s="11" t="s">
        <v>93</v>
      </c>
      <c r="M35" s="86">
        <v>99.0</v>
      </c>
      <c r="N35" s="87">
        <f>M35/M4*1000</f>
        <v>53.1972058</v>
      </c>
      <c r="O35" s="86">
        <v>117.0</v>
      </c>
      <c r="P35" s="87">
        <f>O35/O4*1000</f>
        <v>67.66917293</v>
      </c>
      <c r="Q35" s="88">
        <v>91.0</v>
      </c>
      <c r="R35" s="87">
        <f>Q35/Q4*1000</f>
        <v>52.78422274</v>
      </c>
      <c r="S35" s="86">
        <v>48.0</v>
      </c>
      <c r="T35" s="87">
        <f>S35/S4*1000</f>
        <v>29.35779817</v>
      </c>
      <c r="U35" s="86">
        <v>116.0</v>
      </c>
      <c r="V35" s="87">
        <f>U35/U4*1000</f>
        <v>76.36603028</v>
      </c>
      <c r="W35" s="86">
        <v>63.0</v>
      </c>
      <c r="X35" s="87">
        <f>W35/W4*1000</f>
        <v>82.78580815</v>
      </c>
      <c r="Y35" s="87">
        <f t="shared" ref="Y35:Z35" si="42">((M35+O35+Q35+S35)/4)</f>
        <v>88.75</v>
      </c>
      <c r="Z35" s="87">
        <f t="shared" si="42"/>
        <v>50.75209991</v>
      </c>
      <c r="AA35" s="87">
        <f t="shared" si="3"/>
        <v>82</v>
      </c>
      <c r="AB35" s="87">
        <f t="shared" si="4"/>
        <v>79.57591922</v>
      </c>
      <c r="AC35" s="89" t="s">
        <v>48</v>
      </c>
      <c r="AD35" s="85"/>
      <c r="AE35" s="85"/>
    </row>
    <row r="36" ht="14.25" customHeight="1">
      <c r="A36" s="5"/>
      <c r="B36" s="32" t="s">
        <v>94</v>
      </c>
      <c r="C36" s="31">
        <v>17095.0</v>
      </c>
      <c r="D36" s="31">
        <v>18195.0</v>
      </c>
      <c r="E36" s="31">
        <v>19273.0</v>
      </c>
      <c r="F36" s="31">
        <v>20368.0</v>
      </c>
      <c r="G36" s="31">
        <v>21448.0</v>
      </c>
      <c r="H36" s="31">
        <v>22692.0</v>
      </c>
      <c r="I36" s="5"/>
      <c r="J36" s="5"/>
      <c r="K36" s="5"/>
      <c r="L36" s="11" t="s">
        <v>95</v>
      </c>
      <c r="M36" s="86">
        <v>13.0</v>
      </c>
      <c r="N36" s="87">
        <f>M36/M4*1000</f>
        <v>6.985491671</v>
      </c>
      <c r="O36" s="86">
        <v>9.0</v>
      </c>
      <c r="P36" s="87">
        <f>O36/O4*1000</f>
        <v>5.205320995</v>
      </c>
      <c r="Q36" s="88">
        <v>8.0</v>
      </c>
      <c r="R36" s="87">
        <f>Q36/Q4*1000</f>
        <v>4.64037123</v>
      </c>
      <c r="S36" s="86">
        <v>6.0</v>
      </c>
      <c r="T36" s="87">
        <f>S36/S4*1000</f>
        <v>3.669724771</v>
      </c>
      <c r="U36" s="86">
        <v>22.0</v>
      </c>
      <c r="V36" s="87">
        <f>U36/U4*1000</f>
        <v>14.48321264</v>
      </c>
      <c r="W36" s="86">
        <v>9.0</v>
      </c>
      <c r="X36" s="87">
        <f>W36/W4*1000</f>
        <v>11.82654402</v>
      </c>
      <c r="Y36" s="87">
        <f t="shared" ref="Y36:Z36" si="43">((M36+O36+Q36+S36)/4)</f>
        <v>9</v>
      </c>
      <c r="Z36" s="87">
        <f t="shared" si="43"/>
        <v>5.125227167</v>
      </c>
      <c r="AA36" s="87">
        <f t="shared" si="3"/>
        <v>14</v>
      </c>
      <c r="AB36" s="87">
        <f t="shared" si="4"/>
        <v>13.15487833</v>
      </c>
      <c r="AC36" s="89" t="s">
        <v>48</v>
      </c>
      <c r="AD36" s="85"/>
      <c r="AE36" s="85"/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86">
        <v>1.0</v>
      </c>
      <c r="N37" s="95"/>
      <c r="O37" s="86">
        <v>2.0</v>
      </c>
      <c r="P37" s="95"/>
      <c r="Q37" s="88">
        <v>0.0</v>
      </c>
      <c r="R37" s="95"/>
      <c r="S37" s="86">
        <v>0.0</v>
      </c>
      <c r="T37" s="95"/>
      <c r="U37" s="86">
        <v>5.0</v>
      </c>
      <c r="V37" s="95"/>
      <c r="W37" s="86">
        <v>1.0</v>
      </c>
      <c r="X37" s="95"/>
      <c r="Y37" s="87">
        <f t="shared" ref="Y37:Z37" si="44">((M37+O37+Q37+S37)/4)</f>
        <v>0.75</v>
      </c>
      <c r="Z37" s="87">
        <f t="shared" si="44"/>
        <v>0</v>
      </c>
      <c r="AA37" s="87">
        <f t="shared" si="3"/>
        <v>2.5</v>
      </c>
      <c r="AB37" s="87">
        <f t="shared" si="4"/>
        <v>0</v>
      </c>
      <c r="AC37" s="89" t="s">
        <v>48</v>
      </c>
      <c r="AD37" s="85"/>
      <c r="AE37" s="85"/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86">
        <v>1.0</v>
      </c>
      <c r="N38" s="87">
        <f>M38/C7*10000</f>
        <v>0.06832841369</v>
      </c>
      <c r="O38" s="86">
        <v>0.0</v>
      </c>
      <c r="P38" s="87">
        <f>O38/E7*10000</f>
        <v>0</v>
      </c>
      <c r="Q38" s="88">
        <v>2.0</v>
      </c>
      <c r="R38" s="87">
        <f>Q38/E7*10000</f>
        <v>0.1274023302</v>
      </c>
      <c r="S38" s="86">
        <v>9.0</v>
      </c>
      <c r="T38" s="87">
        <f>S38/F7*10000</f>
        <v>0.5574653907</v>
      </c>
      <c r="U38" s="86">
        <v>5.0</v>
      </c>
      <c r="V38" s="87">
        <f>U38/G7*10000</f>
        <v>0.3013645788</v>
      </c>
      <c r="W38" s="86">
        <v>55.0</v>
      </c>
      <c r="X38" s="87">
        <f>W38/H7*10000</f>
        <v>3.230315631</v>
      </c>
      <c r="Y38" s="87">
        <f t="shared" ref="Y38:Z38" si="45">((M38+O38+Q38+S38)/4)</f>
        <v>3</v>
      </c>
      <c r="Z38" s="87">
        <f t="shared" si="45"/>
        <v>0.1882990336</v>
      </c>
      <c r="AA38" s="87">
        <f t="shared" si="3"/>
        <v>7</v>
      </c>
      <c r="AB38" s="87">
        <f t="shared" si="4"/>
        <v>1.765840105</v>
      </c>
      <c r="AC38" s="89" t="s">
        <v>48</v>
      </c>
      <c r="AD38" s="85"/>
      <c r="AE38" s="85"/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86">
        <v>85.0</v>
      </c>
      <c r="N39" s="87">
        <f>M39/C17*10000</f>
        <v>20.10834851</v>
      </c>
      <c r="O39" s="86">
        <v>87.0</v>
      </c>
      <c r="P39" s="87">
        <f>O39/D17*10000</f>
        <v>20.0414651</v>
      </c>
      <c r="Q39" s="88">
        <v>133.0</v>
      </c>
      <c r="R39" s="87">
        <f>Q39/E17*10000</f>
        <v>30.0435971</v>
      </c>
      <c r="S39" s="86">
        <v>177.0</v>
      </c>
      <c r="T39" s="87">
        <f>S39/F17*10000</f>
        <v>39.28357414</v>
      </c>
      <c r="U39" s="86">
        <v>173.0</v>
      </c>
      <c r="V39" s="87">
        <f>U39/G17*10000</f>
        <v>37.79355543</v>
      </c>
      <c r="W39" s="86">
        <v>124.0</v>
      </c>
      <c r="X39" s="87">
        <f>W39/H17*100000</f>
        <v>266.7068161</v>
      </c>
      <c r="Y39" s="87">
        <f t="shared" ref="Y39:Z39" si="46">((M39+O39+Q39+S39)/4)</f>
        <v>120.5</v>
      </c>
      <c r="Z39" s="87">
        <f t="shared" si="46"/>
        <v>27.36924621</v>
      </c>
      <c r="AA39" s="87">
        <f t="shared" si="3"/>
        <v>175</v>
      </c>
      <c r="AB39" s="87">
        <f t="shared" si="4"/>
        <v>152.2501858</v>
      </c>
      <c r="AC39" s="89" t="s">
        <v>48</v>
      </c>
      <c r="AD39" s="85"/>
      <c r="AE39" s="85"/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86">
        <v>97.0</v>
      </c>
      <c r="N40" s="87">
        <f>M40/C7*100000</f>
        <v>66.27856128</v>
      </c>
      <c r="O40" s="86">
        <v>101.0</v>
      </c>
      <c r="P40" s="87">
        <f>O40/D7*100000</f>
        <v>66.36223266</v>
      </c>
      <c r="Q40" s="88">
        <v>155.0</v>
      </c>
      <c r="R40" s="87">
        <f>Q40/E7*100000</f>
        <v>98.7368059</v>
      </c>
      <c r="S40" s="86">
        <v>228.0</v>
      </c>
      <c r="T40" s="87">
        <f>S40/F7*100000</f>
        <v>141.2245656</v>
      </c>
      <c r="U40" s="86">
        <v>203.0</v>
      </c>
      <c r="V40" s="87">
        <f>U40/G7*100000</f>
        <v>122.354019</v>
      </c>
      <c r="W40" s="86">
        <v>160.0</v>
      </c>
      <c r="X40" s="87">
        <f>W40/H7*100000</f>
        <v>93.97281836</v>
      </c>
      <c r="Y40" s="87">
        <f t="shared" ref="Y40:Z40" si="47">((M40+O40+Q40+S40)/4)</f>
        <v>145.25</v>
      </c>
      <c r="Z40" s="87">
        <f t="shared" si="47"/>
        <v>93.15054137</v>
      </c>
      <c r="AA40" s="87">
        <f t="shared" si="3"/>
        <v>215.5</v>
      </c>
      <c r="AB40" s="87">
        <f t="shared" si="4"/>
        <v>108.1634187</v>
      </c>
      <c r="AC40" s="89" t="s">
        <v>48</v>
      </c>
      <c r="AD40" s="85"/>
      <c r="AE40" s="85"/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2">
        <v>397.0</v>
      </c>
      <c r="N41" s="98">
        <f>M41/C7*10000</f>
        <v>27.12638023</v>
      </c>
      <c r="O41" s="86">
        <v>384.0</v>
      </c>
      <c r="P41" s="98">
        <f>O41/D7*10000</f>
        <v>25.23078945</v>
      </c>
      <c r="Q41" s="88">
        <v>466.0</v>
      </c>
      <c r="R41" s="98">
        <f>Q41/E7*10000</f>
        <v>29.68474293</v>
      </c>
      <c r="S41" s="62">
        <v>550.0</v>
      </c>
      <c r="T41" s="98">
        <f>S41/F7*10000</f>
        <v>34.06732943</v>
      </c>
      <c r="U41" s="62">
        <v>610.0</v>
      </c>
      <c r="V41" s="98">
        <f>U41/G7*10000</f>
        <v>36.76647862</v>
      </c>
      <c r="W41" s="62">
        <v>359.0</v>
      </c>
      <c r="X41" s="98">
        <f>W41/H7*10000</f>
        <v>21.08515112</v>
      </c>
      <c r="Y41" s="87">
        <f t="shared" ref="Y41:Z41" si="48">((M41+O41+Q41+S41)/4)</f>
        <v>449.25</v>
      </c>
      <c r="Z41" s="87">
        <f t="shared" si="48"/>
        <v>29.02731051</v>
      </c>
      <c r="AA41" s="87">
        <f t="shared" si="3"/>
        <v>580</v>
      </c>
      <c r="AB41" s="87">
        <f t="shared" si="4"/>
        <v>28.92581487</v>
      </c>
      <c r="AC41" s="89" t="s">
        <v>48</v>
      </c>
      <c r="AD41" s="85"/>
      <c r="AE41" s="85"/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2">
        <v>56.0</v>
      </c>
      <c r="N42" s="98">
        <f>M42/C7*10000</f>
        <v>3.826391167</v>
      </c>
      <c r="O42" s="86">
        <v>57.0</v>
      </c>
      <c r="P42" s="98">
        <f>O42/D7*10000</f>
        <v>3.745195309</v>
      </c>
      <c r="Q42" s="88">
        <v>83.0</v>
      </c>
      <c r="R42" s="98">
        <f>Q42/E7*10000</f>
        <v>5.287196703</v>
      </c>
      <c r="S42" s="62">
        <v>150.0</v>
      </c>
      <c r="T42" s="98">
        <f>S42/F7*10000</f>
        <v>9.291089845</v>
      </c>
      <c r="U42" s="62">
        <v>110.0</v>
      </c>
      <c r="V42" s="98">
        <f>U42/G7*10000</f>
        <v>6.630020734</v>
      </c>
      <c r="W42" s="62">
        <v>78.0</v>
      </c>
      <c r="X42" s="98">
        <f>W42/H7*10000</f>
        <v>4.581174895</v>
      </c>
      <c r="Y42" s="87">
        <f t="shared" ref="Y42:Z42" si="49">((M42+O42+Q42+S42)/4)</f>
        <v>86.5</v>
      </c>
      <c r="Z42" s="87">
        <f t="shared" si="49"/>
        <v>5.537468256</v>
      </c>
      <c r="AA42" s="87">
        <f t="shared" si="3"/>
        <v>130</v>
      </c>
      <c r="AB42" s="87">
        <f t="shared" si="4"/>
        <v>5.605597815</v>
      </c>
      <c r="AC42" s="89" t="s">
        <v>48</v>
      </c>
      <c r="AD42" s="85"/>
      <c r="AE42" s="85"/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2">
        <v>122.0</v>
      </c>
      <c r="N43" s="98">
        <f>M43/C16*10000</f>
        <v>10.98673487</v>
      </c>
      <c r="O43" s="86">
        <v>160.0</v>
      </c>
      <c r="P43" s="98">
        <f>O43/D16*10000</f>
        <v>13.81632917</v>
      </c>
      <c r="Q43" s="88">
        <v>303.0</v>
      </c>
      <c r="R43" s="98">
        <f>Q43/E16*100000</f>
        <v>253.0165755</v>
      </c>
      <c r="S43" s="62">
        <v>223.0</v>
      </c>
      <c r="T43" s="98">
        <f>S43/F16*100000</f>
        <v>180.6267668</v>
      </c>
      <c r="U43" s="62">
        <v>218.0</v>
      </c>
      <c r="V43" s="98">
        <f>U43/G16*100000</f>
        <v>171.214049</v>
      </c>
      <c r="W43" s="62">
        <v>169.0</v>
      </c>
      <c r="X43" s="98">
        <f>W43/H16*100000</f>
        <v>128.9643173</v>
      </c>
      <c r="Y43" s="87">
        <f t="shared" ref="Y43:Z43" si="50">((M43+O43+Q43+S43)/4)</f>
        <v>202</v>
      </c>
      <c r="Z43" s="87">
        <f t="shared" si="50"/>
        <v>114.6116016</v>
      </c>
      <c r="AA43" s="87">
        <f t="shared" si="3"/>
        <v>220.5</v>
      </c>
      <c r="AB43" s="87">
        <f t="shared" si="4"/>
        <v>150.0891832</v>
      </c>
      <c r="AC43" s="89" t="s">
        <v>48</v>
      </c>
      <c r="AD43" s="85"/>
      <c r="AE43" s="85"/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53">
        <v>195.0</v>
      </c>
      <c r="N44" s="98">
        <f>M44/C7*100000</f>
        <v>133.2404067</v>
      </c>
      <c r="O44" s="86">
        <v>223.0</v>
      </c>
      <c r="P44" s="98">
        <f>O44/D7*100000</f>
        <v>146.5225533</v>
      </c>
      <c r="Q44" s="86">
        <v>212.0</v>
      </c>
      <c r="R44" s="87">
        <f>Q44/E7*100000</f>
        <v>135.04647</v>
      </c>
      <c r="S44" s="86">
        <v>194.0</v>
      </c>
      <c r="T44" s="87">
        <f>S44/F7*100000</f>
        <v>120.164762</v>
      </c>
      <c r="U44" s="86">
        <v>204.0</v>
      </c>
      <c r="V44" s="87">
        <f>U44/G7*100000</f>
        <v>122.9567482</v>
      </c>
      <c r="W44" s="86">
        <v>180.0</v>
      </c>
      <c r="X44" s="87">
        <f>W44/H7*100000</f>
        <v>105.7194207</v>
      </c>
      <c r="Y44" s="87">
        <f t="shared" ref="Y44:Z44" si="51">((M44+O44+Q44+S44)/4)</f>
        <v>206</v>
      </c>
      <c r="Z44" s="87">
        <f t="shared" si="51"/>
        <v>133.743548</v>
      </c>
      <c r="AA44" s="87">
        <f t="shared" si="3"/>
        <v>199</v>
      </c>
      <c r="AB44" s="87">
        <f t="shared" si="4"/>
        <v>114.3380844</v>
      </c>
      <c r="AC44" s="89" t="s">
        <v>48</v>
      </c>
      <c r="AD44" s="85"/>
      <c r="AE44" s="85"/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53">
        <v>1861.0</v>
      </c>
      <c r="N45" s="98">
        <f>M45/M4*100</f>
        <v>100</v>
      </c>
      <c r="O45" s="86">
        <v>1719.0</v>
      </c>
      <c r="P45" s="98">
        <f>O45/O4*100</f>
        <v>99.421631</v>
      </c>
      <c r="Q45" s="86">
        <v>1717.0</v>
      </c>
      <c r="R45" s="87">
        <f>Q45/Q4*100</f>
        <v>99.59396752</v>
      </c>
      <c r="S45" s="86">
        <v>1631.0</v>
      </c>
      <c r="T45" s="87">
        <f>S45/S4*100</f>
        <v>99.75535168</v>
      </c>
      <c r="U45" s="86">
        <v>1523.0</v>
      </c>
      <c r="V45" s="87">
        <f>U45/U4*100</f>
        <v>100.2633311</v>
      </c>
      <c r="W45" s="86">
        <v>739.0</v>
      </c>
      <c r="X45" s="87">
        <f>W45/W4*100</f>
        <v>97.10906702</v>
      </c>
      <c r="Y45" s="87">
        <f t="shared" ref="Y45:Z45" si="52">((M45+O45+Q45+S45)/4)</f>
        <v>1732</v>
      </c>
      <c r="Z45" s="87">
        <f t="shared" si="52"/>
        <v>99.69273755</v>
      </c>
      <c r="AA45" s="87">
        <f t="shared" si="3"/>
        <v>1577</v>
      </c>
      <c r="AB45" s="87">
        <f t="shared" si="4"/>
        <v>98.68619908</v>
      </c>
      <c r="AC45" s="89" t="s">
        <v>105</v>
      </c>
      <c r="AD45" s="85"/>
      <c r="AE45" s="85"/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53">
        <v>1685.0</v>
      </c>
      <c r="N46" s="98">
        <f>M46/M4*100</f>
        <v>90.54271897</v>
      </c>
      <c r="O46" s="86">
        <v>1532.0</v>
      </c>
      <c r="P46" s="98">
        <f>O46/O4*100</f>
        <v>88.60613071</v>
      </c>
      <c r="Q46" s="86">
        <v>1519.0</v>
      </c>
      <c r="R46" s="87">
        <f>Q46/Q4*100</f>
        <v>88.10904872</v>
      </c>
      <c r="S46" s="86">
        <v>1513.0</v>
      </c>
      <c r="T46" s="87">
        <f>S46/S4*100</f>
        <v>92.5382263</v>
      </c>
      <c r="U46" s="86">
        <v>1414.0</v>
      </c>
      <c r="V46" s="87">
        <f>U46/U4*100</f>
        <v>93.0875576</v>
      </c>
      <c r="W46" s="86">
        <v>698.0</v>
      </c>
      <c r="X46" s="87">
        <f>W46/W4*100</f>
        <v>91.72141919</v>
      </c>
      <c r="Y46" s="87">
        <f t="shared" ref="Y46:Z46" si="53">((M46+O46+Q46+S46)/4)</f>
        <v>1562.25</v>
      </c>
      <c r="Z46" s="87">
        <f t="shared" si="53"/>
        <v>89.94903118</v>
      </c>
      <c r="AA46" s="87">
        <f t="shared" si="3"/>
        <v>1463.5</v>
      </c>
      <c r="AB46" s="87">
        <f t="shared" si="4"/>
        <v>92.40448839</v>
      </c>
      <c r="AC46" s="89" t="s">
        <v>105</v>
      </c>
      <c r="AD46" s="85"/>
      <c r="AE46" s="8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88">
        <v>40.0</v>
      </c>
      <c r="N47" s="87">
        <f>M47/C7*100000</f>
        <v>27.33136548</v>
      </c>
      <c r="O47" s="88">
        <v>44.0</v>
      </c>
      <c r="P47" s="87">
        <f>O47/D7*100000</f>
        <v>28.91027958</v>
      </c>
      <c r="Q47" s="88">
        <v>35.0</v>
      </c>
      <c r="R47" s="87">
        <f>Q47/E7*100000</f>
        <v>22.29540778</v>
      </c>
      <c r="S47" s="86">
        <v>16.0</v>
      </c>
      <c r="T47" s="87">
        <f>S47/F7*100000</f>
        <v>9.910495834</v>
      </c>
      <c r="U47" s="86">
        <v>65.0</v>
      </c>
      <c r="V47" s="87">
        <f>U47/G7*100000</f>
        <v>39.17739525</v>
      </c>
      <c r="W47" s="86">
        <v>29.0</v>
      </c>
      <c r="X47" s="87">
        <f>W47/H7*100000</f>
        <v>17.03257333</v>
      </c>
      <c r="Y47" s="87">
        <f t="shared" ref="Y47:Z47" si="54">((M47+O47+Q47+S47)/4)</f>
        <v>33.75</v>
      </c>
      <c r="Z47" s="87">
        <f t="shared" si="54"/>
        <v>22.11188717</v>
      </c>
      <c r="AA47" s="87">
        <f t="shared" si="3"/>
        <v>40.5</v>
      </c>
      <c r="AB47" s="87">
        <f t="shared" si="4"/>
        <v>28.10498429</v>
      </c>
      <c r="AC47" s="89" t="s">
        <v>48</v>
      </c>
      <c r="AD47" s="85"/>
      <c r="AE47" s="8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88">
        <v>26.0</v>
      </c>
      <c r="N48" s="87">
        <f>M48/C7*100000</f>
        <v>17.76538756</v>
      </c>
      <c r="O48" s="86">
        <v>30.0</v>
      </c>
      <c r="P48" s="87">
        <f>O48/D7*100000</f>
        <v>19.71155426</v>
      </c>
      <c r="Q48" s="88">
        <v>17.0</v>
      </c>
      <c r="R48" s="87">
        <f>Q48/E7*100000</f>
        <v>10.82919807</v>
      </c>
      <c r="S48" s="86">
        <v>20.0</v>
      </c>
      <c r="T48" s="87">
        <f>S48/F7*100000</f>
        <v>12.38811979</v>
      </c>
      <c r="U48" s="86">
        <v>21.0</v>
      </c>
      <c r="V48" s="87">
        <f>U48/G7*100000</f>
        <v>12.65731231</v>
      </c>
      <c r="W48" s="86">
        <v>12.0</v>
      </c>
      <c r="X48" s="87">
        <f>W48/H7*100000</f>
        <v>7.047961377</v>
      </c>
      <c r="Y48" s="87">
        <f t="shared" ref="Y48:Z48" si="55">((M48+O48+Q48+S48)/4)</f>
        <v>23.25</v>
      </c>
      <c r="Z48" s="87">
        <f t="shared" si="55"/>
        <v>15.17356492</v>
      </c>
      <c r="AA48" s="87">
        <f t="shared" si="3"/>
        <v>20.5</v>
      </c>
      <c r="AB48" s="87">
        <f t="shared" si="4"/>
        <v>9.852636844</v>
      </c>
      <c r="AC48" s="54" t="s">
        <v>22</v>
      </c>
      <c r="AD48" s="85"/>
      <c r="AE48" s="85"/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88">
        <v>94.0</v>
      </c>
      <c r="N49" s="87">
        <f>M49/C7*100000</f>
        <v>64.22870887</v>
      </c>
      <c r="O49" s="86">
        <v>112.0</v>
      </c>
      <c r="P49" s="87">
        <f>O49/D7*100000</f>
        <v>73.58980256</v>
      </c>
      <c r="Q49" s="88">
        <v>105.0</v>
      </c>
      <c r="R49" s="87">
        <f>Q49/E7*100000</f>
        <v>66.88622335</v>
      </c>
      <c r="S49" s="86">
        <v>81.0</v>
      </c>
      <c r="T49" s="87">
        <f>S49/F7*100000</f>
        <v>50.17188516</v>
      </c>
      <c r="U49" s="86">
        <v>82.0</v>
      </c>
      <c r="V49" s="87">
        <f>U49/G7*100000</f>
        <v>49.42379093</v>
      </c>
      <c r="W49" s="86">
        <v>41.0</v>
      </c>
      <c r="X49" s="87">
        <f>W49/H7*100000</f>
        <v>24.08053471</v>
      </c>
      <c r="Y49" s="87">
        <f t="shared" ref="Y49:Z49" si="56">((M49+O49+Q49+S49)/4)</f>
        <v>98</v>
      </c>
      <c r="Z49" s="87">
        <f t="shared" si="56"/>
        <v>63.71915498</v>
      </c>
      <c r="AA49" s="87">
        <f t="shared" si="3"/>
        <v>81.5</v>
      </c>
      <c r="AB49" s="87">
        <f t="shared" si="4"/>
        <v>36.75216282</v>
      </c>
      <c r="AC49" s="54" t="s">
        <v>22</v>
      </c>
      <c r="AD49" s="85"/>
      <c r="AE49" s="85"/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88">
        <v>7.0</v>
      </c>
      <c r="N50" s="87">
        <f>M50/C7*100000</f>
        <v>4.782988958</v>
      </c>
      <c r="O50" s="88">
        <v>8.0</v>
      </c>
      <c r="P50" s="87">
        <f>O50/D7*100000</f>
        <v>5.256414468</v>
      </c>
      <c r="Q50" s="88">
        <v>6.0</v>
      </c>
      <c r="R50" s="87">
        <f>Q50/E7*100000</f>
        <v>3.822069906</v>
      </c>
      <c r="S50" s="86">
        <v>5.0</v>
      </c>
      <c r="T50" s="87">
        <f>S50/F7*100000</f>
        <v>3.097029948</v>
      </c>
      <c r="U50" s="86">
        <v>9.0</v>
      </c>
      <c r="V50" s="87">
        <f>U50/G7*100000</f>
        <v>5.424562419</v>
      </c>
      <c r="W50" s="86">
        <v>2.0</v>
      </c>
      <c r="X50" s="87">
        <f>W50/H7*100000</f>
        <v>1.17466023</v>
      </c>
      <c r="Y50" s="87">
        <f t="shared" ref="Y50:Z50" si="57">((M50+O50+Q50+S50)/4)</f>
        <v>6.5</v>
      </c>
      <c r="Z50" s="87">
        <f t="shared" si="57"/>
        <v>4.23962582</v>
      </c>
      <c r="AA50" s="87">
        <f t="shared" si="3"/>
        <v>7</v>
      </c>
      <c r="AB50" s="87">
        <f t="shared" si="4"/>
        <v>3.299611324</v>
      </c>
      <c r="AC50" s="89" t="s">
        <v>48</v>
      </c>
      <c r="AD50" s="85"/>
      <c r="AE50" s="85"/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88">
        <v>1.0</v>
      </c>
      <c r="N51" s="87">
        <f>M51/C7*100000</f>
        <v>0.6832841369</v>
      </c>
      <c r="O51" s="88">
        <v>2.0</v>
      </c>
      <c r="P51" s="87">
        <f>O51/D7*100000</f>
        <v>1.314103617</v>
      </c>
      <c r="Q51" s="88">
        <v>3.0</v>
      </c>
      <c r="R51" s="87">
        <f>Q51/E7*100000</f>
        <v>1.911034953</v>
      </c>
      <c r="S51" s="86">
        <v>1.0</v>
      </c>
      <c r="T51" s="87">
        <f>S51/F7*100000</f>
        <v>0.6194059897</v>
      </c>
      <c r="U51" s="86">
        <v>5.0</v>
      </c>
      <c r="V51" s="87">
        <f>U51/G7*100000</f>
        <v>3.013645788</v>
      </c>
      <c r="W51" s="86">
        <v>1.0</v>
      </c>
      <c r="X51" s="87">
        <f>W51/H7*100000</f>
        <v>0.5873301148</v>
      </c>
      <c r="Y51" s="87">
        <f t="shared" ref="Y51:Z51" si="58">((M51+O51+Q51+S51)/4)</f>
        <v>1.75</v>
      </c>
      <c r="Z51" s="87">
        <f t="shared" si="58"/>
        <v>1.131957174</v>
      </c>
      <c r="AA51" s="87">
        <f t="shared" si="3"/>
        <v>3</v>
      </c>
      <c r="AB51" s="87">
        <f t="shared" si="4"/>
        <v>1.800487951</v>
      </c>
      <c r="AC51" s="89" t="s">
        <v>48</v>
      </c>
      <c r="AD51" s="85"/>
      <c r="AE51" s="85"/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88">
        <v>17.0</v>
      </c>
      <c r="N52" s="87">
        <f>M52/C7*100000</f>
        <v>11.61583033</v>
      </c>
      <c r="O52" s="88">
        <v>13.0</v>
      </c>
      <c r="P52" s="87">
        <f>O52/D7*100000</f>
        <v>8.541673511</v>
      </c>
      <c r="Q52" s="88">
        <v>28.0</v>
      </c>
      <c r="R52" s="87">
        <f>Q52/E7*100000</f>
        <v>17.83632623</v>
      </c>
      <c r="S52" s="86">
        <v>21.0</v>
      </c>
      <c r="T52" s="87">
        <f>S52/F7*100000</f>
        <v>13.00752578</v>
      </c>
      <c r="U52" s="86">
        <v>12.0</v>
      </c>
      <c r="V52" s="87">
        <f>U52/G7*100000</f>
        <v>7.232749892</v>
      </c>
      <c r="W52" s="86">
        <v>7.0</v>
      </c>
      <c r="X52" s="87">
        <f>W52/H7*100000</f>
        <v>4.111310803</v>
      </c>
      <c r="Y52" s="87">
        <f t="shared" ref="Y52:Z52" si="59">((M52+O52+Q52+S52)/4)</f>
        <v>19.75</v>
      </c>
      <c r="Z52" s="87">
        <f t="shared" si="59"/>
        <v>12.75033896</v>
      </c>
      <c r="AA52" s="87">
        <f t="shared" si="3"/>
        <v>16.5</v>
      </c>
      <c r="AB52" s="87">
        <f t="shared" si="4"/>
        <v>5.672030347</v>
      </c>
      <c r="AC52" s="89" t="s">
        <v>48</v>
      </c>
      <c r="AD52" s="85"/>
      <c r="AE52" s="85"/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88">
        <v>2.0</v>
      </c>
      <c r="N53" s="87">
        <f>M53/C17*100000</f>
        <v>4.731376121</v>
      </c>
      <c r="O53" s="88">
        <v>1.0</v>
      </c>
      <c r="P53" s="87">
        <f>O53/D17*100000</f>
        <v>2.303616678</v>
      </c>
      <c r="Q53" s="88">
        <v>6.0</v>
      </c>
      <c r="R53" s="87">
        <f>Q53/E17*100000</f>
        <v>13.55350245</v>
      </c>
      <c r="S53" s="86">
        <v>2.0</v>
      </c>
      <c r="T53" s="87">
        <f>S53/F17*100000</f>
        <v>4.438821937</v>
      </c>
      <c r="U53" s="86">
        <v>2.0</v>
      </c>
      <c r="V53" s="87">
        <f>U53/G17*100000</f>
        <v>4.36919716</v>
      </c>
      <c r="W53" s="86">
        <v>1.0</v>
      </c>
      <c r="X53" s="87">
        <f>W53/H17*100000</f>
        <v>2.15086142</v>
      </c>
      <c r="Y53" s="87">
        <f t="shared" ref="Y53:Z53" si="60">((M53+O53+Q53+S53)/4)</f>
        <v>2.75</v>
      </c>
      <c r="Z53" s="87">
        <f t="shared" si="60"/>
        <v>6.256829297</v>
      </c>
      <c r="AA53" s="87">
        <f t="shared" si="3"/>
        <v>2</v>
      </c>
      <c r="AB53" s="87">
        <f t="shared" si="4"/>
        <v>3.26002929</v>
      </c>
      <c r="AC53" s="54" t="s">
        <v>22</v>
      </c>
      <c r="AD53" s="85"/>
      <c r="AE53" s="85"/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88">
        <v>16.0</v>
      </c>
      <c r="N54" s="87">
        <f>M54/C19*100000</f>
        <v>17.50815223</v>
      </c>
      <c r="O54" s="88">
        <v>29.0</v>
      </c>
      <c r="P54" s="87">
        <f>O54/D19*100000</f>
        <v>30.3992788</v>
      </c>
      <c r="Q54" s="88">
        <v>28.0</v>
      </c>
      <c r="R54" s="87">
        <f>Q54/E19*100000</f>
        <v>28.38259741</v>
      </c>
      <c r="S54" s="86">
        <v>16.0</v>
      </c>
      <c r="T54" s="87">
        <f>S54/F19*100000</f>
        <v>15.74431237</v>
      </c>
      <c r="U54" s="86">
        <v>11.0</v>
      </c>
      <c r="V54" s="87">
        <f>U54/G19*100000</f>
        <v>10.50099282</v>
      </c>
      <c r="W54" s="86">
        <v>4.0</v>
      </c>
      <c r="X54" s="87">
        <f>W54/H19*100000</f>
        <v>3.719234953</v>
      </c>
      <c r="Y54" s="87">
        <f t="shared" ref="Y54:Z54" si="61">((M54+O54+Q54+S54)/4)</f>
        <v>22.25</v>
      </c>
      <c r="Z54" s="87">
        <f t="shared" si="61"/>
        <v>23.0085852</v>
      </c>
      <c r="AA54" s="87">
        <f t="shared" si="3"/>
        <v>13.5</v>
      </c>
      <c r="AB54" s="87">
        <f t="shared" si="4"/>
        <v>7.110113887</v>
      </c>
      <c r="AC54" s="54" t="s">
        <v>22</v>
      </c>
      <c r="AD54" s="85"/>
      <c r="AE54" s="85"/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88">
        <v>60.0</v>
      </c>
      <c r="N55" s="87">
        <f>M55/C19*100000</f>
        <v>65.65557088</v>
      </c>
      <c r="O55" s="88">
        <v>57.0</v>
      </c>
      <c r="P55" s="87">
        <f>O55/D19*100000</f>
        <v>59.75030661</v>
      </c>
      <c r="Q55" s="88">
        <v>64.0</v>
      </c>
      <c r="R55" s="87">
        <f>Q55/E19*100000</f>
        <v>64.87450837</v>
      </c>
      <c r="S55" s="86">
        <v>50.0</v>
      </c>
      <c r="T55" s="87">
        <f>S55/F19*100000</f>
        <v>49.20097615</v>
      </c>
      <c r="U55" s="86">
        <v>52.0</v>
      </c>
      <c r="V55" s="87">
        <f>U55/G19*100000</f>
        <v>49.64105697</v>
      </c>
      <c r="W55" s="86">
        <v>28.0</v>
      </c>
      <c r="X55" s="87">
        <f>W55/H19*100000</f>
        <v>26.03464467</v>
      </c>
      <c r="Y55" s="87">
        <f t="shared" ref="Y55:Z55" si="62">((M55+O55+Q55+S55)/4)</f>
        <v>57.75</v>
      </c>
      <c r="Z55" s="87">
        <f t="shared" si="62"/>
        <v>59.8703405</v>
      </c>
      <c r="AA55" s="87">
        <f t="shared" si="3"/>
        <v>51</v>
      </c>
      <c r="AB55" s="87">
        <f t="shared" si="4"/>
        <v>37.83785082</v>
      </c>
      <c r="AC55" s="54" t="s">
        <v>22</v>
      </c>
      <c r="AD55" s="85"/>
      <c r="AE55" s="85"/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88">
        <v>0.0</v>
      </c>
      <c r="N56" s="87">
        <f>M56/C7*100000</f>
        <v>0</v>
      </c>
      <c r="O56" s="88">
        <v>0.0</v>
      </c>
      <c r="P56" s="87">
        <f>O56/D7*100000</f>
        <v>0</v>
      </c>
      <c r="Q56" s="88">
        <v>0.0</v>
      </c>
      <c r="R56" s="87">
        <f>Q56/E7*100000</f>
        <v>0</v>
      </c>
      <c r="S56" s="86">
        <v>0.0</v>
      </c>
      <c r="T56" s="87">
        <f>S56/F7*100000</f>
        <v>0</v>
      </c>
      <c r="U56" s="86">
        <v>0.0</v>
      </c>
      <c r="V56" s="87">
        <f>U56/G7*100000</f>
        <v>0</v>
      </c>
      <c r="W56" s="86">
        <v>0.0</v>
      </c>
      <c r="X56" s="87">
        <f>W56/H7*100000</f>
        <v>0</v>
      </c>
      <c r="Y56" s="87">
        <f t="shared" ref="Y56:Z56" si="63">((M56+O56+Q56+S56)/4)</f>
        <v>0</v>
      </c>
      <c r="Z56" s="87">
        <f t="shared" si="63"/>
        <v>0</v>
      </c>
      <c r="AA56" s="87">
        <f t="shared" si="3"/>
        <v>0</v>
      </c>
      <c r="AB56" s="87">
        <f t="shared" si="4"/>
        <v>0</v>
      </c>
      <c r="AC56" s="54" t="s">
        <v>22</v>
      </c>
      <c r="AD56" s="85"/>
      <c r="AE56" s="85"/>
    </row>
    <row r="57" ht="16.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88">
        <v>0.0</v>
      </c>
      <c r="N57" s="87">
        <f>M57/M4*100000</f>
        <v>0</v>
      </c>
      <c r="O57" s="88">
        <v>0.0</v>
      </c>
      <c r="P57" s="87">
        <f>O57/O4*100000</f>
        <v>0</v>
      </c>
      <c r="Q57" s="88">
        <v>0.0</v>
      </c>
      <c r="R57" s="87">
        <f>Q57/Q4*100000</f>
        <v>0</v>
      </c>
      <c r="S57" s="86">
        <v>0.0</v>
      </c>
      <c r="T57" s="87">
        <f>S57/S4*100000</f>
        <v>0</v>
      </c>
      <c r="U57" s="86">
        <v>0.0</v>
      </c>
      <c r="V57" s="87">
        <f>U57/U4*100000</f>
        <v>0</v>
      </c>
      <c r="W57" s="86">
        <v>0.0</v>
      </c>
      <c r="X57" s="87">
        <f>W57/W4*100000</f>
        <v>0</v>
      </c>
      <c r="Y57" s="87">
        <f t="shared" ref="Y57:Z57" si="64">((M57+O57+Q57+S57)/4)</f>
        <v>0</v>
      </c>
      <c r="Z57" s="87">
        <f t="shared" si="64"/>
        <v>0</v>
      </c>
      <c r="AA57" s="87">
        <f t="shared" si="3"/>
        <v>0</v>
      </c>
      <c r="AB57" s="87">
        <f t="shared" si="4"/>
        <v>0</v>
      </c>
      <c r="AC57" s="89" t="s">
        <v>48</v>
      </c>
      <c r="AD57" s="85"/>
      <c r="AE57" s="85"/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53">
        <v>155.0</v>
      </c>
      <c r="N58" s="98">
        <f>M58/C7*100000</f>
        <v>105.9090412</v>
      </c>
      <c r="O58" s="53">
        <v>137.0</v>
      </c>
      <c r="P58" s="98">
        <f>O58/D7*100000</f>
        <v>90.01609777</v>
      </c>
      <c r="Q58" s="53">
        <v>158.0</v>
      </c>
      <c r="R58" s="98">
        <f>Q58/E7*100000</f>
        <v>100.6478408</v>
      </c>
      <c r="S58" s="62">
        <v>134.0</v>
      </c>
      <c r="T58" s="98">
        <f>S58/F7*100000</f>
        <v>83.00040261</v>
      </c>
      <c r="U58" s="62">
        <v>164.0</v>
      </c>
      <c r="V58" s="98">
        <f>U58/G7*100000</f>
        <v>98.84758185</v>
      </c>
      <c r="W58" s="62">
        <v>77.0</v>
      </c>
      <c r="X58" s="98">
        <f>W58/H7*100000</f>
        <v>45.22441884</v>
      </c>
      <c r="Y58" s="87">
        <f t="shared" ref="Y58:Z58" si="65">((M58+O58+Q58+S58)/4)</f>
        <v>146</v>
      </c>
      <c r="Z58" s="87">
        <f t="shared" si="65"/>
        <v>94.89334561</v>
      </c>
      <c r="AA58" s="87">
        <f t="shared" si="3"/>
        <v>149</v>
      </c>
      <c r="AB58" s="87">
        <f t="shared" si="4"/>
        <v>72.03600034</v>
      </c>
      <c r="AC58" s="54" t="s">
        <v>22</v>
      </c>
      <c r="AD58" s="85"/>
      <c r="AE58" s="85"/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11" t="s">
        <v>119</v>
      </c>
      <c r="M59" s="71">
        <v>1.0</v>
      </c>
      <c r="N59" s="28">
        <f>M59/C7*100000</f>
        <v>0.6832841369</v>
      </c>
      <c r="O59" s="71">
        <v>2.0</v>
      </c>
      <c r="P59" s="28">
        <f>O59/D7*100000</f>
        <v>1.314103617</v>
      </c>
      <c r="Q59" s="71">
        <v>2.0</v>
      </c>
      <c r="R59" s="28">
        <f>Q59/E7*100000</f>
        <v>1.274023302</v>
      </c>
      <c r="S59" s="61">
        <v>0.0</v>
      </c>
      <c r="T59" s="28">
        <f>S59/F7*100000</f>
        <v>0</v>
      </c>
      <c r="U59" s="61">
        <v>2.0</v>
      </c>
      <c r="V59" s="28">
        <f>U59/G7*100000</f>
        <v>1.205458315</v>
      </c>
      <c r="W59" s="61">
        <v>0.0</v>
      </c>
      <c r="X59" s="28">
        <f>W59/H7*100000</f>
        <v>0</v>
      </c>
      <c r="Y59" s="13">
        <f t="shared" ref="Y59:Z59" si="66">((M59+O59+Q59+S59)/4)</f>
        <v>1.25</v>
      </c>
      <c r="Z59" s="13">
        <f t="shared" si="66"/>
        <v>0.817852764</v>
      </c>
      <c r="AA59" s="13">
        <f t="shared" si="3"/>
        <v>1</v>
      </c>
      <c r="AB59" s="13">
        <f t="shared" si="4"/>
        <v>0.6027291576</v>
      </c>
      <c r="AC59" s="37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>
        <v>12.0</v>
      </c>
      <c r="N60" s="28">
        <f>M60/C17*100000</f>
        <v>28.38825672</v>
      </c>
      <c r="O60" s="71">
        <v>6.0</v>
      </c>
      <c r="P60" s="28">
        <f>O60/D17*100000</f>
        <v>13.82170007</v>
      </c>
      <c r="Q60" s="71">
        <v>10.0</v>
      </c>
      <c r="R60" s="28">
        <f>Q60/E17*100000</f>
        <v>22.58917075</v>
      </c>
      <c r="S60" s="61">
        <v>10.0</v>
      </c>
      <c r="T60" s="28">
        <f>S60/F17*100000</f>
        <v>22.19410968</v>
      </c>
      <c r="U60" s="61">
        <v>9.0</v>
      </c>
      <c r="V60" s="28">
        <f>U60/G17*100000</f>
        <v>19.66138722</v>
      </c>
      <c r="W60" s="61">
        <v>3.0</v>
      </c>
      <c r="X60" s="28">
        <f>W60/H17*100000</f>
        <v>6.45258426</v>
      </c>
      <c r="Y60" s="13">
        <f>((M60+O60+Q60+S60)/4)</f>
        <v>9.5</v>
      </c>
      <c r="Z60" s="13">
        <f>((N60+P60+R60+T60)/1)</f>
        <v>86.99323723</v>
      </c>
      <c r="AA60" s="13">
        <f t="shared" si="3"/>
        <v>9.5</v>
      </c>
      <c r="AB60" s="13">
        <f t="shared" si="4"/>
        <v>13.05698574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>
        <v>985.0</v>
      </c>
      <c r="N61" s="28">
        <f>M61/C15*1000</f>
        <v>85.69688533</v>
      </c>
      <c r="O61" s="71">
        <v>1249.0</v>
      </c>
      <c r="P61" s="28">
        <f>O61/D15*1000</f>
        <v>105.4542384</v>
      </c>
      <c r="Q61" s="71">
        <v>2017.0</v>
      </c>
      <c r="R61" s="28">
        <f>Q61/E15*1000</f>
        <v>167.3720023</v>
      </c>
      <c r="S61" s="61">
        <v>917.0</v>
      </c>
      <c r="T61" s="28">
        <f>S61/F15*1000</f>
        <v>75.31208936</v>
      </c>
      <c r="U61" s="61">
        <v>1436.0</v>
      </c>
      <c r="V61" s="28">
        <f>U61/G15*1000</f>
        <v>119.427811</v>
      </c>
      <c r="W61" s="61">
        <v>761.0</v>
      </c>
      <c r="X61" s="28">
        <f>W61/H23*1000</f>
        <v>52.07335432</v>
      </c>
      <c r="Y61" s="13">
        <f t="shared" ref="Y61:Z61" si="67">((M61+O61+Q61+S61)/1)</f>
        <v>5168</v>
      </c>
      <c r="Z61" s="13">
        <f t="shared" si="67"/>
        <v>433.8352154</v>
      </c>
      <c r="AA61" s="13">
        <f t="shared" si="3"/>
        <v>1176.5</v>
      </c>
      <c r="AB61" s="13">
        <f t="shared" si="4"/>
        <v>85.75058268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>
        <v>1771.0</v>
      </c>
      <c r="N62" s="28">
        <f>M62/C15*1000</f>
        <v>154.0803898</v>
      </c>
      <c r="O62" s="71">
        <v>2310.0</v>
      </c>
      <c r="P62" s="28">
        <f>O62/D15*1000</f>
        <v>195.035461</v>
      </c>
      <c r="Q62" s="71">
        <v>8181.0</v>
      </c>
      <c r="R62" s="28">
        <f>Q62/E15*1000</f>
        <v>678.8648245</v>
      </c>
      <c r="S62" s="61">
        <v>6555.0</v>
      </c>
      <c r="T62" s="28">
        <f>S62/F15*1000</f>
        <v>538.3541393</v>
      </c>
      <c r="U62" s="61">
        <v>5980.0</v>
      </c>
      <c r="V62" s="28">
        <f>U62/G15*1000</f>
        <v>497.338656</v>
      </c>
      <c r="W62" s="61">
        <v>3427.0</v>
      </c>
      <c r="X62" s="28">
        <f>W62/H15*1000</f>
        <v>283.5043018</v>
      </c>
      <c r="Y62" s="13">
        <f t="shared" ref="Y62:Z62" si="68">((M62+O62+Q62+S62)/1)</f>
        <v>18817</v>
      </c>
      <c r="Z62" s="13">
        <f t="shared" si="68"/>
        <v>1566.334815</v>
      </c>
      <c r="AA62" s="13">
        <f t="shared" si="3"/>
        <v>6267.5</v>
      </c>
      <c r="AB62" s="13">
        <f t="shared" si="4"/>
        <v>390.4214789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>
        <v>22.0</v>
      </c>
      <c r="N63" s="28">
        <f>M63/C17*100000</f>
        <v>52.04513733</v>
      </c>
      <c r="O63" s="71">
        <v>151.0</v>
      </c>
      <c r="P63" s="28">
        <f>O63/D17*100000</f>
        <v>347.8461184</v>
      </c>
      <c r="Q63" s="71">
        <v>239.0</v>
      </c>
      <c r="R63" s="28">
        <f>Q63/E17*100000</f>
        <v>539.881181</v>
      </c>
      <c r="S63" s="61">
        <v>224.0</v>
      </c>
      <c r="T63" s="28">
        <f>S63/F17*100000</f>
        <v>497.1480569</v>
      </c>
      <c r="U63" s="61">
        <v>218.0</v>
      </c>
      <c r="V63" s="28">
        <f>U63/G17*100000</f>
        <v>476.2424904</v>
      </c>
      <c r="W63" s="61">
        <v>122.0</v>
      </c>
      <c r="X63" s="28">
        <f>W63/H17*100000</f>
        <v>262.4050932</v>
      </c>
      <c r="Y63" s="13">
        <f t="shared" ref="Y63:Z63" si="69">((M63+O63+Q63+S63)/1)</f>
        <v>636</v>
      </c>
      <c r="Z63" s="13">
        <f t="shared" si="69"/>
        <v>1436.920494</v>
      </c>
      <c r="AA63" s="13">
        <f t="shared" si="3"/>
        <v>221</v>
      </c>
      <c r="AB63" s="13">
        <f t="shared" si="4"/>
        <v>369.3237918</v>
      </c>
      <c r="AC63" s="37" t="s">
        <v>48</v>
      </c>
    </row>
    <row r="64" ht="26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>
        <v>16.0</v>
      </c>
      <c r="N64" s="28">
        <f>M64/C17*100000</f>
        <v>37.85100897</v>
      </c>
      <c r="O64" s="71">
        <v>22.0</v>
      </c>
      <c r="P64" s="28">
        <f>O64/D17*100000</f>
        <v>50.67956692</v>
      </c>
      <c r="Q64" s="71">
        <v>37.0</v>
      </c>
      <c r="R64" s="28">
        <f>Q64/E17*100000</f>
        <v>83.57993178</v>
      </c>
      <c r="S64" s="61">
        <v>17.0</v>
      </c>
      <c r="T64" s="28">
        <f>S64/F17*100000</f>
        <v>37.72998646</v>
      </c>
      <c r="U64" s="61">
        <v>25.0</v>
      </c>
      <c r="V64" s="28">
        <f>U64/G17*100000</f>
        <v>54.6149645</v>
      </c>
      <c r="W64" s="61">
        <v>11.0</v>
      </c>
      <c r="X64" s="28">
        <f>W64/H17*100000</f>
        <v>23.65947562</v>
      </c>
      <c r="Y64" s="13">
        <f t="shared" ref="Y64:Z64" si="70">((M64+O64+Q64+S64)/1)</f>
        <v>92</v>
      </c>
      <c r="Z64" s="13">
        <f t="shared" si="70"/>
        <v>209.8404941</v>
      </c>
      <c r="AA64" s="13">
        <f t="shared" si="3"/>
        <v>21</v>
      </c>
      <c r="AB64" s="13">
        <f t="shared" si="4"/>
        <v>39.13722006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>
        <v>78.0</v>
      </c>
      <c r="N65" s="28">
        <f>M65/C17*100000</f>
        <v>184.5236687</v>
      </c>
      <c r="O65" s="71">
        <v>88.0</v>
      </c>
      <c r="P65" s="28">
        <f>O65/D17*100000</f>
        <v>202.7182677</v>
      </c>
      <c r="Q65" s="71">
        <v>116.0</v>
      </c>
      <c r="R65" s="28">
        <f>Q65/E17*100000</f>
        <v>262.0343807</v>
      </c>
      <c r="S65" s="71">
        <v>122.0</v>
      </c>
      <c r="T65" s="28">
        <f>S65/F17*100000</f>
        <v>270.7681381</v>
      </c>
      <c r="U65" s="71">
        <v>104.0</v>
      </c>
      <c r="V65" s="28">
        <f>U65/G17*100000</f>
        <v>227.1982523</v>
      </c>
      <c r="W65" s="61">
        <v>43.0</v>
      </c>
      <c r="X65" s="28">
        <f>W65/H17*100000</f>
        <v>92.48704106</v>
      </c>
      <c r="Y65" s="13">
        <f t="shared" ref="Y65:Z65" si="71">((M65+O65+Q65+S65)/1)</f>
        <v>404</v>
      </c>
      <c r="Z65" s="13">
        <f t="shared" si="71"/>
        <v>920.0444552</v>
      </c>
      <c r="AA65" s="13">
        <f t="shared" si="3"/>
        <v>113</v>
      </c>
      <c r="AB65" s="13">
        <f t="shared" si="4"/>
        <v>159.8426467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>
        <v>114.0</v>
      </c>
      <c r="N66" s="28">
        <f>M66/C17*100000</f>
        <v>269.6884389</v>
      </c>
      <c r="O66" s="71">
        <v>58.0</v>
      </c>
      <c r="P66" s="28">
        <f>O66/D17*100000</f>
        <v>133.6097673</v>
      </c>
      <c r="Q66" s="71">
        <v>131.0</v>
      </c>
      <c r="R66" s="28">
        <f>Q66/E17*100000</f>
        <v>295.9181368</v>
      </c>
      <c r="S66" s="71">
        <v>202.0</v>
      </c>
      <c r="T66" s="28">
        <f>S66/F17*100000</f>
        <v>448.3210156</v>
      </c>
      <c r="U66" s="71">
        <v>228.0</v>
      </c>
      <c r="V66" s="28">
        <f>U66/G17*100000</f>
        <v>498.0884762</v>
      </c>
      <c r="W66" s="61">
        <v>109.0</v>
      </c>
      <c r="X66" s="28">
        <f>W66/H17*100000</f>
        <v>234.4438948</v>
      </c>
      <c r="Y66" s="13">
        <f t="shared" ref="Y66:Z66" si="72">((M66+O66+Q66+S66)/1)</f>
        <v>505</v>
      </c>
      <c r="Z66" s="13">
        <f t="shared" si="72"/>
        <v>1147.537359</v>
      </c>
      <c r="AA66" s="13">
        <f t="shared" si="3"/>
        <v>215</v>
      </c>
      <c r="AB66" s="13">
        <f t="shared" si="4"/>
        <v>366.2661855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>
        <v>6.0</v>
      </c>
      <c r="N67" s="28">
        <f>M67/C17*100000</f>
        <v>14.19412836</v>
      </c>
      <c r="O67" s="71">
        <v>7.0</v>
      </c>
      <c r="P67" s="28">
        <f>O67/D17*100000</f>
        <v>16.12531675</v>
      </c>
      <c r="Q67" s="71">
        <v>8.0</v>
      </c>
      <c r="R67" s="28">
        <f>Q67/E17*100000</f>
        <v>18.0713366</v>
      </c>
      <c r="S67" s="71">
        <v>5.0</v>
      </c>
      <c r="T67" s="28">
        <f>S67/F17*100000</f>
        <v>11.09705484</v>
      </c>
      <c r="U67" s="71">
        <v>10.0</v>
      </c>
      <c r="V67" s="28">
        <f>U67/G17*100000</f>
        <v>21.8459858</v>
      </c>
      <c r="W67" s="61">
        <v>14.0</v>
      </c>
      <c r="X67" s="28">
        <f>W67/H17*100000</f>
        <v>30.11205988</v>
      </c>
      <c r="Y67" s="13">
        <f t="shared" ref="Y67:Z67" si="73">((M67+O67+Q67+S67)/1)</f>
        <v>26</v>
      </c>
      <c r="Z67" s="13">
        <f t="shared" si="73"/>
        <v>59.48783655</v>
      </c>
      <c r="AA67" s="13">
        <f t="shared" si="3"/>
        <v>7.5</v>
      </c>
      <c r="AB67" s="13">
        <f t="shared" si="4"/>
        <v>25.97902284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>
        <v>17.0</v>
      </c>
      <c r="N68" s="28">
        <f>M68/C11*100000</f>
        <v>22.56856862</v>
      </c>
      <c r="O68" s="71">
        <v>16.0</v>
      </c>
      <c r="P68" s="28">
        <f>O68/D11*100000</f>
        <v>20.42927004</v>
      </c>
      <c r="Q68" s="71">
        <v>38.0</v>
      </c>
      <c r="R68" s="28">
        <f>Q68/E11*100000</f>
        <v>47.04367634</v>
      </c>
      <c r="S68" s="71">
        <v>34.0</v>
      </c>
      <c r="T68" s="28">
        <f>S68/F11*100000</f>
        <v>40.93130763</v>
      </c>
      <c r="U68" s="71">
        <v>33.0</v>
      </c>
      <c r="V68" s="28">
        <f>U68/G11*100000</f>
        <v>38.65300146</v>
      </c>
      <c r="W68" s="61">
        <v>15.0</v>
      </c>
      <c r="X68" s="28">
        <f>W68/H11*100000</f>
        <v>17.12074692</v>
      </c>
      <c r="Y68" s="13">
        <f t="shared" ref="Y68:Z68" si="74">((M68+O68+Q68+S68)/2)</f>
        <v>52.5</v>
      </c>
      <c r="Z68" s="13">
        <f t="shared" si="74"/>
        <v>65.48641132</v>
      </c>
      <c r="AA68" s="13">
        <f t="shared" si="3"/>
        <v>33.5</v>
      </c>
      <c r="AB68" s="13">
        <f t="shared" si="4"/>
        <v>27.88687419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>
        <v>19.0</v>
      </c>
      <c r="N69" s="28">
        <f>M69/C11*100000</f>
        <v>25.22369434</v>
      </c>
      <c r="O69" s="71">
        <v>32.0</v>
      </c>
      <c r="P69" s="28">
        <f>O69/D11*100000</f>
        <v>40.85854007</v>
      </c>
      <c r="Q69" s="71">
        <v>61.0</v>
      </c>
      <c r="R69" s="28">
        <f>Q69/E11*100000</f>
        <v>75.51748044</v>
      </c>
      <c r="S69" s="71">
        <v>43.0</v>
      </c>
      <c r="T69" s="28">
        <f>S69/F11*100000</f>
        <v>51.76606554</v>
      </c>
      <c r="U69" s="71">
        <v>27.0</v>
      </c>
      <c r="V69" s="28">
        <f>U69/G11*100000</f>
        <v>31.62518302</v>
      </c>
      <c r="W69" s="61">
        <v>10.0</v>
      </c>
      <c r="X69" s="28">
        <f>W69/H11*100000</f>
        <v>11.41383128</v>
      </c>
      <c r="Y69" s="13">
        <f t="shared" ref="Y69:Z69" si="75">((M69+O69+Q69+S69)/2)</f>
        <v>77.5</v>
      </c>
      <c r="Z69" s="13">
        <f t="shared" si="75"/>
        <v>96.6828902</v>
      </c>
      <c r="AA69" s="13">
        <f t="shared" si="3"/>
        <v>35</v>
      </c>
      <c r="AB69" s="13">
        <f t="shared" si="4"/>
        <v>21.51950715</v>
      </c>
      <c r="AC69" s="37" t="s">
        <v>48</v>
      </c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>
        <v>22.0</v>
      </c>
      <c r="N70" s="39">
        <f>M70/C7*100000</f>
        <v>15.03225101</v>
      </c>
      <c r="O70" s="77">
        <v>11.0</v>
      </c>
      <c r="P70" s="39">
        <f>O70/D7*100000</f>
        <v>7.227569894</v>
      </c>
      <c r="Q70" s="77">
        <v>20.0</v>
      </c>
      <c r="R70" s="39">
        <f>Q70/E7*100000</f>
        <v>12.74023302</v>
      </c>
      <c r="S70" s="77">
        <v>18.0</v>
      </c>
      <c r="T70" s="39">
        <f>S70/F7*100000</f>
        <v>11.14930781</v>
      </c>
      <c r="U70" s="77">
        <v>25.0</v>
      </c>
      <c r="V70" s="39">
        <f>U70/G7*100000</f>
        <v>15.06822894</v>
      </c>
      <c r="W70" s="76">
        <v>10.0</v>
      </c>
      <c r="X70" s="39">
        <f>W70/H7*100000</f>
        <v>5.873301148</v>
      </c>
      <c r="Y70" s="40">
        <f t="shared" ref="Y70:Z70" si="76">((M70+O70+Q70+S70)/1)</f>
        <v>71</v>
      </c>
      <c r="Z70" s="40">
        <f t="shared" si="76"/>
        <v>46.14936174</v>
      </c>
      <c r="AA70" s="40">
        <f t="shared" si="3"/>
        <v>21.5</v>
      </c>
      <c r="AB70" s="40">
        <f t="shared" si="4"/>
        <v>10.47076504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57.75" customHeight="1">
      <c r="B1" s="1"/>
      <c r="C1" s="2" t="s">
        <v>132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140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/>
      <c r="N3" s="13">
        <f>M3/C7*1000</f>
        <v>0</v>
      </c>
      <c r="O3" s="12"/>
      <c r="P3" s="13">
        <f>O3/D7*1000</f>
        <v>0</v>
      </c>
      <c r="Q3" s="47"/>
      <c r="R3" s="13">
        <f>Q3/E7*1000</f>
        <v>0</v>
      </c>
      <c r="S3" s="12"/>
      <c r="T3" s="13">
        <f>S3/F7*1000</f>
        <v>0</v>
      </c>
      <c r="U3" s="12"/>
      <c r="V3" s="13">
        <f>U3/G7*1000</f>
        <v>0</v>
      </c>
      <c r="W3" s="12"/>
      <c r="X3" s="13">
        <f>W3/H7*1000</f>
        <v>0</v>
      </c>
      <c r="Y3" s="13">
        <f t="shared" ref="Y3:Z3" si="1">((M3+O3+Q3+S3)/4)</f>
        <v>0</v>
      </c>
      <c r="Z3" s="13">
        <f t="shared" si="1"/>
        <v>0</v>
      </c>
      <c r="AA3" s="13">
        <f t="shared" ref="AA3:AA70" si="3">((S3+U3)/2)</f>
        <v>0</v>
      </c>
      <c r="AB3" s="13">
        <f t="shared" ref="AB3:AB70" si="4">(V3+X3)/2</f>
        <v>0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/>
      <c r="N4" s="13">
        <f>M4/C7*1000</f>
        <v>0</v>
      </c>
      <c r="O4" s="12"/>
      <c r="P4" s="13">
        <f>O4/D7*1000</f>
        <v>0</v>
      </c>
      <c r="Q4" s="47"/>
      <c r="R4" s="13">
        <f>Q4/E7*1000</f>
        <v>0</v>
      </c>
      <c r="S4" s="12"/>
      <c r="T4" s="13">
        <f>S4/F7*1000</f>
        <v>0</v>
      </c>
      <c r="U4" s="12"/>
      <c r="V4" s="13">
        <f>U4/G7*1000</f>
        <v>0</v>
      </c>
      <c r="W4" s="12"/>
      <c r="X4" s="13">
        <f>W4/H7*1000</f>
        <v>0</v>
      </c>
      <c r="Y4" s="13">
        <f t="shared" ref="Y4:Z4" si="2">((M4+O4+Q4+S4)/4)</f>
        <v>0</v>
      </c>
      <c r="Z4" s="13">
        <f t="shared" si="2"/>
        <v>0</v>
      </c>
      <c r="AA4" s="13">
        <f t="shared" si="3"/>
        <v>0</v>
      </c>
      <c r="AB4" s="13">
        <f t="shared" si="4"/>
        <v>0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/>
      <c r="N5" s="13">
        <f>M5/C12*100000</f>
        <v>0</v>
      </c>
      <c r="O5" s="12"/>
      <c r="P5" s="13">
        <f>O5/D12*100000</f>
        <v>0</v>
      </c>
      <c r="Q5" s="47"/>
      <c r="R5" s="13">
        <f>Q5/E12*100000</f>
        <v>0</v>
      </c>
      <c r="S5" s="12"/>
      <c r="T5" s="13">
        <f>S5/F12*100000</f>
        <v>0</v>
      </c>
      <c r="U5" s="12"/>
      <c r="V5" s="13">
        <f>U5/G12*100000</f>
        <v>0</v>
      </c>
      <c r="W5" s="12"/>
      <c r="X5" s="13" t="str">
        <f>W5/H12*100000</f>
        <v>#DIV/0!</v>
      </c>
      <c r="Y5" s="13">
        <f t="shared" ref="Y5:Z5" si="5">((M5+O5+Q5+S5)/4)</f>
        <v>0</v>
      </c>
      <c r="Z5" s="13">
        <f t="shared" si="5"/>
        <v>0</v>
      </c>
      <c r="AA5" s="13">
        <f t="shared" si="3"/>
        <v>0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 t="str">
        <f>M6/M4*1000</f>
        <v>#DIV/0!</v>
      </c>
      <c r="O6" s="12"/>
      <c r="P6" s="13" t="str">
        <f>O6/O4*1000</f>
        <v>#DIV/0!</v>
      </c>
      <c r="Q6" s="47"/>
      <c r="R6" s="13" t="str">
        <f>Q6/Q4*1000</f>
        <v>#DIV/0!</v>
      </c>
      <c r="S6" s="12"/>
      <c r="T6" s="13" t="str">
        <f>S6/S4*1000</f>
        <v>#DIV/0!</v>
      </c>
      <c r="U6" s="12"/>
      <c r="V6" s="13" t="str">
        <f>U6/U4*1000</f>
        <v>#DIV/0!</v>
      </c>
      <c r="W6" s="12"/>
      <c r="X6" s="13" t="str">
        <f>W6/W4*1000</f>
        <v>#DIV/0!</v>
      </c>
      <c r="Y6" s="13">
        <f t="shared" ref="Y6:Z6" si="6">((M6+O6+Q6+S6)/4)</f>
        <v>0</v>
      </c>
      <c r="Z6" s="13" t="str">
        <f t="shared" si="6"/>
        <v>#DIV/0!</v>
      </c>
      <c r="AA6" s="13">
        <f t="shared" si="3"/>
        <v>0</v>
      </c>
      <c r="AB6" s="13" t="str">
        <f t="shared" si="4"/>
        <v>#DIV/0!</v>
      </c>
      <c r="AC6" s="14" t="s">
        <v>22</v>
      </c>
    </row>
    <row r="7" ht="14.25" customHeight="1">
      <c r="A7" s="5"/>
      <c r="B7" s="55" t="s">
        <v>35</v>
      </c>
      <c r="C7" s="104">
        <v>23427.0</v>
      </c>
      <c r="D7" s="105">
        <v>24099.0</v>
      </c>
      <c r="E7" s="106">
        <v>24854.0</v>
      </c>
      <c r="F7" s="57">
        <v>25692.0</v>
      </c>
      <c r="G7" s="57">
        <v>26505.0</v>
      </c>
      <c r="H7" s="58">
        <v>27305.0</v>
      </c>
      <c r="I7" s="5"/>
      <c r="J7" s="5"/>
      <c r="K7" s="5"/>
      <c r="L7" s="11" t="s">
        <v>36</v>
      </c>
      <c r="M7" s="12"/>
      <c r="N7" s="59"/>
      <c r="O7" s="12"/>
      <c r="P7" s="59"/>
      <c r="Q7" s="47"/>
      <c r="R7" s="59"/>
      <c r="S7" s="12"/>
      <c r="T7" s="59"/>
      <c r="U7" s="12"/>
      <c r="V7" s="59"/>
      <c r="W7" s="12"/>
      <c r="X7" s="59"/>
      <c r="Y7" s="13">
        <f t="shared" ref="Y7:Z7" si="7">((M7+O7+Q7+S7)/4)</f>
        <v>0</v>
      </c>
      <c r="Z7" s="13">
        <f t="shared" si="7"/>
        <v>0</v>
      </c>
      <c r="AA7" s="13">
        <f t="shared" si="3"/>
        <v>0</v>
      </c>
      <c r="AB7" s="13">
        <f t="shared" si="4"/>
        <v>0</v>
      </c>
      <c r="AC7" s="14" t="s">
        <v>37</v>
      </c>
    </row>
    <row r="8" ht="24.0" customHeight="1">
      <c r="A8" s="5"/>
      <c r="B8" s="55" t="s">
        <v>38</v>
      </c>
      <c r="C8" s="104">
        <v>7130.0</v>
      </c>
      <c r="D8" s="57">
        <v>7917.0</v>
      </c>
      <c r="E8" s="57">
        <v>8642.0</v>
      </c>
      <c r="F8" s="57">
        <v>9364.0</v>
      </c>
      <c r="G8" s="57">
        <v>9922.0</v>
      </c>
      <c r="H8" s="58">
        <v>10404.0</v>
      </c>
      <c r="I8" s="5"/>
      <c r="J8" s="5"/>
      <c r="K8" s="5"/>
      <c r="L8" s="11" t="s">
        <v>39</v>
      </c>
      <c r="M8" s="12"/>
      <c r="N8" s="13">
        <f>M8/C15*1000</f>
        <v>0</v>
      </c>
      <c r="O8" s="12"/>
      <c r="P8" s="13">
        <f>O8/D15*1000</f>
        <v>0</v>
      </c>
      <c r="Q8" s="47"/>
      <c r="R8" s="13">
        <f>Q8/E15*1000</f>
        <v>0</v>
      </c>
      <c r="S8" s="12"/>
      <c r="T8" s="13">
        <f>S8/F15*1000</f>
        <v>0</v>
      </c>
      <c r="U8" s="12"/>
      <c r="V8" s="13">
        <f>U8/G15*1000</f>
        <v>0</v>
      </c>
      <c r="W8" s="12"/>
      <c r="X8" s="13">
        <f>W8/H15*1000</f>
        <v>0</v>
      </c>
      <c r="Y8" s="13">
        <f t="shared" ref="Y8:Z8" si="8">((M8+O8+Q8+S8)/4)</f>
        <v>0</v>
      </c>
      <c r="Z8" s="13">
        <f t="shared" si="8"/>
        <v>0</v>
      </c>
      <c r="AA8" s="13">
        <f t="shared" si="3"/>
        <v>0</v>
      </c>
      <c r="AB8" s="13">
        <f t="shared" si="4"/>
        <v>0</v>
      </c>
      <c r="AC8" s="14" t="s">
        <v>37</v>
      </c>
    </row>
    <row r="9" ht="14.25" customHeight="1">
      <c r="A9" s="5"/>
      <c r="B9" s="55" t="s">
        <v>40</v>
      </c>
      <c r="C9" s="57">
        <v>16297.0</v>
      </c>
      <c r="D9" s="57">
        <v>16182.0</v>
      </c>
      <c r="E9" s="57">
        <v>16212.0</v>
      </c>
      <c r="F9" s="57">
        <v>16328.0</v>
      </c>
      <c r="G9" s="57">
        <v>16583.0</v>
      </c>
      <c r="H9" s="58">
        <v>16901.0</v>
      </c>
      <c r="I9" s="5"/>
      <c r="J9" s="5"/>
      <c r="K9" s="5"/>
      <c r="L9" s="11" t="s">
        <v>41</v>
      </c>
      <c r="M9" s="12"/>
      <c r="N9" s="13">
        <f>M9/C7*100000</f>
        <v>0</v>
      </c>
      <c r="O9" s="12"/>
      <c r="P9" s="13">
        <f>O9/D7*100000</f>
        <v>0</v>
      </c>
      <c r="Q9" s="47"/>
      <c r="R9" s="13">
        <f>Q9/E7*100000</f>
        <v>0</v>
      </c>
      <c r="S9" s="12"/>
      <c r="T9" s="13">
        <f>S9/F7*100000</f>
        <v>0</v>
      </c>
      <c r="U9" s="12"/>
      <c r="V9" s="13">
        <f>U9/G7*100000</f>
        <v>0</v>
      </c>
      <c r="W9" s="12"/>
      <c r="X9" s="13">
        <f>W9/H7*100000</f>
        <v>0</v>
      </c>
      <c r="Y9" s="13">
        <f t="shared" ref="Y9:Z9" si="9">((M9+O9+Q9+S9)/4)</f>
        <v>0</v>
      </c>
      <c r="Z9" s="13">
        <f t="shared" si="9"/>
        <v>0</v>
      </c>
      <c r="AA9" s="13">
        <f t="shared" si="3"/>
        <v>0</v>
      </c>
      <c r="AB9" s="13">
        <f t="shared" si="4"/>
        <v>0</v>
      </c>
      <c r="AC9" s="14" t="s">
        <v>22</v>
      </c>
    </row>
    <row r="10" ht="14.25" customHeight="1">
      <c r="A10" s="5"/>
      <c r="B10" s="55" t="s">
        <v>42</v>
      </c>
      <c r="C10" s="57">
        <v>11415.0</v>
      </c>
      <c r="D10" s="57">
        <v>11738.0</v>
      </c>
      <c r="E10" s="57">
        <v>12088.0</v>
      </c>
      <c r="F10" s="107">
        <v>12492.0</v>
      </c>
      <c r="G10" s="57">
        <v>12873.0</v>
      </c>
      <c r="H10" s="58">
        <v>13260.0</v>
      </c>
      <c r="I10" s="5"/>
      <c r="J10" s="5"/>
      <c r="K10" s="5"/>
      <c r="L10" s="11" t="s">
        <v>43</v>
      </c>
      <c r="M10" s="12"/>
      <c r="N10" s="13">
        <f>M10/C15*100000</f>
        <v>0</v>
      </c>
      <c r="O10" s="12"/>
      <c r="P10" s="13">
        <f t="shared" ref="P10:P11" si="11">O10/D15*100000</f>
        <v>0</v>
      </c>
      <c r="Q10" s="47"/>
      <c r="R10" s="13">
        <f>Q10/E15*100000</f>
        <v>0</v>
      </c>
      <c r="S10" s="12"/>
      <c r="T10" s="13">
        <f>S10/F15*100000</f>
        <v>0</v>
      </c>
      <c r="U10" s="12"/>
      <c r="V10" s="13">
        <f>U10/G15*100000</f>
        <v>0</v>
      </c>
      <c r="W10" s="12"/>
      <c r="X10" s="13">
        <f>W10/H15*100000</f>
        <v>0</v>
      </c>
      <c r="Y10" s="13">
        <f t="shared" ref="Y10:Z10" si="10">((M10+O10+Q10+S10)/4)</f>
        <v>0</v>
      </c>
      <c r="Z10" s="13">
        <f t="shared" si="10"/>
        <v>0</v>
      </c>
      <c r="AA10" s="13">
        <f t="shared" si="3"/>
        <v>0</v>
      </c>
      <c r="AB10" s="13">
        <f t="shared" si="4"/>
        <v>0</v>
      </c>
      <c r="AC10" s="14" t="s">
        <v>22</v>
      </c>
    </row>
    <row r="11" ht="14.25" customHeight="1">
      <c r="A11" s="5"/>
      <c r="B11" s="55" t="s">
        <v>44</v>
      </c>
      <c r="C11" s="57">
        <v>12012.0</v>
      </c>
      <c r="D11" s="57">
        <v>12361.0</v>
      </c>
      <c r="E11" s="57">
        <v>12766.0</v>
      </c>
      <c r="F11" s="107">
        <v>13200.0</v>
      </c>
      <c r="G11" s="57">
        <v>13632.0</v>
      </c>
      <c r="H11" s="58">
        <v>14045.0</v>
      </c>
      <c r="I11" s="5"/>
      <c r="J11" s="5"/>
      <c r="K11" s="5"/>
      <c r="L11" s="11" t="s">
        <v>45</v>
      </c>
      <c r="M11" s="12"/>
      <c r="N11" s="13">
        <f>M11/C15*100000</f>
        <v>0</v>
      </c>
      <c r="O11" s="12"/>
      <c r="P11" s="13">
        <f t="shared" si="11"/>
        <v>0</v>
      </c>
      <c r="Q11" s="47"/>
      <c r="R11" s="13">
        <f>Q11/F16*100000</f>
        <v>0</v>
      </c>
      <c r="S11" s="12"/>
      <c r="T11" s="13">
        <f>S11/F15*100000</f>
        <v>0</v>
      </c>
      <c r="U11" s="12"/>
      <c r="V11" s="13">
        <f>U11/G15*100000</f>
        <v>0</v>
      </c>
      <c r="W11" s="12"/>
      <c r="X11" s="13">
        <f>W11/H15*100000</f>
        <v>0</v>
      </c>
      <c r="Y11" s="13">
        <f t="shared" ref="Y11:Z11" si="12">((M11+O11+Q11+S11)/4)</f>
        <v>0</v>
      </c>
      <c r="Z11" s="13">
        <f t="shared" si="12"/>
        <v>0</v>
      </c>
      <c r="AA11" s="13">
        <f t="shared" si="3"/>
        <v>0</v>
      </c>
      <c r="AB11" s="13">
        <f t="shared" si="4"/>
        <v>0</v>
      </c>
      <c r="AC11" s="14" t="s">
        <v>22</v>
      </c>
    </row>
    <row r="12" ht="14.25" customHeight="1">
      <c r="A12" s="5"/>
      <c r="B12" s="55" t="s">
        <v>46</v>
      </c>
      <c r="C12" s="53">
        <v>32.0</v>
      </c>
      <c r="D12" s="57">
        <v>28.0</v>
      </c>
      <c r="E12" s="53">
        <v>28.0</v>
      </c>
      <c r="F12" s="53">
        <v>12.0</v>
      </c>
      <c r="G12" s="57">
        <v>241.0</v>
      </c>
      <c r="H12" s="58"/>
      <c r="I12" s="5"/>
      <c r="J12" s="5"/>
      <c r="K12" s="5"/>
      <c r="L12" s="11" t="s">
        <v>47</v>
      </c>
      <c r="M12" s="12"/>
      <c r="N12" s="13">
        <f>M12/C7*100000</f>
        <v>0</v>
      </c>
      <c r="O12" s="12"/>
      <c r="P12" s="13">
        <f>O12/D7*100000</f>
        <v>0</v>
      </c>
      <c r="Q12" s="47"/>
      <c r="R12" s="13">
        <f>Q12/E7*100000</f>
        <v>0</v>
      </c>
      <c r="S12" s="12"/>
      <c r="T12" s="13">
        <f>S12/F7*100000</f>
        <v>0</v>
      </c>
      <c r="U12" s="12"/>
      <c r="V12" s="13">
        <f>U12/G7*100000</f>
        <v>0</v>
      </c>
      <c r="W12" s="12"/>
      <c r="X12" s="13">
        <f>W12/H7*100000</f>
        <v>0</v>
      </c>
      <c r="Y12" s="13">
        <f t="shared" ref="Y12:Z12" si="13">((M12+O12+Q12+S12)/4)</f>
        <v>0</v>
      </c>
      <c r="Z12" s="13">
        <f t="shared" si="13"/>
        <v>0</v>
      </c>
      <c r="AA12" s="13">
        <f t="shared" si="3"/>
        <v>0</v>
      </c>
      <c r="AB12" s="13">
        <f t="shared" si="4"/>
        <v>0</v>
      </c>
      <c r="AC12" s="14" t="s">
        <v>48</v>
      </c>
    </row>
    <row r="13" ht="14.25" customHeight="1">
      <c r="A13" s="5"/>
      <c r="B13" s="55" t="s">
        <v>49</v>
      </c>
      <c r="C13" s="53">
        <v>41.0</v>
      </c>
      <c r="D13" s="57">
        <v>66.0</v>
      </c>
      <c r="E13" s="53">
        <v>56.0</v>
      </c>
      <c r="F13" s="53">
        <v>50.0</v>
      </c>
      <c r="G13" s="57">
        <v>110.0</v>
      </c>
      <c r="H13" s="58"/>
      <c r="I13" s="5"/>
      <c r="J13" s="5"/>
      <c r="K13" s="5"/>
      <c r="L13" s="11" t="s">
        <v>50</v>
      </c>
      <c r="M13" s="12"/>
      <c r="N13" s="13">
        <f>M13/C11*100000</f>
        <v>0</v>
      </c>
      <c r="O13" s="12"/>
      <c r="P13" s="13">
        <f>O13/D11*100000</f>
        <v>0</v>
      </c>
      <c r="Q13" s="47"/>
      <c r="R13" s="13">
        <f>Q13/E11*100000</f>
        <v>0</v>
      </c>
      <c r="S13" s="12"/>
      <c r="T13" s="13">
        <f>S13/F11*100000</f>
        <v>0</v>
      </c>
      <c r="U13" s="12"/>
      <c r="V13" s="13">
        <f>U13/G11*100000</f>
        <v>0</v>
      </c>
      <c r="W13" s="12"/>
      <c r="X13" s="13">
        <f>W13/H11*100000</f>
        <v>0</v>
      </c>
      <c r="Y13" s="13">
        <f t="shared" ref="Y13:Z13" si="14">((M13+O13+Q13+S13)/4)</f>
        <v>0</v>
      </c>
      <c r="Z13" s="13">
        <f t="shared" si="14"/>
        <v>0</v>
      </c>
      <c r="AA13" s="13">
        <f t="shared" si="3"/>
        <v>0</v>
      </c>
      <c r="AB13" s="13">
        <f t="shared" si="4"/>
        <v>0</v>
      </c>
      <c r="AC13" s="14" t="s">
        <v>48</v>
      </c>
    </row>
    <row r="14" ht="14.25" customHeight="1">
      <c r="A14" s="5"/>
      <c r="B14" s="55" t="s">
        <v>51</v>
      </c>
      <c r="C14" s="53">
        <v>545.0</v>
      </c>
      <c r="D14" s="53">
        <v>720.0</v>
      </c>
      <c r="E14" s="53">
        <v>709.0</v>
      </c>
      <c r="F14" s="53">
        <v>712.0</v>
      </c>
      <c r="G14" s="53">
        <v>719.0</v>
      </c>
      <c r="H14" s="58">
        <v>729.0</v>
      </c>
      <c r="I14" s="5"/>
      <c r="J14" s="5"/>
      <c r="K14" s="5"/>
      <c r="L14" s="11" t="s">
        <v>52</v>
      </c>
      <c r="M14" s="12"/>
      <c r="N14" s="13" t="str">
        <f>M14/M4*1000</f>
        <v>#DIV/0!</v>
      </c>
      <c r="O14" s="12"/>
      <c r="P14" s="13" t="str">
        <f>O14/O4*1000</f>
        <v>#DIV/0!</v>
      </c>
      <c r="Q14" s="47"/>
      <c r="R14" s="13" t="str">
        <f>Q14/Q4*1000</f>
        <v>#DIV/0!</v>
      </c>
      <c r="S14" s="12"/>
      <c r="T14" s="13" t="str">
        <f>S14/S4*1000</f>
        <v>#DIV/0!</v>
      </c>
      <c r="U14" s="12"/>
      <c r="V14" s="13" t="str">
        <f>U14/U4*1000</f>
        <v>#DIV/0!</v>
      </c>
      <c r="W14" s="12"/>
      <c r="X14" s="13" t="str">
        <f>W14/W4*1000</f>
        <v>#DIV/0!</v>
      </c>
      <c r="Y14" s="13">
        <f t="shared" ref="Y14:Z14" si="15">((M14+O14+Q14+S14)/4)</f>
        <v>0</v>
      </c>
      <c r="Z14" s="13" t="str">
        <f t="shared" si="15"/>
        <v>#DIV/0!</v>
      </c>
      <c r="AA14" s="13">
        <f t="shared" si="3"/>
        <v>0</v>
      </c>
      <c r="AB14" s="13" t="str">
        <f t="shared" si="4"/>
        <v>#DIV/0!</v>
      </c>
      <c r="AC14" s="14" t="s">
        <v>22</v>
      </c>
    </row>
    <row r="15" ht="14.25" customHeight="1">
      <c r="A15" s="5"/>
      <c r="B15" s="55" t="s">
        <v>53</v>
      </c>
      <c r="C15" s="57">
        <v>2167.0</v>
      </c>
      <c r="D15" s="57">
        <v>2181.0</v>
      </c>
      <c r="E15" s="57">
        <v>2196.0</v>
      </c>
      <c r="F15" s="57">
        <v>2216.0</v>
      </c>
      <c r="G15" s="57">
        <v>2223.0</v>
      </c>
      <c r="H15" s="58">
        <v>2233.0</v>
      </c>
      <c r="I15" s="5"/>
      <c r="J15" s="5"/>
      <c r="K15" s="5"/>
      <c r="L15" s="11" t="s">
        <v>54</v>
      </c>
      <c r="M15" s="12"/>
      <c r="N15" s="13">
        <f>M15/C15*100000</f>
        <v>0</v>
      </c>
      <c r="O15" s="12"/>
      <c r="P15" s="13">
        <f>O15/D15*100000</f>
        <v>0</v>
      </c>
      <c r="Q15" s="47"/>
      <c r="R15" s="13">
        <f>Q15/E15*100000</f>
        <v>0</v>
      </c>
      <c r="S15" s="12"/>
      <c r="T15" s="13">
        <f>S15/F15*100000</f>
        <v>0</v>
      </c>
      <c r="U15" s="12"/>
      <c r="V15" s="13">
        <f>U15/G15*100000</f>
        <v>0</v>
      </c>
      <c r="W15" s="12"/>
      <c r="X15" s="13">
        <f>W15/H15*100000</f>
        <v>0</v>
      </c>
      <c r="Y15" s="13">
        <f t="shared" ref="Y15:Z15" si="16">((M15+O15+Q15+S15)/4)</f>
        <v>0</v>
      </c>
      <c r="Z15" s="13">
        <f t="shared" si="16"/>
        <v>0</v>
      </c>
      <c r="AA15" s="13">
        <f t="shared" si="3"/>
        <v>0</v>
      </c>
      <c r="AB15" s="13">
        <f t="shared" si="4"/>
        <v>0</v>
      </c>
      <c r="AC15" s="14" t="s">
        <v>22</v>
      </c>
    </row>
    <row r="16" ht="14.25" customHeight="1">
      <c r="A16" s="5"/>
      <c r="B16" s="55" t="s">
        <v>55</v>
      </c>
      <c r="C16" s="57">
        <v>18254.0</v>
      </c>
      <c r="D16" s="57">
        <v>18878.0</v>
      </c>
      <c r="E16" s="57">
        <v>19554.0</v>
      </c>
      <c r="F16" s="57">
        <v>20304.0</v>
      </c>
      <c r="G16" s="57">
        <v>21021.0</v>
      </c>
      <c r="H16" s="58">
        <v>21731.0</v>
      </c>
      <c r="I16" s="5"/>
      <c r="J16" s="5"/>
      <c r="K16" s="5"/>
      <c r="L16" s="11" t="s">
        <v>56</v>
      </c>
      <c r="M16" s="12"/>
      <c r="N16" s="13" t="str">
        <f>M16/M4*100</f>
        <v>#DIV/0!</v>
      </c>
      <c r="O16" s="12"/>
      <c r="P16" s="13" t="str">
        <f>O16/O4*100</f>
        <v>#DIV/0!</v>
      </c>
      <c r="Q16" s="47"/>
      <c r="R16" s="13" t="str">
        <f>Q16/Q4*100</f>
        <v>#DIV/0!</v>
      </c>
      <c r="S16" s="12"/>
      <c r="T16" s="13" t="str">
        <f>S16/S4*100</f>
        <v>#DIV/0!</v>
      </c>
      <c r="U16" s="12"/>
      <c r="V16" s="13" t="str">
        <f>U16/U4*100</f>
        <v>#DIV/0!</v>
      </c>
      <c r="W16" s="12"/>
      <c r="X16" s="13" t="str">
        <f>W16/W4*100</f>
        <v>#DIV/0!</v>
      </c>
      <c r="Y16" s="13">
        <f t="shared" ref="Y16:Z16" si="17">((M16+O16+Q16+S16)/4)</f>
        <v>0</v>
      </c>
      <c r="Z16" s="13" t="str">
        <f t="shared" si="17"/>
        <v>#DIV/0!</v>
      </c>
      <c r="AA16" s="13">
        <f t="shared" si="3"/>
        <v>0</v>
      </c>
      <c r="AB16" s="13" t="str">
        <f t="shared" si="4"/>
        <v>#DIV/0!</v>
      </c>
      <c r="AC16" s="14" t="s">
        <v>24</v>
      </c>
    </row>
    <row r="17" ht="14.25" customHeight="1">
      <c r="A17" s="5"/>
      <c r="B17" s="55" t="s">
        <v>57</v>
      </c>
      <c r="C17" s="57">
        <v>6978.0</v>
      </c>
      <c r="D17" s="57">
        <v>7027.0</v>
      </c>
      <c r="E17" s="57">
        <v>7113.0</v>
      </c>
      <c r="F17" s="57">
        <v>7213.0</v>
      </c>
      <c r="G17" s="57">
        <v>7329.0</v>
      </c>
      <c r="H17" s="58">
        <v>7440.0</v>
      </c>
      <c r="I17" s="5"/>
      <c r="J17" s="5"/>
      <c r="K17" s="5"/>
      <c r="L17" s="11" t="s">
        <v>58</v>
      </c>
      <c r="M17" s="12"/>
      <c r="N17" s="13" t="str">
        <f>M17/M4*100</f>
        <v>#DIV/0!</v>
      </c>
      <c r="O17" s="12"/>
      <c r="P17" s="13" t="str">
        <f>O17/O4*100</f>
        <v>#DIV/0!</v>
      </c>
      <c r="Q17" s="47"/>
      <c r="R17" s="13" t="str">
        <f>Q17/Q4*100</f>
        <v>#DIV/0!</v>
      </c>
      <c r="S17" s="12"/>
      <c r="T17" s="13" t="str">
        <f>S17/S4*100</f>
        <v>#DIV/0!</v>
      </c>
      <c r="U17" s="12"/>
      <c r="V17" s="13" t="str">
        <f>U17/U4*100</f>
        <v>#DIV/0!</v>
      </c>
      <c r="W17" s="12"/>
      <c r="X17" s="13" t="str">
        <f>W17/W4*100</f>
        <v>#DIV/0!</v>
      </c>
      <c r="Y17" s="13">
        <f t="shared" ref="Y17:Z17" si="18">((M17+O17+Q17+S17)/4)</f>
        <v>0</v>
      </c>
      <c r="Z17" s="13" t="str">
        <f t="shared" si="18"/>
        <v>#DIV/0!</v>
      </c>
      <c r="AA17" s="13">
        <f t="shared" si="3"/>
        <v>0</v>
      </c>
      <c r="AB17" s="13" t="str">
        <f t="shared" si="4"/>
        <v>#DIV/0!</v>
      </c>
      <c r="AC17" s="14" t="s">
        <v>24</v>
      </c>
    </row>
    <row r="18" ht="14.25" customHeight="1">
      <c r="A18" s="5"/>
      <c r="B18" s="55" t="s">
        <v>59</v>
      </c>
      <c r="C18" s="57">
        <v>21644.0</v>
      </c>
      <c r="D18" s="57">
        <v>22133.0</v>
      </c>
      <c r="E18" s="57">
        <v>22787.0</v>
      </c>
      <c r="F18" s="57">
        <v>23487.0</v>
      </c>
      <c r="G18" s="57">
        <v>24175.0</v>
      </c>
      <c r="H18" s="58">
        <v>24827.0</v>
      </c>
      <c r="I18" s="5"/>
      <c r="J18" s="5"/>
      <c r="K18" s="5"/>
      <c r="L18" s="11" t="s">
        <v>60</v>
      </c>
      <c r="M18" s="61"/>
      <c r="N18" s="28">
        <f>M18/C15*1000</f>
        <v>0</v>
      </c>
      <c r="O18" s="12"/>
      <c r="P18" s="28">
        <f>O18/D15*1000</f>
        <v>0</v>
      </c>
      <c r="Q18" s="47"/>
      <c r="R18" s="28">
        <f>Q18/E15*1000</f>
        <v>0</v>
      </c>
      <c r="S18" s="61"/>
      <c r="T18" s="28">
        <f>S18/F15*1000</f>
        <v>0</v>
      </c>
      <c r="U18" s="61"/>
      <c r="V18" s="28">
        <f>U18/G15*1000</f>
        <v>0</v>
      </c>
      <c r="W18" s="61"/>
      <c r="X18" s="28">
        <f>W18/H15*1000</f>
        <v>0</v>
      </c>
      <c r="Y18" s="13">
        <f t="shared" ref="Y18:Z18" si="19">((M18+O18+Q18+S18)/4)</f>
        <v>0</v>
      </c>
      <c r="Z18" s="13">
        <f t="shared" si="19"/>
        <v>0</v>
      </c>
      <c r="AA18" s="13">
        <f t="shared" si="3"/>
        <v>0</v>
      </c>
      <c r="AB18" s="13">
        <f t="shared" si="4"/>
        <v>0</v>
      </c>
      <c r="AC18" s="14" t="s">
        <v>48</v>
      </c>
    </row>
    <row r="19" ht="14.25" customHeight="1">
      <c r="A19" s="5"/>
      <c r="B19" s="55" t="s">
        <v>61</v>
      </c>
      <c r="C19" s="57">
        <v>14593.0</v>
      </c>
      <c r="D19" s="57">
        <v>15106.0</v>
      </c>
      <c r="E19" s="57">
        <v>15674.0</v>
      </c>
      <c r="F19" s="57">
        <v>16274.0</v>
      </c>
      <c r="G19" s="57">
        <v>16846.0</v>
      </c>
      <c r="H19" s="58">
        <v>17387.0</v>
      </c>
      <c r="I19" s="5"/>
      <c r="J19" s="5"/>
      <c r="K19" s="5"/>
      <c r="L19" s="11" t="s">
        <v>62</v>
      </c>
      <c r="M19" s="12"/>
      <c r="N19" s="13" t="str">
        <f>M19/M4*100</f>
        <v>#DIV/0!</v>
      </c>
      <c r="O19" s="12"/>
      <c r="P19" s="13" t="str">
        <f>O19/O4*100</f>
        <v>#DIV/0!</v>
      </c>
      <c r="Q19" s="47"/>
      <c r="R19" s="13" t="str">
        <f>Q19/Q4*100</f>
        <v>#DIV/0!</v>
      </c>
      <c r="S19" s="12"/>
      <c r="T19" s="13" t="str">
        <f>S19/S4*100</f>
        <v>#DIV/0!</v>
      </c>
      <c r="U19" s="12"/>
      <c r="V19" s="13" t="str">
        <f>U19/U4*100</f>
        <v>#DIV/0!</v>
      </c>
      <c r="W19" s="12"/>
      <c r="X19" s="13" t="str">
        <f>W19/W4*100</f>
        <v>#DIV/0!</v>
      </c>
      <c r="Y19" s="13">
        <f t="shared" ref="Y19:Z19" si="20">((M19+O19+Q19+S19)/4)</f>
        <v>0</v>
      </c>
      <c r="Z19" s="13" t="str">
        <f t="shared" si="20"/>
        <v>#DIV/0!</v>
      </c>
      <c r="AA19" s="13">
        <f t="shared" si="3"/>
        <v>0</v>
      </c>
      <c r="AB19" s="13" t="str">
        <f t="shared" si="4"/>
        <v>#DIV/0!</v>
      </c>
      <c r="AC19" s="14" t="s">
        <v>63</v>
      </c>
    </row>
    <row r="20" ht="14.25" customHeight="1">
      <c r="A20" s="5"/>
      <c r="B20" s="55" t="s">
        <v>64</v>
      </c>
      <c r="C20" s="53">
        <v>820.0</v>
      </c>
      <c r="D20" s="57">
        <v>831.0</v>
      </c>
      <c r="E20" s="53">
        <v>846.0</v>
      </c>
      <c r="F20" s="53">
        <v>861.0</v>
      </c>
      <c r="G20" s="53">
        <v>884.0</v>
      </c>
      <c r="H20" s="58">
        <v>908.0</v>
      </c>
      <c r="I20" s="5"/>
      <c r="J20" s="5"/>
      <c r="K20" s="5"/>
      <c r="L20" s="11" t="s">
        <v>65</v>
      </c>
      <c r="M20" s="12"/>
      <c r="N20" s="13">
        <f t="shared" ref="N20:N21" si="22">M20/C20*1000</f>
        <v>0</v>
      </c>
      <c r="O20" s="12"/>
      <c r="P20" s="13">
        <f t="shared" ref="P20:P21" si="23">O20/D20*1000</f>
        <v>0</v>
      </c>
      <c r="Q20" s="47"/>
      <c r="R20" s="13">
        <f t="shared" ref="R20:R21" si="24">Q20/E20*1000</f>
        <v>0</v>
      </c>
      <c r="S20" s="12"/>
      <c r="T20" s="13">
        <f t="shared" ref="T20:T21" si="25">S20/F20*1000</f>
        <v>0</v>
      </c>
      <c r="U20" s="12"/>
      <c r="V20" s="13">
        <f t="shared" ref="V20:V21" si="26">U20/G20*1000</f>
        <v>0</v>
      </c>
      <c r="W20" s="12"/>
      <c r="X20" s="13">
        <f t="shared" ref="X20:X21" si="27">W20/H20*1000</f>
        <v>0</v>
      </c>
      <c r="Y20" s="13">
        <f t="shared" ref="Y20:Z20" si="21">((M20+O20+Q20+S20)/4)</f>
        <v>0</v>
      </c>
      <c r="Z20" s="13">
        <f t="shared" si="21"/>
        <v>0</v>
      </c>
      <c r="AA20" s="13">
        <f t="shared" si="3"/>
        <v>0</v>
      </c>
      <c r="AB20" s="13">
        <f t="shared" si="4"/>
        <v>0</v>
      </c>
      <c r="AC20" s="14" t="s">
        <v>63</v>
      </c>
    </row>
    <row r="21" ht="14.25" customHeight="1">
      <c r="A21" s="5"/>
      <c r="B21" s="55" t="s">
        <v>66</v>
      </c>
      <c r="C21" s="53">
        <v>893.0</v>
      </c>
      <c r="D21" s="57">
        <v>893.0</v>
      </c>
      <c r="E21" s="53">
        <v>897.0</v>
      </c>
      <c r="F21" s="53">
        <v>906.0</v>
      </c>
      <c r="G21" s="53">
        <v>914.0</v>
      </c>
      <c r="H21" s="58">
        <v>925.0</v>
      </c>
      <c r="I21" s="5"/>
      <c r="J21" s="5"/>
      <c r="K21" s="5"/>
      <c r="L21" s="11" t="s">
        <v>67</v>
      </c>
      <c r="M21" s="12"/>
      <c r="N21" s="13">
        <f t="shared" si="22"/>
        <v>0</v>
      </c>
      <c r="O21" s="12"/>
      <c r="P21" s="13">
        <f t="shared" si="23"/>
        <v>0</v>
      </c>
      <c r="Q21" s="47"/>
      <c r="R21" s="13">
        <f t="shared" si="24"/>
        <v>0</v>
      </c>
      <c r="S21" s="12"/>
      <c r="T21" s="13">
        <f t="shared" si="25"/>
        <v>0</v>
      </c>
      <c r="U21" s="12"/>
      <c r="V21" s="13">
        <f t="shared" si="26"/>
        <v>0</v>
      </c>
      <c r="W21" s="12"/>
      <c r="X21" s="13">
        <f t="shared" si="27"/>
        <v>0</v>
      </c>
      <c r="Y21" s="13">
        <f t="shared" ref="Y21:Z21" si="28">((M21+O21+Q21+S21)/4)</f>
        <v>0</v>
      </c>
      <c r="Z21" s="13">
        <f t="shared" si="28"/>
        <v>0</v>
      </c>
      <c r="AA21" s="13">
        <f t="shared" si="3"/>
        <v>0</v>
      </c>
      <c r="AB21" s="13">
        <f t="shared" si="4"/>
        <v>0</v>
      </c>
      <c r="AC21" s="14" t="s">
        <v>63</v>
      </c>
    </row>
    <row r="22" ht="14.25" customHeight="1">
      <c r="A22" s="5"/>
      <c r="B22" s="55" t="s">
        <v>68</v>
      </c>
      <c r="C22" s="53">
        <v>6328.0</v>
      </c>
      <c r="D22" s="53">
        <v>6500.0</v>
      </c>
      <c r="E22" s="53">
        <v>6702.0</v>
      </c>
      <c r="F22" s="53">
        <v>6924.0</v>
      </c>
      <c r="G22" s="53">
        <v>7139.0</v>
      </c>
      <c r="H22" s="58">
        <v>7336.0</v>
      </c>
      <c r="I22" s="5"/>
      <c r="J22" s="5"/>
      <c r="K22" s="5"/>
      <c r="L22" s="11" t="s">
        <v>69</v>
      </c>
      <c r="M22" s="61"/>
      <c r="N22" s="28">
        <f>M22/C7*100000</f>
        <v>0</v>
      </c>
      <c r="O22" s="12"/>
      <c r="P22" s="28">
        <f>O22/D7*100000</f>
        <v>0</v>
      </c>
      <c r="Q22" s="47"/>
      <c r="R22" s="28">
        <f>Q22/E7*100000</f>
        <v>0</v>
      </c>
      <c r="S22" s="61"/>
      <c r="T22" s="28">
        <f>S22/F7*100000</f>
        <v>0</v>
      </c>
      <c r="U22" s="61"/>
      <c r="V22" s="28">
        <f>U22/G7*100000</f>
        <v>0</v>
      </c>
      <c r="W22" s="61"/>
      <c r="X22" s="28">
        <f>W22/H7*100000</f>
        <v>0</v>
      </c>
      <c r="Y22" s="13">
        <f t="shared" ref="Y22:Z22" si="29">((M22+O22+Q22+S22)/4)</f>
        <v>0</v>
      </c>
      <c r="Z22" s="13">
        <f t="shared" si="29"/>
        <v>0</v>
      </c>
      <c r="AA22" s="13">
        <f t="shared" si="3"/>
        <v>0</v>
      </c>
      <c r="AB22" s="13">
        <f t="shared" si="4"/>
        <v>0</v>
      </c>
      <c r="AC22" s="14" t="s">
        <v>22</v>
      </c>
    </row>
    <row r="23" ht="14.25" customHeight="1">
      <c r="A23" s="5"/>
      <c r="B23" s="55" t="s">
        <v>70</v>
      </c>
      <c r="C23" s="57">
        <v>2167.0</v>
      </c>
      <c r="D23" s="57">
        <v>2181.0</v>
      </c>
      <c r="E23" s="57">
        <v>2196.0</v>
      </c>
      <c r="F23" s="57">
        <v>2216.0</v>
      </c>
      <c r="G23" s="57">
        <v>2223.0</v>
      </c>
      <c r="H23" s="58">
        <v>2233.0</v>
      </c>
      <c r="I23" s="5"/>
      <c r="J23" s="5"/>
      <c r="K23" s="5"/>
      <c r="L23" s="11" t="s">
        <v>71</v>
      </c>
      <c r="M23" s="61"/>
      <c r="N23" s="28">
        <f>M23/C7*100000</f>
        <v>0</v>
      </c>
      <c r="O23" s="12"/>
      <c r="P23" s="28">
        <f>O23/D7*100000</f>
        <v>0</v>
      </c>
      <c r="Q23" s="47"/>
      <c r="R23" s="28">
        <f>Q23/E7*100000</f>
        <v>0</v>
      </c>
      <c r="S23" s="61"/>
      <c r="T23" s="28">
        <f>S23/F7*100000</f>
        <v>0</v>
      </c>
      <c r="U23" s="61"/>
      <c r="V23" s="28">
        <f>U23/G7*100000</f>
        <v>0</v>
      </c>
      <c r="W23" s="61"/>
      <c r="X23" s="28">
        <f>W23/H7*100000</f>
        <v>0</v>
      </c>
      <c r="Y23" s="13">
        <f t="shared" ref="Y23:Z23" si="30">((M23+O23+Q23+S23)/4)</f>
        <v>0</v>
      </c>
      <c r="Z23" s="13">
        <f t="shared" si="30"/>
        <v>0</v>
      </c>
      <c r="AA23" s="13">
        <f t="shared" si="3"/>
        <v>0</v>
      </c>
      <c r="AB23" s="13">
        <f t="shared" si="4"/>
        <v>0</v>
      </c>
      <c r="AC23" s="14" t="s">
        <v>22</v>
      </c>
    </row>
    <row r="24" ht="14.25" customHeight="1">
      <c r="A24" s="5"/>
      <c r="B24" s="55" t="s">
        <v>72</v>
      </c>
      <c r="C24" s="57">
        <v>2003.0</v>
      </c>
      <c r="D24" s="57">
        <v>2032.0</v>
      </c>
      <c r="E24" s="57">
        <v>2083.0</v>
      </c>
      <c r="F24" s="57">
        <v>2133.0</v>
      </c>
      <c r="G24" s="57">
        <v>2198.0</v>
      </c>
      <c r="H24" s="58">
        <v>2255.0</v>
      </c>
      <c r="I24" s="5"/>
      <c r="J24" s="5"/>
      <c r="K24" s="5"/>
      <c r="L24" s="11" t="s">
        <v>73</v>
      </c>
      <c r="M24" s="61"/>
      <c r="N24" s="28">
        <f>M24/C7*100000</f>
        <v>0</v>
      </c>
      <c r="O24" s="12"/>
      <c r="P24" s="28">
        <f>O24/D7*100000</f>
        <v>0</v>
      </c>
      <c r="Q24" s="47"/>
      <c r="R24" s="28">
        <f>Q24/E7*100000</f>
        <v>0</v>
      </c>
      <c r="S24" s="61"/>
      <c r="T24" s="28">
        <f>S24/F7*100000</f>
        <v>0</v>
      </c>
      <c r="U24" s="61"/>
      <c r="V24" s="28">
        <f>U24/G7*100000</f>
        <v>0</v>
      </c>
      <c r="W24" s="61"/>
      <c r="X24" s="28">
        <f>W24/H7*100000</f>
        <v>0</v>
      </c>
      <c r="Y24" s="13">
        <f t="shared" ref="Y24:Z24" si="31">((M24+O24+Q24+S24)/4)</f>
        <v>0</v>
      </c>
      <c r="Z24" s="13">
        <f t="shared" si="31"/>
        <v>0</v>
      </c>
      <c r="AA24" s="13">
        <f t="shared" si="3"/>
        <v>0</v>
      </c>
      <c r="AB24" s="13">
        <f t="shared" si="4"/>
        <v>0</v>
      </c>
      <c r="AC24" s="14" t="s">
        <v>22</v>
      </c>
    </row>
    <row r="25" ht="14.25" customHeight="1">
      <c r="A25" s="5"/>
      <c r="B25" s="55" t="s">
        <v>74</v>
      </c>
      <c r="C25" s="53">
        <v>2069.0</v>
      </c>
      <c r="D25" s="53">
        <v>2075.0</v>
      </c>
      <c r="E25" s="53">
        <v>2093.0</v>
      </c>
      <c r="F25" s="53">
        <v>2120.0</v>
      </c>
      <c r="G25" s="53">
        <v>2159.0</v>
      </c>
      <c r="H25" s="58">
        <v>2198.0</v>
      </c>
      <c r="I25" s="5"/>
      <c r="J25" s="5"/>
      <c r="K25" s="5"/>
      <c r="L25" s="11" t="s">
        <v>75</v>
      </c>
      <c r="M25" s="61"/>
      <c r="N25" s="28">
        <f>M25/C7*100000</f>
        <v>0</v>
      </c>
      <c r="O25" s="12"/>
      <c r="P25" s="28">
        <f>O25/D7*100000</f>
        <v>0</v>
      </c>
      <c r="Q25" s="47"/>
      <c r="R25" s="28">
        <f>Q25/E7*100000</f>
        <v>0</v>
      </c>
      <c r="S25" s="61"/>
      <c r="T25" s="28">
        <f>S25/F7*100000</f>
        <v>0</v>
      </c>
      <c r="U25" s="61"/>
      <c r="V25" s="28">
        <f>U25/G7*100000</f>
        <v>0</v>
      </c>
      <c r="W25" s="61"/>
      <c r="X25" s="28">
        <f>W25/H7*100000</f>
        <v>0</v>
      </c>
      <c r="Y25" s="13">
        <f t="shared" ref="Y25:Z25" si="32">((M25+O25+Q25+S25)/4)</f>
        <v>0</v>
      </c>
      <c r="Z25" s="13">
        <f t="shared" si="32"/>
        <v>0</v>
      </c>
      <c r="AA25" s="13">
        <f t="shared" si="3"/>
        <v>0</v>
      </c>
      <c r="AB25" s="13">
        <f t="shared" si="4"/>
        <v>0</v>
      </c>
      <c r="AC25" s="14" t="s">
        <v>48</v>
      </c>
    </row>
    <row r="26" ht="14.25" customHeight="1">
      <c r="A26" s="5"/>
      <c r="B26" s="55" t="s">
        <v>76</v>
      </c>
      <c r="C26" s="62">
        <v>4395.0</v>
      </c>
      <c r="D26" s="62">
        <v>4487.0</v>
      </c>
      <c r="E26" s="62">
        <v>4579.0</v>
      </c>
      <c r="F26" s="62">
        <v>4654.0</v>
      </c>
      <c r="G26" s="62">
        <v>4709.0</v>
      </c>
      <c r="H26" s="58">
        <v>1413.0</v>
      </c>
      <c r="I26" s="5"/>
      <c r="J26" s="5"/>
      <c r="K26" s="5"/>
      <c r="L26" s="11" t="s">
        <v>77</v>
      </c>
      <c r="M26" s="12"/>
      <c r="N26" s="13">
        <f>M26/C7*100000</f>
        <v>0</v>
      </c>
      <c r="O26" s="12"/>
      <c r="P26" s="13">
        <f>O26/D7*100000</f>
        <v>0</v>
      </c>
      <c r="Q26" s="47"/>
      <c r="R26" s="13">
        <f>Q26/E7*100000</f>
        <v>0</v>
      </c>
      <c r="S26" s="12"/>
      <c r="T26" s="13">
        <f>S26/F7*100000</f>
        <v>0</v>
      </c>
      <c r="U26" s="12"/>
      <c r="V26" s="13">
        <f>U26/G7*100000</f>
        <v>0</v>
      </c>
      <c r="W26" s="12"/>
      <c r="X26" s="13">
        <f>W26/H7*100000</f>
        <v>0</v>
      </c>
      <c r="Y26" s="13">
        <f t="shared" ref="Y26:Z26" si="33">((M26+O26+Q26+S26)/4)</f>
        <v>0</v>
      </c>
      <c r="Z26" s="13">
        <f t="shared" si="33"/>
        <v>0</v>
      </c>
      <c r="AA26" s="13">
        <f t="shared" si="3"/>
        <v>0</v>
      </c>
      <c r="AB26" s="13">
        <f t="shared" si="4"/>
        <v>0</v>
      </c>
      <c r="AC26" s="14" t="s">
        <v>22</v>
      </c>
    </row>
    <row r="27" ht="14.25" customHeight="1">
      <c r="A27" s="5"/>
      <c r="B27" s="63" t="s">
        <v>78</v>
      </c>
      <c r="C27" s="64">
        <v>1856.0</v>
      </c>
      <c r="D27" s="64">
        <v>1966.0</v>
      </c>
      <c r="E27" s="65">
        <v>2067.0</v>
      </c>
      <c r="F27" s="65">
        <v>2205.0</v>
      </c>
      <c r="G27" s="65">
        <v>2240.0</v>
      </c>
      <c r="H27" s="66">
        <v>2381.0</v>
      </c>
      <c r="I27" s="5"/>
      <c r="J27" s="5"/>
      <c r="K27" s="5"/>
      <c r="L27" s="11" t="s">
        <v>79</v>
      </c>
      <c r="M27" s="12"/>
      <c r="N27" s="13">
        <f>M27/C11*100000</f>
        <v>0</v>
      </c>
      <c r="O27" s="12"/>
      <c r="P27" s="13">
        <f>O27/D11*100000</f>
        <v>0</v>
      </c>
      <c r="Q27" s="47"/>
      <c r="R27" s="13">
        <f>Q27/E11*100000</f>
        <v>0</v>
      </c>
      <c r="S27" s="12"/>
      <c r="T27" s="13">
        <f>S27/F11*100000</f>
        <v>0</v>
      </c>
      <c r="U27" s="12"/>
      <c r="V27" s="13">
        <f>U27/G11*100000</f>
        <v>0</v>
      </c>
      <c r="W27" s="12"/>
      <c r="X27" s="13">
        <f>W27/H11*100000</f>
        <v>0</v>
      </c>
      <c r="Y27" s="13">
        <f t="shared" ref="Y27:Z27" si="34">((M27+O27+Q27+S27)/4)</f>
        <v>0</v>
      </c>
      <c r="Z27" s="13">
        <f t="shared" si="34"/>
        <v>0</v>
      </c>
      <c r="AA27" s="13">
        <f t="shared" si="3"/>
        <v>0</v>
      </c>
      <c r="AB27" s="13">
        <f t="shared" si="4"/>
        <v>0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>
        <f>M28/C11*100000</f>
        <v>0</v>
      </c>
      <c r="O28" s="12"/>
      <c r="P28" s="13">
        <f>O28/D11*100000</f>
        <v>0</v>
      </c>
      <c r="Q28" s="47"/>
      <c r="R28" s="13">
        <f>Q28/E11*100000</f>
        <v>0</v>
      </c>
      <c r="S28" s="12"/>
      <c r="T28" s="13">
        <f>S28/F11*100000</f>
        <v>0</v>
      </c>
      <c r="U28" s="12"/>
      <c r="V28" s="13">
        <f>U28/G11*100000</f>
        <v>0</v>
      </c>
      <c r="W28" s="12"/>
      <c r="X28" s="13">
        <f>W28/H11*100000</f>
        <v>0</v>
      </c>
      <c r="Y28" s="13">
        <f t="shared" ref="Y28:Z28" si="35">((M28+O28+Q28+S28)/4)</f>
        <v>0</v>
      </c>
      <c r="Z28" s="13">
        <f t="shared" si="35"/>
        <v>0</v>
      </c>
      <c r="AA28" s="13">
        <f t="shared" si="3"/>
        <v>0</v>
      </c>
      <c r="AB28" s="13">
        <f t="shared" si="4"/>
        <v>0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>
        <f>M29/C10*100000</f>
        <v>0</v>
      </c>
      <c r="O29" s="12"/>
      <c r="P29" s="13">
        <f>O29/D10*100000</f>
        <v>0</v>
      </c>
      <c r="Q29" s="47"/>
      <c r="R29" s="13">
        <f>Q29/E10*100000</f>
        <v>0</v>
      </c>
      <c r="S29" s="12"/>
      <c r="T29" s="13">
        <f>S29/F10*100000</f>
        <v>0</v>
      </c>
      <c r="U29" s="12"/>
      <c r="V29" s="13">
        <f>U29/G10*100000</f>
        <v>0</v>
      </c>
      <c r="W29" s="12"/>
      <c r="X29" s="13">
        <f>W29/H10*100000</f>
        <v>0</v>
      </c>
      <c r="Y29" s="13">
        <f t="shared" ref="Y29:Z29" si="36">((M29+O29+Q29+S29)/4)</f>
        <v>0</v>
      </c>
      <c r="Z29" s="13">
        <f t="shared" si="36"/>
        <v>0</v>
      </c>
      <c r="AA29" s="13">
        <f t="shared" si="3"/>
        <v>0</v>
      </c>
      <c r="AB29" s="13">
        <f t="shared" si="4"/>
        <v>0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>
        <f>M30/C7*100000</f>
        <v>0</v>
      </c>
      <c r="O30" s="12"/>
      <c r="P30" s="13">
        <f>O30/D7*100000</f>
        <v>0</v>
      </c>
      <c r="Q30" s="47"/>
      <c r="R30" s="13">
        <f>Q30/E7*100000</f>
        <v>0</v>
      </c>
      <c r="S30" s="12"/>
      <c r="T30" s="13">
        <f>S30/F7*100000</f>
        <v>0</v>
      </c>
      <c r="U30" s="12"/>
      <c r="V30" s="13">
        <f>U30/G7*100000</f>
        <v>0</v>
      </c>
      <c r="W30" s="12"/>
      <c r="X30" s="13">
        <f>W30/H7*100000</f>
        <v>0</v>
      </c>
      <c r="Y30" s="13">
        <f t="shared" ref="Y30:Z30" si="37">((M30+O30+Q30+S30)/4)</f>
        <v>0</v>
      </c>
      <c r="Z30" s="13">
        <f t="shared" si="37"/>
        <v>0</v>
      </c>
      <c r="AA30" s="13">
        <f t="shared" si="3"/>
        <v>0</v>
      </c>
      <c r="AB30" s="13">
        <f t="shared" si="4"/>
        <v>0</v>
      </c>
      <c r="AC30" s="14" t="s">
        <v>22</v>
      </c>
    </row>
    <row r="31" ht="14.25" customHeight="1">
      <c r="A31" s="5"/>
      <c r="B31" s="32" t="s">
        <v>84</v>
      </c>
      <c r="C31" s="57">
        <v>2167.0</v>
      </c>
      <c r="D31" s="57">
        <v>2181.0</v>
      </c>
      <c r="E31" s="57">
        <v>2196.0</v>
      </c>
      <c r="F31" s="57">
        <v>2216.0</v>
      </c>
      <c r="G31" s="57">
        <v>2223.0</v>
      </c>
      <c r="H31" s="58">
        <v>2233.0</v>
      </c>
      <c r="I31" s="5"/>
      <c r="J31" s="5"/>
      <c r="K31" s="5"/>
      <c r="L31" s="11" t="s">
        <v>85</v>
      </c>
      <c r="M31" s="12"/>
      <c r="N31" s="13">
        <f>M31/C7*100000</f>
        <v>0</v>
      </c>
      <c r="O31" s="12"/>
      <c r="P31" s="13">
        <f>O31/D7*100000</f>
        <v>0</v>
      </c>
      <c r="Q31" s="47"/>
      <c r="R31" s="13">
        <f>Q31/E7*100000</f>
        <v>0</v>
      </c>
      <c r="S31" s="12"/>
      <c r="T31" s="13">
        <f>S31/F7*100000</f>
        <v>0</v>
      </c>
      <c r="U31" s="12"/>
      <c r="V31" s="13">
        <f>U31/G7*100000</f>
        <v>0</v>
      </c>
      <c r="W31" s="12"/>
      <c r="X31" s="13">
        <f>W31/H7*100000</f>
        <v>0</v>
      </c>
      <c r="Y31" s="13">
        <f t="shared" ref="Y31:Z31" si="38">((M31+O31+Q31+S31)/4)</f>
        <v>0</v>
      </c>
      <c r="Z31" s="13">
        <f t="shared" si="38"/>
        <v>0</v>
      </c>
      <c r="AA31" s="13">
        <f t="shared" si="3"/>
        <v>0</v>
      </c>
      <c r="AB31" s="13">
        <f t="shared" si="4"/>
        <v>0</v>
      </c>
      <c r="AC31" s="14" t="s">
        <v>22</v>
      </c>
    </row>
    <row r="32" ht="14.25" customHeight="1">
      <c r="A32" s="5"/>
      <c r="B32" s="32" t="s">
        <v>86</v>
      </c>
      <c r="C32" s="57">
        <v>2003.0</v>
      </c>
      <c r="D32" s="57">
        <v>2032.0</v>
      </c>
      <c r="E32" s="57">
        <v>2083.0</v>
      </c>
      <c r="F32" s="57">
        <v>2133.0</v>
      </c>
      <c r="G32" s="57">
        <v>2198.0</v>
      </c>
      <c r="H32" s="58">
        <v>2255.0</v>
      </c>
      <c r="I32" s="5"/>
      <c r="J32" s="5"/>
      <c r="K32" s="5"/>
      <c r="L32" s="11" t="s">
        <v>87</v>
      </c>
      <c r="M32" s="61"/>
      <c r="N32" s="34">
        <f>M32/C7*100</f>
        <v>0</v>
      </c>
      <c r="O32" s="12"/>
      <c r="P32" s="34">
        <f>O32/D7*100</f>
        <v>0</v>
      </c>
      <c r="Q32" s="47"/>
      <c r="R32" s="34">
        <f>Q32/E7*100</f>
        <v>0</v>
      </c>
      <c r="S32" s="61"/>
      <c r="T32" s="34">
        <f>S32/F7*100</f>
        <v>0</v>
      </c>
      <c r="U32" s="61"/>
      <c r="V32" s="34">
        <f>U32/G7*100</f>
        <v>0</v>
      </c>
      <c r="W32" s="61"/>
      <c r="X32" s="34">
        <f>W32/H7*100</f>
        <v>0</v>
      </c>
      <c r="Y32" s="13">
        <f t="shared" ref="Y32:Z32" si="39">((M32+O32+Q32+S32)/4)</f>
        <v>0</v>
      </c>
      <c r="Z32" s="35">
        <f t="shared" si="39"/>
        <v>0</v>
      </c>
      <c r="AA32" s="13">
        <f t="shared" si="3"/>
        <v>0</v>
      </c>
      <c r="AB32" s="13">
        <f t="shared" si="4"/>
        <v>0</v>
      </c>
      <c r="AC32" s="14" t="s">
        <v>48</v>
      </c>
    </row>
    <row r="33" ht="14.25" customHeight="1">
      <c r="A33" s="5"/>
      <c r="B33" s="32" t="s">
        <v>88</v>
      </c>
      <c r="C33" s="53">
        <v>2069.0</v>
      </c>
      <c r="D33" s="53">
        <v>2075.0</v>
      </c>
      <c r="E33" s="53">
        <v>2093.0</v>
      </c>
      <c r="F33" s="53">
        <v>2120.0</v>
      </c>
      <c r="G33" s="53">
        <v>2159.0</v>
      </c>
      <c r="H33" s="58">
        <v>2198.0</v>
      </c>
      <c r="I33" s="5"/>
      <c r="J33" s="5"/>
      <c r="K33" s="5"/>
      <c r="L33" s="11" t="s">
        <v>89</v>
      </c>
      <c r="M33" s="12"/>
      <c r="N33" s="13">
        <f>M33/C7*10000</f>
        <v>0</v>
      </c>
      <c r="O33" s="12"/>
      <c r="P33" s="13">
        <f>O33/D7*10000</f>
        <v>0</v>
      </c>
      <c r="Q33" s="47"/>
      <c r="R33" s="13">
        <f>Q33/E7*10000</f>
        <v>0</v>
      </c>
      <c r="S33" s="12"/>
      <c r="T33" s="13">
        <f>S33/F7*10000</f>
        <v>0</v>
      </c>
      <c r="U33" s="12"/>
      <c r="V33" s="13">
        <f>U33/G7*10000</f>
        <v>0</v>
      </c>
      <c r="W33" s="12"/>
      <c r="X33" s="13">
        <f>W33/H7*10000</f>
        <v>0</v>
      </c>
      <c r="Y33" s="13">
        <f t="shared" ref="Y33:Z33" si="40">((M33+O33+Q33+S33)/4)</f>
        <v>0</v>
      </c>
      <c r="Z33" s="13">
        <f t="shared" si="40"/>
        <v>0</v>
      </c>
      <c r="AA33" s="13">
        <f t="shared" si="3"/>
        <v>0</v>
      </c>
      <c r="AB33" s="13">
        <f t="shared" si="4"/>
        <v>0</v>
      </c>
      <c r="AC33" s="14" t="s">
        <v>48</v>
      </c>
    </row>
    <row r="34" ht="14.25" customHeight="1">
      <c r="A34" s="5"/>
      <c r="B34" s="32" t="s">
        <v>90</v>
      </c>
      <c r="C34" s="62">
        <v>4395.0</v>
      </c>
      <c r="D34" s="62">
        <v>4487.0</v>
      </c>
      <c r="E34" s="62">
        <v>4579.0</v>
      </c>
      <c r="F34" s="62">
        <v>4654.0</v>
      </c>
      <c r="G34" s="62">
        <v>4709.0</v>
      </c>
      <c r="H34" s="58">
        <v>1413.0</v>
      </c>
      <c r="I34" s="5"/>
      <c r="J34" s="5"/>
      <c r="K34" s="5"/>
      <c r="L34" s="11" t="s">
        <v>91</v>
      </c>
      <c r="M34" s="12"/>
      <c r="N34" s="13">
        <f>M34/C7*10000</f>
        <v>0</v>
      </c>
      <c r="O34" s="12"/>
      <c r="P34" s="13">
        <f>O34/D7*10000</f>
        <v>0</v>
      </c>
      <c r="Q34" s="47"/>
      <c r="R34" s="13">
        <f>Q34/E7*10000</f>
        <v>0</v>
      </c>
      <c r="S34" s="12"/>
      <c r="T34" s="13">
        <f>S34/F7*10000</f>
        <v>0</v>
      </c>
      <c r="U34" s="12"/>
      <c r="V34" s="13">
        <f>U34/G7*10000</f>
        <v>0</v>
      </c>
      <c r="W34" s="12"/>
      <c r="X34" s="13">
        <f>W34/H7*10000</f>
        <v>0</v>
      </c>
      <c r="Y34" s="13">
        <f t="shared" ref="Y34:Z34" si="41">((M34+O34+Q34+S34)/4)</f>
        <v>0</v>
      </c>
      <c r="Z34" s="13">
        <f t="shared" si="41"/>
        <v>0</v>
      </c>
      <c r="AA34" s="13">
        <f t="shared" si="3"/>
        <v>0</v>
      </c>
      <c r="AB34" s="13">
        <f t="shared" si="4"/>
        <v>0</v>
      </c>
      <c r="AC34" s="14" t="s">
        <v>48</v>
      </c>
    </row>
    <row r="35" ht="14.25" customHeight="1">
      <c r="A35" s="5"/>
      <c r="B35" s="32" t="s">
        <v>92</v>
      </c>
      <c r="C35" s="31">
        <v>9755.0</v>
      </c>
      <c r="D35" s="31">
        <v>10111.0</v>
      </c>
      <c r="E35" s="31">
        <v>10520.0</v>
      </c>
      <c r="F35" s="31">
        <v>10973.0</v>
      </c>
      <c r="G35" s="31">
        <v>11423.0</v>
      </c>
      <c r="H35" s="31">
        <v>11867.0</v>
      </c>
      <c r="I35" s="5"/>
      <c r="J35" s="5"/>
      <c r="K35" s="5"/>
      <c r="L35" s="11" t="s">
        <v>93</v>
      </c>
      <c r="M35" s="12"/>
      <c r="N35" s="13" t="str">
        <f>M35/M4*1000</f>
        <v>#DIV/0!</v>
      </c>
      <c r="O35" s="12"/>
      <c r="P35" s="13" t="str">
        <f>O35/O4*1000</f>
        <v>#DIV/0!</v>
      </c>
      <c r="Q35" s="47"/>
      <c r="R35" s="13" t="str">
        <f>Q35/Q4*1000</f>
        <v>#DIV/0!</v>
      </c>
      <c r="S35" s="12"/>
      <c r="T35" s="13" t="str">
        <f>S35/S4*1000</f>
        <v>#DIV/0!</v>
      </c>
      <c r="U35" s="12"/>
      <c r="V35" s="13" t="str">
        <f>U35/U4*1000</f>
        <v>#DIV/0!</v>
      </c>
      <c r="W35" s="12"/>
      <c r="X35" s="13" t="str">
        <f>W35/W4*1000</f>
        <v>#DIV/0!</v>
      </c>
      <c r="Y35" s="13">
        <f t="shared" ref="Y35:Z35" si="42">((M35+O35+Q35+S35)/4)</f>
        <v>0</v>
      </c>
      <c r="Z35" s="13" t="str">
        <f t="shared" si="42"/>
        <v>#DIV/0!</v>
      </c>
      <c r="AA35" s="13">
        <f t="shared" si="3"/>
        <v>0</v>
      </c>
      <c r="AB35" s="13" t="str">
        <f t="shared" si="4"/>
        <v>#DIV/0!</v>
      </c>
      <c r="AC35" s="14" t="s">
        <v>48</v>
      </c>
    </row>
    <row r="36" ht="14.25" customHeight="1">
      <c r="A36" s="5"/>
      <c r="B36" s="32" t="s">
        <v>94</v>
      </c>
      <c r="C36" s="31">
        <v>3038.0</v>
      </c>
      <c r="D36" s="31">
        <v>3213.0</v>
      </c>
      <c r="E36" s="31">
        <v>3383.0</v>
      </c>
      <c r="F36" s="31">
        <v>3596.0</v>
      </c>
      <c r="G36" s="31">
        <v>3793.0</v>
      </c>
      <c r="H36" s="31">
        <v>3875.0</v>
      </c>
      <c r="I36" s="5"/>
      <c r="J36" s="5"/>
      <c r="K36" s="5"/>
      <c r="L36" s="11" t="s">
        <v>95</v>
      </c>
      <c r="M36" s="12"/>
      <c r="N36" s="13" t="str">
        <f>M36/M4*1000</f>
        <v>#DIV/0!</v>
      </c>
      <c r="O36" s="12"/>
      <c r="P36" s="13" t="str">
        <f>O36/O4*1000</f>
        <v>#DIV/0!</v>
      </c>
      <c r="Q36" s="47"/>
      <c r="R36" s="13" t="str">
        <f>Q36/Q4*1000</f>
        <v>#DIV/0!</v>
      </c>
      <c r="S36" s="12"/>
      <c r="T36" s="13" t="str">
        <f>S36/S4*1000</f>
        <v>#DIV/0!</v>
      </c>
      <c r="U36" s="12"/>
      <c r="V36" s="13" t="str">
        <f>U36/U4*1000</f>
        <v>#DIV/0!</v>
      </c>
      <c r="W36" s="12"/>
      <c r="X36" s="13" t="str">
        <f>W36/W4*1000</f>
        <v>#DIV/0!</v>
      </c>
      <c r="Y36" s="13">
        <f t="shared" ref="Y36:Z36" si="43">((M36+O36+Q36+S36)/4)</f>
        <v>0</v>
      </c>
      <c r="Z36" s="13" t="str">
        <f t="shared" si="43"/>
        <v>#DIV/0!</v>
      </c>
      <c r="AA36" s="13">
        <f t="shared" si="3"/>
        <v>0</v>
      </c>
      <c r="AB36" s="13" t="str">
        <f t="shared" si="4"/>
        <v>#DIV/0!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13">
        <f t="shared" ref="Y37:Z37" si="44">((M37+O37+Q37+S37)/4)</f>
        <v>0</v>
      </c>
      <c r="Z37" s="13">
        <f t="shared" si="44"/>
        <v>0</v>
      </c>
      <c r="AA37" s="13">
        <f t="shared" si="3"/>
        <v>0</v>
      </c>
      <c r="AB37" s="13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>
        <f>M38/C7*10000</f>
        <v>0</v>
      </c>
      <c r="O38" s="12"/>
      <c r="P38" s="13">
        <f>O38/E7*10000</f>
        <v>0</v>
      </c>
      <c r="Q38" s="47"/>
      <c r="R38" s="13">
        <f>Q38/E7*10000</f>
        <v>0</v>
      </c>
      <c r="S38" s="12"/>
      <c r="T38" s="13">
        <f>S38/F7*10000</f>
        <v>0</v>
      </c>
      <c r="U38" s="12"/>
      <c r="V38" s="13">
        <f>U38/G7*10000</f>
        <v>0</v>
      </c>
      <c r="W38" s="12"/>
      <c r="X38" s="13">
        <f>W38/H7*10000</f>
        <v>0</v>
      </c>
      <c r="Y38" s="13">
        <f t="shared" ref="Y38:Z38" si="45">((M38+O38+Q38+S38)/4)</f>
        <v>0</v>
      </c>
      <c r="Z38" s="13">
        <f t="shared" si="45"/>
        <v>0</v>
      </c>
      <c r="AA38" s="13">
        <f t="shared" si="3"/>
        <v>0</v>
      </c>
      <c r="AB38" s="13">
        <f t="shared" si="4"/>
        <v>0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>
        <f>M39/C17*10000</f>
        <v>0</v>
      </c>
      <c r="O39" s="12"/>
      <c r="P39" s="13">
        <f>O39/D17*10000</f>
        <v>0</v>
      </c>
      <c r="Q39" s="47"/>
      <c r="R39" s="13">
        <f>Q39/E17*100000</f>
        <v>0</v>
      </c>
      <c r="S39" s="12"/>
      <c r="T39" s="13">
        <f>S39/F17*100000</f>
        <v>0</v>
      </c>
      <c r="U39" s="12"/>
      <c r="V39" s="13">
        <f>U39/G17*100000</f>
        <v>0</v>
      </c>
      <c r="W39" s="12"/>
      <c r="X39" s="13">
        <f>W39/H17*100000</f>
        <v>0</v>
      </c>
      <c r="Y39" s="13">
        <f t="shared" ref="Y39:Z39" si="46">((M39+O39+Q39+S39)/4)</f>
        <v>0</v>
      </c>
      <c r="Z39" s="13">
        <f t="shared" si="46"/>
        <v>0</v>
      </c>
      <c r="AA39" s="13">
        <f t="shared" si="3"/>
        <v>0</v>
      </c>
      <c r="AB39" s="13">
        <f t="shared" si="4"/>
        <v>0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>
        <f>M40/C7*100000</f>
        <v>0</v>
      </c>
      <c r="O40" s="12"/>
      <c r="P40" s="13">
        <f>O40/D7*100000</f>
        <v>0</v>
      </c>
      <c r="Q40" s="47"/>
      <c r="R40" s="13">
        <f>Q40/E7*100000</f>
        <v>0</v>
      </c>
      <c r="S40" s="12"/>
      <c r="T40" s="13">
        <f>S40/F7*100000</f>
        <v>0</v>
      </c>
      <c r="U40" s="12"/>
      <c r="V40" s="13">
        <f>U40/G7*100000</f>
        <v>0</v>
      </c>
      <c r="W40" s="12"/>
      <c r="X40" s="13">
        <f>W40/H7*100000</f>
        <v>0</v>
      </c>
      <c r="Y40" s="13">
        <f t="shared" ref="Y40:Z40" si="47">((M40+O40+Q40+S40)/4)</f>
        <v>0</v>
      </c>
      <c r="Z40" s="13">
        <f t="shared" si="47"/>
        <v>0</v>
      </c>
      <c r="AA40" s="13">
        <f t="shared" si="3"/>
        <v>0</v>
      </c>
      <c r="AB40" s="13">
        <f t="shared" si="4"/>
        <v>0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>
        <f>M41/C7*10000</f>
        <v>0</v>
      </c>
      <c r="O41" s="12"/>
      <c r="P41" s="28">
        <f>O41/D7*10000</f>
        <v>0</v>
      </c>
      <c r="Q41" s="47"/>
      <c r="R41" s="28">
        <f>Q41/E7*10000</f>
        <v>0</v>
      </c>
      <c r="S41" s="61"/>
      <c r="T41" s="28">
        <f>S41/F7*10000</f>
        <v>0</v>
      </c>
      <c r="U41" s="61"/>
      <c r="V41" s="28">
        <f>U41/G7*10000</f>
        <v>0</v>
      </c>
      <c r="W41" s="61"/>
      <c r="X41" s="28">
        <f>W41/H7*10000</f>
        <v>0</v>
      </c>
      <c r="Y41" s="13">
        <f t="shared" ref="Y41:Z41" si="48">((M41+O41+Q41+S41)/4)</f>
        <v>0</v>
      </c>
      <c r="Z41" s="13">
        <f t="shared" si="48"/>
        <v>0</v>
      </c>
      <c r="AA41" s="13">
        <f t="shared" si="3"/>
        <v>0</v>
      </c>
      <c r="AB41" s="13">
        <f t="shared" si="4"/>
        <v>0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>
        <f>M42/C7*10000</f>
        <v>0</v>
      </c>
      <c r="O42" s="12"/>
      <c r="P42" s="28">
        <f>O42/D7*10000</f>
        <v>0</v>
      </c>
      <c r="Q42" s="47"/>
      <c r="R42" s="28">
        <f>Q42/E7*10000</f>
        <v>0</v>
      </c>
      <c r="S42" s="61"/>
      <c r="T42" s="28">
        <f>S42/F7*10000</f>
        <v>0</v>
      </c>
      <c r="U42" s="61"/>
      <c r="V42" s="28">
        <f>U42/G7*10000</f>
        <v>0</v>
      </c>
      <c r="W42" s="61"/>
      <c r="X42" s="28">
        <f>W42/H7*10000</f>
        <v>0</v>
      </c>
      <c r="Y42" s="13">
        <f t="shared" ref="Y42:Z42" si="49">((M42+O42+Q42+S42)/4)</f>
        <v>0</v>
      </c>
      <c r="Z42" s="13">
        <f t="shared" si="49"/>
        <v>0</v>
      </c>
      <c r="AA42" s="13">
        <f t="shared" si="3"/>
        <v>0</v>
      </c>
      <c r="AB42" s="13">
        <f t="shared" si="4"/>
        <v>0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>
        <f>M43/C16*10000</f>
        <v>0</v>
      </c>
      <c r="O43" s="12"/>
      <c r="P43" s="28">
        <f>O43/D16*10000</f>
        <v>0</v>
      </c>
      <c r="Q43" s="47"/>
      <c r="R43" s="28">
        <f>Q43/E16*100000</f>
        <v>0</v>
      </c>
      <c r="S43" s="61"/>
      <c r="T43" s="28">
        <f>S43/F16*100000</f>
        <v>0</v>
      </c>
      <c r="U43" s="61"/>
      <c r="V43" s="28">
        <f>U43/G16*100000</f>
        <v>0</v>
      </c>
      <c r="W43" s="61"/>
      <c r="X43" s="28">
        <f>W43/H16*100000</f>
        <v>0</v>
      </c>
      <c r="Y43" s="13">
        <f t="shared" ref="Y43:Z43" si="50">((M43+O43+Q43+S43)/4)</f>
        <v>0</v>
      </c>
      <c r="Z43" s="13">
        <f t="shared" si="50"/>
        <v>0</v>
      </c>
      <c r="AA43" s="13">
        <f t="shared" si="3"/>
        <v>0</v>
      </c>
      <c r="AB43" s="13">
        <f t="shared" si="4"/>
        <v>0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>
        <f>M44/C7*100000</f>
        <v>0</v>
      </c>
      <c r="O44" s="12"/>
      <c r="P44" s="28">
        <f>O44/D7*100000</f>
        <v>0</v>
      </c>
      <c r="Q44" s="12"/>
      <c r="R44" s="13">
        <f>Q44/E7*100000</f>
        <v>0</v>
      </c>
      <c r="S44" s="12"/>
      <c r="T44" s="13">
        <f>S44/F7*100000</f>
        <v>0</v>
      </c>
      <c r="U44" s="12"/>
      <c r="V44" s="13">
        <f>U44/G7*100000</f>
        <v>0</v>
      </c>
      <c r="W44" s="12"/>
      <c r="X44" s="13">
        <f>W44/H7*100000</f>
        <v>0</v>
      </c>
      <c r="Y44" s="13">
        <f t="shared" ref="Y44:Z44" si="51">((M44+O44+Q44+S44)/4)</f>
        <v>0</v>
      </c>
      <c r="Z44" s="13">
        <f t="shared" si="51"/>
        <v>0</v>
      </c>
      <c r="AA44" s="13">
        <f t="shared" si="3"/>
        <v>0</v>
      </c>
      <c r="AB44" s="13">
        <f t="shared" si="4"/>
        <v>0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 t="str">
        <f>M45/M4*100</f>
        <v>#DIV/0!</v>
      </c>
      <c r="O45" s="12"/>
      <c r="P45" s="28" t="str">
        <f>O45/O4*100</f>
        <v>#DIV/0!</v>
      </c>
      <c r="Q45" s="12"/>
      <c r="R45" s="13" t="str">
        <f>Q45/Q4*100</f>
        <v>#DIV/0!</v>
      </c>
      <c r="S45" s="12"/>
      <c r="T45" s="13" t="str">
        <f>S45/S4*100</f>
        <v>#DIV/0!</v>
      </c>
      <c r="U45" s="12"/>
      <c r="V45" s="13" t="str">
        <f>U45/U4*100</f>
        <v>#DIV/0!</v>
      </c>
      <c r="W45" s="12"/>
      <c r="X45" s="13" t="str">
        <f>W45/W4*100</f>
        <v>#DIV/0!</v>
      </c>
      <c r="Y45" s="13">
        <f t="shared" ref="Y45:Z45" si="52">((M45+O45+Q45+S45)/4)</f>
        <v>0</v>
      </c>
      <c r="Z45" s="13" t="str">
        <f t="shared" si="52"/>
        <v>#DIV/0!</v>
      </c>
      <c r="AA45" s="13">
        <f t="shared" si="3"/>
        <v>0</v>
      </c>
      <c r="AB45" s="13" t="str">
        <f t="shared" si="4"/>
        <v>#DIV/0!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 t="str">
        <f>M46/M4*100</f>
        <v>#DIV/0!</v>
      </c>
      <c r="O46" s="12"/>
      <c r="P46" s="28" t="str">
        <f>O46/O4*100</f>
        <v>#DIV/0!</v>
      </c>
      <c r="Q46" s="12"/>
      <c r="R46" s="13" t="str">
        <f>Q46/Q4*100</f>
        <v>#DIV/0!</v>
      </c>
      <c r="S46" s="12"/>
      <c r="T46" s="13" t="str">
        <f>S46/S4*100</f>
        <v>#DIV/0!</v>
      </c>
      <c r="U46" s="12"/>
      <c r="V46" s="13" t="str">
        <f>U46/U4*100</f>
        <v>#DIV/0!</v>
      </c>
      <c r="W46" s="12"/>
      <c r="X46" s="13" t="str">
        <f>W46/W4*100</f>
        <v>#DIV/0!</v>
      </c>
      <c r="Y46" s="13">
        <f t="shared" ref="Y46:Z46" si="53">((M46+O46+Q46+S46)/4)</f>
        <v>0</v>
      </c>
      <c r="Z46" s="13" t="str">
        <f t="shared" si="53"/>
        <v>#DIV/0!</v>
      </c>
      <c r="AA46" s="13">
        <f t="shared" si="3"/>
        <v>0</v>
      </c>
      <c r="AB46" s="13" t="str">
        <f t="shared" si="4"/>
        <v>#DIV/0!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>
        <f>M47/C7*100000</f>
        <v>0</v>
      </c>
      <c r="O47" s="47"/>
      <c r="P47" s="13">
        <f>O47/D7*100000</f>
        <v>0</v>
      </c>
      <c r="Q47" s="47"/>
      <c r="R47" s="13">
        <f>Q47/E7*100000</f>
        <v>0</v>
      </c>
      <c r="S47" s="12"/>
      <c r="T47" s="13">
        <f>S47/F7*100000</f>
        <v>0</v>
      </c>
      <c r="U47" s="12"/>
      <c r="V47" s="13">
        <f>U47/G7*100000</f>
        <v>0</v>
      </c>
      <c r="W47" s="12"/>
      <c r="X47" s="13">
        <f>W47/H7*100000</f>
        <v>0</v>
      </c>
      <c r="Y47" s="13">
        <f t="shared" ref="Y47:Z47" si="54">((M47+O47+Q47+S47)/4)</f>
        <v>0</v>
      </c>
      <c r="Z47" s="13">
        <f t="shared" si="54"/>
        <v>0</v>
      </c>
      <c r="AA47" s="13">
        <f t="shared" si="3"/>
        <v>0</v>
      </c>
      <c r="AB47" s="13">
        <f t="shared" si="4"/>
        <v>0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>
        <f>M48/C7*100000</f>
        <v>0</v>
      </c>
      <c r="O48" s="12"/>
      <c r="P48" s="13">
        <f>O48/D7*100000</f>
        <v>0</v>
      </c>
      <c r="Q48" s="47"/>
      <c r="R48" s="13">
        <f>Q48/E7*100000</f>
        <v>0</v>
      </c>
      <c r="S48" s="12"/>
      <c r="T48" s="13">
        <f>S48/F7*100000</f>
        <v>0</v>
      </c>
      <c r="U48" s="12"/>
      <c r="V48" s="13">
        <f>U48/G7*100000</f>
        <v>0</v>
      </c>
      <c r="W48" s="12"/>
      <c r="X48" s="13">
        <f>W48/H7*100000</f>
        <v>0</v>
      </c>
      <c r="Y48" s="13">
        <f t="shared" ref="Y48:Z48" si="55">((M48+O48+Q48+S48)/4)</f>
        <v>0</v>
      </c>
      <c r="Z48" s="13">
        <f t="shared" si="55"/>
        <v>0</v>
      </c>
      <c r="AA48" s="13">
        <f t="shared" si="3"/>
        <v>0</v>
      </c>
      <c r="AB48" s="13">
        <f t="shared" si="4"/>
        <v>0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>
        <f>M49/C7*100000</f>
        <v>0</v>
      </c>
      <c r="O49" s="12"/>
      <c r="P49" s="13">
        <f>O49/D7*100000</f>
        <v>0</v>
      </c>
      <c r="Q49" s="47"/>
      <c r="R49" s="13">
        <f>Q49/E7*100000</f>
        <v>0</v>
      </c>
      <c r="S49" s="12"/>
      <c r="T49" s="13">
        <f>S49/F7*100000</f>
        <v>0</v>
      </c>
      <c r="U49" s="12"/>
      <c r="V49" s="13">
        <f>U49/G7*100000</f>
        <v>0</v>
      </c>
      <c r="W49" s="12"/>
      <c r="X49" s="13">
        <f>W49/H7*100000</f>
        <v>0</v>
      </c>
      <c r="Y49" s="13">
        <f t="shared" ref="Y49:Z49" si="56">((M49+O49+Q49+S49)/4)</f>
        <v>0</v>
      </c>
      <c r="Z49" s="13">
        <f t="shared" si="56"/>
        <v>0</v>
      </c>
      <c r="AA49" s="13">
        <f t="shared" si="3"/>
        <v>0</v>
      </c>
      <c r="AB49" s="13">
        <f t="shared" si="4"/>
        <v>0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>
        <f>M50/C7*100000</f>
        <v>0</v>
      </c>
      <c r="O50" s="47"/>
      <c r="P50" s="13">
        <f>O50/D7*100000</f>
        <v>0</v>
      </c>
      <c r="Q50" s="47"/>
      <c r="R50" s="13">
        <f>Q50/E7*100000</f>
        <v>0</v>
      </c>
      <c r="S50" s="12"/>
      <c r="T50" s="13">
        <f>S50/F7*100000</f>
        <v>0</v>
      </c>
      <c r="U50" s="12"/>
      <c r="V50" s="13">
        <f>U50/G7*100000</f>
        <v>0</v>
      </c>
      <c r="W50" s="12"/>
      <c r="X50" s="13">
        <f>W50/H7*100000</f>
        <v>0</v>
      </c>
      <c r="Y50" s="13">
        <f t="shared" ref="Y50:Z50" si="57">((M50+O50+Q50+S50)/4)</f>
        <v>0</v>
      </c>
      <c r="Z50" s="13">
        <f t="shared" si="57"/>
        <v>0</v>
      </c>
      <c r="AA50" s="13">
        <f t="shared" si="3"/>
        <v>0</v>
      </c>
      <c r="AB50" s="13">
        <f t="shared" si="4"/>
        <v>0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>
        <f>M51/C7*100000</f>
        <v>0</v>
      </c>
      <c r="O51" s="47"/>
      <c r="P51" s="13">
        <f>O51/D7*100000</f>
        <v>0</v>
      </c>
      <c r="Q51" s="47"/>
      <c r="R51" s="13">
        <f>Q51/E7*100000</f>
        <v>0</v>
      </c>
      <c r="S51" s="12"/>
      <c r="T51" s="13">
        <f>S51/F7*100000</f>
        <v>0</v>
      </c>
      <c r="U51" s="12"/>
      <c r="V51" s="13">
        <f>U51/G7*100000</f>
        <v>0</v>
      </c>
      <c r="W51" s="12"/>
      <c r="X51" s="13">
        <f>W51/H7*100000</f>
        <v>0</v>
      </c>
      <c r="Y51" s="13">
        <f t="shared" ref="Y51:Z51" si="58">((M51+O51+Q51+S51)/4)</f>
        <v>0</v>
      </c>
      <c r="Z51" s="13">
        <f t="shared" si="58"/>
        <v>0</v>
      </c>
      <c r="AA51" s="13">
        <f t="shared" si="3"/>
        <v>0</v>
      </c>
      <c r="AB51" s="13">
        <f t="shared" si="4"/>
        <v>0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>
        <f>M52/C7*100000</f>
        <v>0</v>
      </c>
      <c r="O52" s="47"/>
      <c r="P52" s="13">
        <f>O52/D7*100000</f>
        <v>0</v>
      </c>
      <c r="Q52" s="47"/>
      <c r="R52" s="13">
        <f>Q52/E7*100000</f>
        <v>0</v>
      </c>
      <c r="S52" s="12"/>
      <c r="T52" s="13">
        <f>S52/F7*100000</f>
        <v>0</v>
      </c>
      <c r="U52" s="12"/>
      <c r="V52" s="13">
        <f>U52/G7*100000</f>
        <v>0</v>
      </c>
      <c r="W52" s="12"/>
      <c r="X52" s="13">
        <f>W52/H7*100000</f>
        <v>0</v>
      </c>
      <c r="Y52" s="13">
        <f t="shared" ref="Y52:Z52" si="59">((M52+O52+Q52+S52)/4)</f>
        <v>0</v>
      </c>
      <c r="Z52" s="13">
        <f t="shared" si="59"/>
        <v>0</v>
      </c>
      <c r="AA52" s="13">
        <f t="shared" si="3"/>
        <v>0</v>
      </c>
      <c r="AB52" s="13">
        <f t="shared" si="4"/>
        <v>0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>
        <f>M53/C17*100000</f>
        <v>0</v>
      </c>
      <c r="O53" s="47"/>
      <c r="P53" s="13">
        <f>O53/D17*100000</f>
        <v>0</v>
      </c>
      <c r="Q53" s="47"/>
      <c r="R53" s="13">
        <f>Q53/E17*100000</f>
        <v>0</v>
      </c>
      <c r="S53" s="12"/>
      <c r="T53" s="13">
        <f>S53/F17*100000</f>
        <v>0</v>
      </c>
      <c r="U53" s="12"/>
      <c r="V53" s="13">
        <f>U53/G17*100000</f>
        <v>0</v>
      </c>
      <c r="W53" s="12"/>
      <c r="X53" s="13">
        <f>W53/H17*100000</f>
        <v>0</v>
      </c>
      <c r="Y53" s="13">
        <f t="shared" ref="Y53:Z53" si="60">((M53+O53+Q53+S53)/4)</f>
        <v>0</v>
      </c>
      <c r="Z53" s="13">
        <f t="shared" si="60"/>
        <v>0</v>
      </c>
      <c r="AA53" s="13">
        <f t="shared" si="3"/>
        <v>0</v>
      </c>
      <c r="AB53" s="13">
        <f t="shared" si="4"/>
        <v>0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>
        <f>M54/C19*100000</f>
        <v>0</v>
      </c>
      <c r="O54" s="47"/>
      <c r="P54" s="13">
        <f>O54/D19*100000</f>
        <v>0</v>
      </c>
      <c r="Q54" s="47"/>
      <c r="R54" s="13">
        <f>Q54/E19*100000</f>
        <v>0</v>
      </c>
      <c r="S54" s="12"/>
      <c r="T54" s="13">
        <f>S54/F19*100000</f>
        <v>0</v>
      </c>
      <c r="U54" s="12"/>
      <c r="V54" s="13">
        <f>U54/G19*100000</f>
        <v>0</v>
      </c>
      <c r="W54" s="12"/>
      <c r="X54" s="13">
        <f>W54/H19*100000</f>
        <v>0</v>
      </c>
      <c r="Y54" s="13">
        <f t="shared" ref="Y54:Z54" si="61">((M54+O54+Q54+S54)/4)</f>
        <v>0</v>
      </c>
      <c r="Z54" s="13">
        <f t="shared" si="61"/>
        <v>0</v>
      </c>
      <c r="AA54" s="13">
        <f t="shared" si="3"/>
        <v>0</v>
      </c>
      <c r="AB54" s="13">
        <f t="shared" si="4"/>
        <v>0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>
        <f>M55/C19*100000</f>
        <v>0</v>
      </c>
      <c r="O55" s="47"/>
      <c r="P55" s="13">
        <f>O55/D19*100000</f>
        <v>0</v>
      </c>
      <c r="Q55" s="47"/>
      <c r="R55" s="13">
        <f>Q55/E19*100000</f>
        <v>0</v>
      </c>
      <c r="S55" s="12"/>
      <c r="T55" s="13">
        <f>S55/F19*100000</f>
        <v>0</v>
      </c>
      <c r="U55" s="12"/>
      <c r="V55" s="13">
        <f>U55/G19*100000</f>
        <v>0</v>
      </c>
      <c r="W55" s="12"/>
      <c r="X55" s="13">
        <f>W55/H19*100000</f>
        <v>0</v>
      </c>
      <c r="Y55" s="13">
        <f t="shared" ref="Y55:Z55" si="62">((M55+O55+Q55+S55)/4)</f>
        <v>0</v>
      </c>
      <c r="Z55" s="13">
        <f t="shared" si="62"/>
        <v>0</v>
      </c>
      <c r="AA55" s="13">
        <f t="shared" si="3"/>
        <v>0</v>
      </c>
      <c r="AB55" s="13">
        <f t="shared" si="4"/>
        <v>0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>
        <f>M56/C7*100000</f>
        <v>0</v>
      </c>
      <c r="O56" s="47"/>
      <c r="P56" s="13">
        <f>O56/D7*100000</f>
        <v>0</v>
      </c>
      <c r="Q56" s="47"/>
      <c r="R56" s="13">
        <f>Q56/E7*100000</f>
        <v>0</v>
      </c>
      <c r="S56" s="12"/>
      <c r="T56" s="13">
        <f>S56/F7*100000</f>
        <v>0</v>
      </c>
      <c r="U56" s="12"/>
      <c r="V56" s="13">
        <f>U56/G7*100000</f>
        <v>0</v>
      </c>
      <c r="W56" s="12"/>
      <c r="X56" s="13">
        <f>W56/H7*100000</f>
        <v>0</v>
      </c>
      <c r="Y56" s="13">
        <f t="shared" ref="Y56:Z56" si="63">((M56+O56+Q56+S56)/4)</f>
        <v>0</v>
      </c>
      <c r="Z56" s="13">
        <f t="shared" si="63"/>
        <v>0</v>
      </c>
      <c r="AA56" s="13">
        <f t="shared" si="3"/>
        <v>0</v>
      </c>
      <c r="AB56" s="13">
        <f t="shared" si="4"/>
        <v>0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 t="str">
        <f>M57/M4*100000</f>
        <v>#DIV/0!</v>
      </c>
      <c r="O57" s="47"/>
      <c r="P57" s="13" t="str">
        <f>O57/O4*100000</f>
        <v>#DIV/0!</v>
      </c>
      <c r="Q57" s="47"/>
      <c r="R57" s="13" t="str">
        <f>Q57/Q4*100000</f>
        <v>#DIV/0!</v>
      </c>
      <c r="S57" s="12"/>
      <c r="T57" s="13" t="str">
        <f>S57/S4*100000</f>
        <v>#DIV/0!</v>
      </c>
      <c r="U57" s="12"/>
      <c r="V57" s="13" t="str">
        <f>U57/U4*100000</f>
        <v>#DIV/0!</v>
      </c>
      <c r="W57" s="12"/>
      <c r="X57" s="13" t="str">
        <f>W57/W4*100000</f>
        <v>#DIV/0!</v>
      </c>
      <c r="Y57" s="13">
        <f t="shared" ref="Y57:Z57" si="64">((M57+O57+Q57+S57)/4)</f>
        <v>0</v>
      </c>
      <c r="Z57" s="13" t="str">
        <f t="shared" si="64"/>
        <v>#DIV/0!</v>
      </c>
      <c r="AA57" s="13">
        <f t="shared" si="3"/>
        <v>0</v>
      </c>
      <c r="AB57" s="13" t="str">
        <f t="shared" si="4"/>
        <v>#DIV/0!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>
        <f>M58/C7*100000</f>
        <v>0</v>
      </c>
      <c r="O58" s="71"/>
      <c r="P58" s="28">
        <f>O58/D7*100000</f>
        <v>0</v>
      </c>
      <c r="Q58" s="71"/>
      <c r="R58" s="28">
        <f>Q58/E7*100000</f>
        <v>0</v>
      </c>
      <c r="S58" s="61"/>
      <c r="T58" s="28">
        <f>S58/F7*100000</f>
        <v>0</v>
      </c>
      <c r="U58" s="61"/>
      <c r="V58" s="28">
        <f>U58/G7*100000</f>
        <v>0</v>
      </c>
      <c r="W58" s="61"/>
      <c r="X58" s="28">
        <f>W58/H7*100000</f>
        <v>0</v>
      </c>
      <c r="Y58" s="13">
        <f t="shared" ref="Y58:Z58" si="65">((M58+O58+Q58+S58)/4)</f>
        <v>0</v>
      </c>
      <c r="Z58" s="13">
        <f t="shared" si="65"/>
        <v>0</v>
      </c>
      <c r="AA58" s="13">
        <f t="shared" si="3"/>
        <v>0</v>
      </c>
      <c r="AB58" s="13">
        <f t="shared" si="4"/>
        <v>0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>
        <f>M59/C7*100000</f>
        <v>0</v>
      </c>
      <c r="O59" s="71"/>
      <c r="P59" s="28">
        <f>O59/D7*100000</f>
        <v>0</v>
      </c>
      <c r="Q59" s="71"/>
      <c r="R59" s="28">
        <f>Q59/E7*100000</f>
        <v>0</v>
      </c>
      <c r="S59" s="76"/>
      <c r="T59" s="39">
        <f>S59/F7*100000</f>
        <v>0</v>
      </c>
      <c r="U59" s="76"/>
      <c r="V59" s="39">
        <f>U59/G7*100000</f>
        <v>0</v>
      </c>
      <c r="W59" s="76"/>
      <c r="X59" s="39">
        <f>W59/H7*100000</f>
        <v>0</v>
      </c>
      <c r="Y59" s="40">
        <f t="shared" ref="Y59:Z59" si="66">((M59+O59+Q59+S59)/4)</f>
        <v>0</v>
      </c>
      <c r="Z59" s="40">
        <f t="shared" si="66"/>
        <v>0</v>
      </c>
      <c r="AA59" s="13">
        <f t="shared" si="3"/>
        <v>0</v>
      </c>
      <c r="AB59" s="13">
        <f t="shared" si="4"/>
        <v>0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>
        <f>M60/C17*100000</f>
        <v>0</v>
      </c>
      <c r="O60" s="71"/>
      <c r="P60" s="28">
        <f>O60/D17*100000</f>
        <v>0</v>
      </c>
      <c r="Q60" s="71"/>
      <c r="R60" s="28">
        <f>Q60/E17*100000</f>
        <v>0</v>
      </c>
      <c r="S60" s="61"/>
      <c r="T60" s="28">
        <f>S60/F17*100000</f>
        <v>0</v>
      </c>
      <c r="U60" s="61"/>
      <c r="V60" s="28">
        <f>U60/G17*100000</f>
        <v>0</v>
      </c>
      <c r="W60" s="61"/>
      <c r="X60" s="28">
        <f>W60/H17*100000</f>
        <v>0</v>
      </c>
      <c r="Y60" s="40">
        <f>((M60+O60+Q60+S60)/4)</f>
        <v>0</v>
      </c>
      <c r="Z60" s="40">
        <f>((N60+P60+R60+T60)/1)</f>
        <v>0</v>
      </c>
      <c r="AA60" s="13">
        <f t="shared" si="3"/>
        <v>0</v>
      </c>
      <c r="AB60" s="13">
        <f t="shared" si="4"/>
        <v>0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>
        <f>M61/C15*1000</f>
        <v>0</v>
      </c>
      <c r="O61" s="71"/>
      <c r="P61" s="28">
        <f>O61/D15*1000</f>
        <v>0</v>
      </c>
      <c r="Q61" s="71"/>
      <c r="R61" s="28">
        <f>Q61/E15*1000</f>
        <v>0</v>
      </c>
      <c r="S61" s="61"/>
      <c r="T61" s="28">
        <f>S61/F15*1000</f>
        <v>0</v>
      </c>
      <c r="U61" s="61"/>
      <c r="V61" s="28">
        <f>U61/G15*1000</f>
        <v>0</v>
      </c>
      <c r="W61" s="61"/>
      <c r="X61" s="28">
        <f>W61/H23*1000</f>
        <v>0</v>
      </c>
      <c r="Y61" s="40">
        <f t="shared" ref="Y61:Z61" si="67">((M61+O61+Q61+S61)/1)</f>
        <v>0</v>
      </c>
      <c r="Z61" s="40">
        <f t="shared" si="67"/>
        <v>0</v>
      </c>
      <c r="AA61" s="13">
        <f t="shared" si="3"/>
        <v>0</v>
      </c>
      <c r="AB61" s="13">
        <f t="shared" si="4"/>
        <v>0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>
        <f>M62/C15*1000</f>
        <v>0</v>
      </c>
      <c r="O62" s="71"/>
      <c r="P62" s="28">
        <f>O62/D15*1000</f>
        <v>0</v>
      </c>
      <c r="Q62" s="71"/>
      <c r="R62" s="28">
        <f>Q62/E15*1000</f>
        <v>0</v>
      </c>
      <c r="S62" s="61"/>
      <c r="T62" s="28">
        <f>S62/F15*1000</f>
        <v>0</v>
      </c>
      <c r="U62" s="61"/>
      <c r="V62" s="28">
        <f>U62/G15*1000</f>
        <v>0</v>
      </c>
      <c r="W62" s="61"/>
      <c r="X62" s="28">
        <f>W62/H15*1000</f>
        <v>0</v>
      </c>
      <c r="Y62" s="40">
        <f t="shared" ref="Y62:Z62" si="68">((M62+O62+Q62+S62)/1)</f>
        <v>0</v>
      </c>
      <c r="Z62" s="40">
        <f t="shared" si="68"/>
        <v>0</v>
      </c>
      <c r="AA62" s="13">
        <f t="shared" si="3"/>
        <v>0</v>
      </c>
      <c r="AB62" s="13">
        <f t="shared" si="4"/>
        <v>0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>
        <f>M63/C17*100000</f>
        <v>0</v>
      </c>
      <c r="O63" s="71"/>
      <c r="P63" s="28">
        <f>O63/D17*100000</f>
        <v>0</v>
      </c>
      <c r="Q63" s="71"/>
      <c r="R63" s="28">
        <f>Q63/E17*100000</f>
        <v>0</v>
      </c>
      <c r="S63" s="61"/>
      <c r="T63" s="28">
        <f>S63/F17*100000</f>
        <v>0</v>
      </c>
      <c r="U63" s="61"/>
      <c r="V63" s="28">
        <f>U63/G17*100000</f>
        <v>0</v>
      </c>
      <c r="W63" s="61"/>
      <c r="X63" s="28">
        <f>W63/H17*100000</f>
        <v>0</v>
      </c>
      <c r="Y63" s="40">
        <f t="shared" ref="Y63:Z63" si="69">((M63+O63+Q63+S63)/1)</f>
        <v>0</v>
      </c>
      <c r="Z63" s="40">
        <f t="shared" si="69"/>
        <v>0</v>
      </c>
      <c r="AA63" s="13">
        <f t="shared" si="3"/>
        <v>0</v>
      </c>
      <c r="AB63" s="13">
        <f t="shared" si="4"/>
        <v>0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>
        <f>M64/C17*100000</f>
        <v>0</v>
      </c>
      <c r="O64" s="71"/>
      <c r="P64" s="28">
        <f>O64/D17*100000</f>
        <v>0</v>
      </c>
      <c r="Q64" s="71"/>
      <c r="R64" s="28">
        <f>Q64/E17*100000</f>
        <v>0</v>
      </c>
      <c r="S64" s="61"/>
      <c r="T64" s="28">
        <f>S64/F17*100000</f>
        <v>0</v>
      </c>
      <c r="U64" s="28"/>
      <c r="V64" s="28">
        <f>U64/G17*100000</f>
        <v>0</v>
      </c>
      <c r="W64" s="61"/>
      <c r="X64" s="28">
        <f>W64/H17*100000</f>
        <v>0</v>
      </c>
      <c r="Y64" s="40">
        <f t="shared" ref="Y64:Z64" si="70">((M64+O64+Q64+S64)/1)</f>
        <v>0</v>
      </c>
      <c r="Z64" s="40">
        <f t="shared" si="70"/>
        <v>0</v>
      </c>
      <c r="AA64" s="13">
        <f t="shared" si="3"/>
        <v>0</v>
      </c>
      <c r="AB64" s="13">
        <f t="shared" si="4"/>
        <v>0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>
        <f>M65/C17*100000</f>
        <v>0</v>
      </c>
      <c r="O65" s="71"/>
      <c r="P65" s="28">
        <f>O65/D17*100000</f>
        <v>0</v>
      </c>
      <c r="Q65" s="71"/>
      <c r="R65" s="28">
        <f>Q65/E17*100000</f>
        <v>0</v>
      </c>
      <c r="S65" s="71"/>
      <c r="T65" s="28">
        <f>S65/F17*100000</f>
        <v>0</v>
      </c>
      <c r="U65" s="71"/>
      <c r="V65" s="28">
        <f>U65/G17*100000</f>
        <v>0</v>
      </c>
      <c r="W65" s="61"/>
      <c r="X65" s="28">
        <f>W65/H17*100000</f>
        <v>0</v>
      </c>
      <c r="Y65" s="40">
        <f t="shared" ref="Y65:Z65" si="71">((M65+O65+Q65+S65)/1)</f>
        <v>0</v>
      </c>
      <c r="Z65" s="40">
        <f t="shared" si="71"/>
        <v>0</v>
      </c>
      <c r="AA65" s="13">
        <f t="shared" si="3"/>
        <v>0</v>
      </c>
      <c r="AB65" s="13">
        <f t="shared" si="4"/>
        <v>0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>
        <f>M66/C17*100000</f>
        <v>0</v>
      </c>
      <c r="O66" s="71"/>
      <c r="P66" s="28">
        <f>O66/D17*100000</f>
        <v>0</v>
      </c>
      <c r="Q66" s="71"/>
      <c r="R66" s="28">
        <f>Q66/E17*100000</f>
        <v>0</v>
      </c>
      <c r="S66" s="71"/>
      <c r="T66" s="28">
        <f>S66/F17*100000</f>
        <v>0</v>
      </c>
      <c r="U66" s="71"/>
      <c r="V66" s="28">
        <f>U66/G17*100000</f>
        <v>0</v>
      </c>
      <c r="W66" s="61"/>
      <c r="X66" s="28">
        <f>W66/H17*100000</f>
        <v>0</v>
      </c>
      <c r="Y66" s="40">
        <f t="shared" ref="Y66:Z66" si="72">((M66+O66+Q66+S66)/1)</f>
        <v>0</v>
      </c>
      <c r="Z66" s="40">
        <f t="shared" si="72"/>
        <v>0</v>
      </c>
      <c r="AA66" s="13">
        <f t="shared" si="3"/>
        <v>0</v>
      </c>
      <c r="AB66" s="13">
        <f t="shared" si="4"/>
        <v>0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>
        <f>M67/C17*100000</f>
        <v>0</v>
      </c>
      <c r="O67" s="71"/>
      <c r="P67" s="28">
        <f>O67/D17*100000</f>
        <v>0</v>
      </c>
      <c r="Q67" s="71"/>
      <c r="R67" s="28">
        <f>Q67/E17*100000</f>
        <v>0</v>
      </c>
      <c r="S67" s="71"/>
      <c r="T67" s="28">
        <f>S67/F17*100000</f>
        <v>0</v>
      </c>
      <c r="U67" s="71"/>
      <c r="V67" s="28">
        <f>U67/G17*100000</f>
        <v>0</v>
      </c>
      <c r="W67" s="61"/>
      <c r="X67" s="28">
        <f>W67/H17*100000</f>
        <v>0</v>
      </c>
      <c r="Y67" s="40">
        <f t="shared" ref="Y67:Z67" si="73">((M67+O67+Q67+S67)/1)</f>
        <v>0</v>
      </c>
      <c r="Z67" s="40">
        <f t="shared" si="73"/>
        <v>0</v>
      </c>
      <c r="AA67" s="13">
        <f t="shared" si="3"/>
        <v>0</v>
      </c>
      <c r="AB67" s="13">
        <f t="shared" si="4"/>
        <v>0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>
        <f>M68/C11*100000</f>
        <v>0</v>
      </c>
      <c r="O68" s="71"/>
      <c r="P68" s="28">
        <f>O68/D11*100000</f>
        <v>0</v>
      </c>
      <c r="Q68" s="71"/>
      <c r="R68" s="28">
        <f>Q68/E11*100000</f>
        <v>0</v>
      </c>
      <c r="S68" s="71"/>
      <c r="T68" s="28">
        <f>S68/F11*100000</f>
        <v>0</v>
      </c>
      <c r="U68" s="71"/>
      <c r="V68" s="28">
        <f>U68/G11*100000</f>
        <v>0</v>
      </c>
      <c r="W68" s="61"/>
      <c r="X68" s="28">
        <f>W68/H11*100000</f>
        <v>0</v>
      </c>
      <c r="Y68" s="40">
        <f t="shared" ref="Y68:Z68" si="74">((M68+O68+Q68+S68)/2)</f>
        <v>0</v>
      </c>
      <c r="Z68" s="40">
        <f t="shared" si="74"/>
        <v>0</v>
      </c>
      <c r="AA68" s="13">
        <f t="shared" si="3"/>
        <v>0</v>
      </c>
      <c r="AB68" s="13">
        <f t="shared" si="4"/>
        <v>0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>
        <f>M69/C11*100000</f>
        <v>0</v>
      </c>
      <c r="O69" s="71"/>
      <c r="P69" s="28">
        <f>O69/D11*100000</f>
        <v>0</v>
      </c>
      <c r="Q69" s="71"/>
      <c r="R69" s="28">
        <f>Q69/E11*100000</f>
        <v>0</v>
      </c>
      <c r="S69" s="71"/>
      <c r="T69" s="28">
        <f>S69/F11*100000</f>
        <v>0</v>
      </c>
      <c r="U69" s="71"/>
      <c r="V69" s="28">
        <f>U69/G11*100000</f>
        <v>0</v>
      </c>
      <c r="W69" s="61"/>
      <c r="X69" s="28">
        <f>W69/H11*100000</f>
        <v>0</v>
      </c>
      <c r="Y69" s="13">
        <f t="shared" ref="Y69:Z69" si="75">((M69+O69+Q69+S69)/2)</f>
        <v>0</v>
      </c>
      <c r="Z69" s="13">
        <f t="shared" si="75"/>
        <v>0</v>
      </c>
      <c r="AA69" s="13">
        <f t="shared" si="3"/>
        <v>0</v>
      </c>
      <c r="AB69" s="13">
        <f t="shared" si="4"/>
        <v>0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>
        <f>M70/C7*100000</f>
        <v>0</v>
      </c>
      <c r="O70" s="77"/>
      <c r="P70" s="39">
        <f>O70/D7*100000</f>
        <v>0</v>
      </c>
      <c r="Q70" s="77"/>
      <c r="R70" s="39">
        <f>Q70/E7*100000</f>
        <v>0</v>
      </c>
      <c r="S70" s="77"/>
      <c r="T70" s="39">
        <f>S70/F7*100000</f>
        <v>0</v>
      </c>
      <c r="U70" s="77"/>
      <c r="V70" s="39">
        <f>U70/G7*100000</f>
        <v>0</v>
      </c>
      <c r="W70" s="76"/>
      <c r="X70" s="39">
        <f>W70/H7*100000</f>
        <v>0</v>
      </c>
      <c r="Y70" s="40">
        <f t="shared" ref="Y70:Z70" si="76">((M70+O70+Q70+S70)/1)</f>
        <v>0</v>
      </c>
      <c r="Z70" s="40">
        <f t="shared" si="76"/>
        <v>0</v>
      </c>
      <c r="AA70" s="40">
        <f t="shared" si="3"/>
        <v>0</v>
      </c>
      <c r="AB70" s="40">
        <f t="shared" si="4"/>
        <v>0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4.43" defaultRowHeight="15.0"/>
  <cols>
    <col customWidth="1" min="1" max="1" width="4.29"/>
    <col customWidth="1" min="2" max="2" width="23.86"/>
    <col customWidth="1" min="3" max="3" width="15.14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37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8.25" customHeight="1">
      <c r="B1" s="1"/>
      <c r="C1" s="2" t="s">
        <v>141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142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>
        <v>147.0</v>
      </c>
      <c r="N3" s="13">
        <f>M3/C7*1000</f>
        <v>3.413920435</v>
      </c>
      <c r="O3" s="12">
        <v>248.0</v>
      </c>
      <c r="P3" s="13">
        <f>O3/D7*1000</f>
        <v>5.614670591</v>
      </c>
      <c r="Q3" s="47">
        <v>180.0</v>
      </c>
      <c r="R3" s="13">
        <f>Q3/E7*1000</f>
        <v>3.956826625</v>
      </c>
      <c r="S3" s="12">
        <v>130.0</v>
      </c>
      <c r="T3" s="13">
        <f>S3/F7*1000</f>
        <v>2.770791594</v>
      </c>
      <c r="U3" s="12">
        <v>166.0</v>
      </c>
      <c r="V3" s="13">
        <f>U3/G7*1000</f>
        <v>3.435572664</v>
      </c>
      <c r="W3" s="12">
        <v>80.0</v>
      </c>
      <c r="X3" s="13">
        <f>W3/H7*1000</f>
        <v>1.611538616</v>
      </c>
      <c r="Y3" s="13">
        <f t="shared" ref="Y3:Z3" si="1">((M3+O3+Q3+S3)/4)</f>
        <v>176.25</v>
      </c>
      <c r="Z3" s="13">
        <f t="shared" si="1"/>
        <v>3.939052311</v>
      </c>
      <c r="AA3" s="13">
        <f t="shared" ref="AA3:AA70" si="3">((S3+U3)/2)</f>
        <v>148</v>
      </c>
      <c r="AB3" s="13">
        <f t="shared" ref="AB3:AB70" si="4">(V3+X3)/2</f>
        <v>2.52355564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>
        <v>131.0</v>
      </c>
      <c r="N4" s="13">
        <f>M4/C7*1000</f>
        <v>3.042337258</v>
      </c>
      <c r="O4" s="12">
        <v>561.0</v>
      </c>
      <c r="P4" s="13">
        <f>O4/D7*1000</f>
        <v>12.70092823</v>
      </c>
      <c r="Q4" s="47">
        <v>689.0</v>
      </c>
      <c r="R4" s="13">
        <f>Q4/E7*1000</f>
        <v>15.14585303</v>
      </c>
      <c r="S4" s="12">
        <v>660.0</v>
      </c>
      <c r="T4" s="13">
        <f>S4/F7*1000</f>
        <v>14.06709578</v>
      </c>
      <c r="U4" s="12">
        <v>684.0</v>
      </c>
      <c r="V4" s="13">
        <f>U4/G7*1000</f>
        <v>14.15621508</v>
      </c>
      <c r="W4" s="12">
        <v>292.0</v>
      </c>
      <c r="X4" s="13">
        <f>W4/H7*1000</f>
        <v>5.88211595</v>
      </c>
      <c r="Y4" s="13">
        <f t="shared" ref="Y4:Z4" si="2">((M4+O4+Q4+S4)/4)</f>
        <v>510.25</v>
      </c>
      <c r="Z4" s="13">
        <f t="shared" si="2"/>
        <v>11.23905358</v>
      </c>
      <c r="AA4" s="13">
        <f t="shared" si="3"/>
        <v>672</v>
      </c>
      <c r="AB4" s="13">
        <f t="shared" si="4"/>
        <v>10.01916551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>
        <v>0.0</v>
      </c>
      <c r="N5" s="13">
        <f>M5/C12*100000</f>
        <v>0</v>
      </c>
      <c r="O5" s="12">
        <v>1.0</v>
      </c>
      <c r="P5" s="13">
        <f>O5/D12*100000</f>
        <v>178.2531194</v>
      </c>
      <c r="Q5" s="47">
        <v>0.0</v>
      </c>
      <c r="R5" s="13">
        <f>Q5/E12*100000</f>
        <v>0</v>
      </c>
      <c r="S5" s="12">
        <v>0.0</v>
      </c>
      <c r="T5" s="13">
        <f>S5/F12*100000</f>
        <v>0</v>
      </c>
      <c r="U5" s="12">
        <v>1.0</v>
      </c>
      <c r="V5" s="13">
        <f>U5/G12*100000</f>
        <v>146.1988304</v>
      </c>
      <c r="W5" s="12"/>
      <c r="X5" s="13" t="str">
        <f>W5/H12*100000</f>
        <v>#DIV/0!</v>
      </c>
      <c r="Y5" s="13">
        <f t="shared" ref="Y5:Z5" si="5">((M5+O5+Q5+S5)/4)</f>
        <v>0.25</v>
      </c>
      <c r="Z5" s="13">
        <f t="shared" si="5"/>
        <v>44.56327986</v>
      </c>
      <c r="AA5" s="13">
        <f t="shared" si="3"/>
        <v>0.5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>
        <f>M6/M4*1000</f>
        <v>0</v>
      </c>
      <c r="O6" s="12">
        <v>3.0</v>
      </c>
      <c r="P6" s="13">
        <f>O6/O4*1000</f>
        <v>5.347593583</v>
      </c>
      <c r="Q6" s="47"/>
      <c r="R6" s="13">
        <f>Q6/Q4*1000</f>
        <v>0</v>
      </c>
      <c r="S6" s="12"/>
      <c r="T6" s="13">
        <f>S6/S4*1000</f>
        <v>0</v>
      </c>
      <c r="U6" s="12"/>
      <c r="V6" s="13">
        <f>U6/U4*1000</f>
        <v>0</v>
      </c>
      <c r="W6" s="12"/>
      <c r="X6" s="13">
        <f>W6/W4*1000</f>
        <v>0</v>
      </c>
      <c r="Y6" s="13">
        <f t="shared" ref="Y6:Z6" si="6">((M6+O6+Q6+S6)/4)</f>
        <v>0.75</v>
      </c>
      <c r="Z6" s="13">
        <f t="shared" si="6"/>
        <v>1.336898396</v>
      </c>
      <c r="AA6" s="13">
        <f t="shared" si="3"/>
        <v>0</v>
      </c>
      <c r="AB6" s="13">
        <f t="shared" si="4"/>
        <v>0</v>
      </c>
      <c r="AC6" s="14" t="s">
        <v>22</v>
      </c>
    </row>
    <row r="7" ht="14.25" customHeight="1">
      <c r="A7" s="5"/>
      <c r="B7" s="55" t="s">
        <v>35</v>
      </c>
      <c r="C7" s="106">
        <v>43059.0</v>
      </c>
      <c r="D7" s="56">
        <v>44170.0</v>
      </c>
      <c r="E7" s="106">
        <v>45491.0</v>
      </c>
      <c r="F7" s="57">
        <v>46918.0</v>
      </c>
      <c r="G7" s="57">
        <v>48318.0</v>
      </c>
      <c r="H7" s="58">
        <v>49642.0</v>
      </c>
      <c r="I7" s="5"/>
      <c r="J7" s="5"/>
      <c r="K7" s="5"/>
      <c r="L7" s="11" t="s">
        <v>36</v>
      </c>
      <c r="M7" s="12"/>
      <c r="N7" s="59"/>
      <c r="O7" s="12"/>
      <c r="P7" s="59"/>
      <c r="Q7" s="47"/>
      <c r="R7" s="59"/>
      <c r="S7" s="12"/>
      <c r="T7" s="59"/>
      <c r="U7" s="12">
        <v>9.0</v>
      </c>
      <c r="V7" s="59">
        <f>4/859*1000</f>
        <v>4.656577416</v>
      </c>
      <c r="W7" s="12">
        <v>5.0</v>
      </c>
      <c r="X7" s="59">
        <f>4/376*1000</f>
        <v>10.63829787</v>
      </c>
      <c r="Y7" s="13">
        <f t="shared" ref="Y7:Z7" si="7">((M7+O7+Q7+S7)/4)</f>
        <v>0</v>
      </c>
      <c r="Z7" s="13">
        <f t="shared" si="7"/>
        <v>0</v>
      </c>
      <c r="AA7" s="13">
        <f t="shared" si="3"/>
        <v>4.5</v>
      </c>
      <c r="AB7" s="13">
        <f t="shared" si="4"/>
        <v>7.647437644</v>
      </c>
      <c r="AC7" s="14" t="s">
        <v>37</v>
      </c>
    </row>
    <row r="8" ht="14.25" customHeight="1">
      <c r="A8" s="5"/>
      <c r="B8" s="55" t="s">
        <v>38</v>
      </c>
      <c r="C8" s="57">
        <v>17417.0</v>
      </c>
      <c r="D8" s="57">
        <v>18785.0</v>
      </c>
      <c r="E8" s="57">
        <v>20092.0</v>
      </c>
      <c r="F8" s="57">
        <v>21399.0</v>
      </c>
      <c r="G8" s="57">
        <v>22581.0</v>
      </c>
      <c r="H8" s="58">
        <v>23653.0</v>
      </c>
      <c r="I8" s="5"/>
      <c r="J8" s="5"/>
      <c r="K8" s="5"/>
      <c r="L8" s="11" t="s">
        <v>39</v>
      </c>
      <c r="M8" s="12">
        <v>0.0</v>
      </c>
      <c r="N8" s="13">
        <f>M8/C15*1000</f>
        <v>0</v>
      </c>
      <c r="O8" s="12">
        <v>0.0</v>
      </c>
      <c r="P8" s="13">
        <f>O8/D15*1000</f>
        <v>0</v>
      </c>
      <c r="Q8" s="47">
        <v>0.0</v>
      </c>
      <c r="R8" s="13">
        <f>Q8/E15*1000</f>
        <v>0</v>
      </c>
      <c r="S8" s="12">
        <v>0.0</v>
      </c>
      <c r="T8" s="13">
        <f>S8/F15*1000</f>
        <v>0</v>
      </c>
      <c r="U8" s="12">
        <v>0.0</v>
      </c>
      <c r="V8" s="13">
        <f>U8/G15*1000</f>
        <v>0</v>
      </c>
      <c r="W8" s="12">
        <v>0.0</v>
      </c>
      <c r="X8" s="13">
        <f>W8/H15*1000</f>
        <v>0</v>
      </c>
      <c r="Y8" s="13">
        <f t="shared" ref="Y8:Z8" si="8">((M8+O8+Q8+S8)/4)</f>
        <v>0</v>
      </c>
      <c r="Z8" s="13">
        <f t="shared" si="8"/>
        <v>0</v>
      </c>
      <c r="AA8" s="13">
        <f t="shared" si="3"/>
        <v>0</v>
      </c>
      <c r="AB8" s="13">
        <f t="shared" si="4"/>
        <v>0</v>
      </c>
      <c r="AC8" s="14" t="s">
        <v>37</v>
      </c>
    </row>
    <row r="9" ht="14.25" customHeight="1">
      <c r="A9" s="5"/>
      <c r="B9" s="55" t="s">
        <v>40</v>
      </c>
      <c r="C9" s="57">
        <v>25642.0</v>
      </c>
      <c r="D9" s="57">
        <v>23385.0</v>
      </c>
      <c r="E9" s="57">
        <v>25399.0</v>
      </c>
      <c r="F9" s="57">
        <v>25519.0</v>
      </c>
      <c r="G9" s="57">
        <v>25737.0</v>
      </c>
      <c r="H9" s="58">
        <v>25989.0</v>
      </c>
      <c r="I9" s="5"/>
      <c r="J9" s="5"/>
      <c r="K9" s="5"/>
      <c r="L9" s="11" t="s">
        <v>41</v>
      </c>
      <c r="M9" s="12">
        <v>7.0</v>
      </c>
      <c r="N9" s="13">
        <f>M9/C7*100000</f>
        <v>16.25676398</v>
      </c>
      <c r="O9" s="12">
        <v>18.0</v>
      </c>
      <c r="P9" s="13">
        <f>O9/D7*100000</f>
        <v>40.75164139</v>
      </c>
      <c r="Q9" s="47">
        <v>21.0</v>
      </c>
      <c r="R9" s="13">
        <f>Q9/E7*100000</f>
        <v>46.16297729</v>
      </c>
      <c r="S9" s="12">
        <v>14.0</v>
      </c>
      <c r="T9" s="13">
        <f>S9/F7*100000</f>
        <v>29.83929409</v>
      </c>
      <c r="U9" s="12">
        <v>23.0</v>
      </c>
      <c r="V9" s="13">
        <f>U9/G7*100000</f>
        <v>47.601308</v>
      </c>
      <c r="W9" s="12"/>
      <c r="X9" s="13">
        <f>W9/H7*100000</f>
        <v>0</v>
      </c>
      <c r="Y9" s="13">
        <f t="shared" ref="Y9:Z9" si="9">((M9+O9+Q9+S9)/4)</f>
        <v>15</v>
      </c>
      <c r="Z9" s="13">
        <f t="shared" si="9"/>
        <v>33.25266919</v>
      </c>
      <c r="AA9" s="13">
        <f t="shared" si="3"/>
        <v>18.5</v>
      </c>
      <c r="AB9" s="13">
        <f t="shared" si="4"/>
        <v>23.800654</v>
      </c>
      <c r="AC9" s="14" t="s">
        <v>22</v>
      </c>
    </row>
    <row r="10" ht="14.25" customHeight="1">
      <c r="A10" s="5"/>
      <c r="B10" s="55" t="s">
        <v>42</v>
      </c>
      <c r="C10" s="57">
        <v>21398.0</v>
      </c>
      <c r="D10" s="57">
        <v>21979.0</v>
      </c>
      <c r="E10" s="57">
        <v>22673.0</v>
      </c>
      <c r="F10" s="107">
        <v>23413.0</v>
      </c>
      <c r="G10" s="53">
        <v>24134.0</v>
      </c>
      <c r="H10" s="58">
        <v>24820.0</v>
      </c>
      <c r="I10" s="5"/>
      <c r="J10" s="5"/>
      <c r="K10" s="5"/>
      <c r="L10" s="11" t="s">
        <v>43</v>
      </c>
      <c r="M10" s="12">
        <v>0.0</v>
      </c>
      <c r="N10" s="13">
        <f>M10/C15*100000</f>
        <v>0</v>
      </c>
      <c r="O10" s="12">
        <v>0.0</v>
      </c>
      <c r="P10" s="13">
        <f t="shared" ref="P10:P11" si="11">O10/D15*100000</f>
        <v>0</v>
      </c>
      <c r="Q10" s="47">
        <v>0.0</v>
      </c>
      <c r="R10" s="13">
        <f>Q10/E15*100000</f>
        <v>0</v>
      </c>
      <c r="S10" s="12">
        <v>0.0</v>
      </c>
      <c r="T10" s="13">
        <f>S10/F15*100000</f>
        <v>0</v>
      </c>
      <c r="U10" s="12">
        <v>0.0</v>
      </c>
      <c r="V10" s="13">
        <f>U10/G15*100000</f>
        <v>0</v>
      </c>
      <c r="W10" s="12">
        <v>1.0</v>
      </c>
      <c r="X10" s="13">
        <f>W10/H15*100000</f>
        <v>20.50861362</v>
      </c>
      <c r="Y10" s="13">
        <f t="shared" ref="Y10:Z10" si="10">((M10+O10+Q10+S10)/4)</f>
        <v>0</v>
      </c>
      <c r="Z10" s="13">
        <f t="shared" si="10"/>
        <v>0</v>
      </c>
      <c r="AA10" s="13">
        <f t="shared" si="3"/>
        <v>0</v>
      </c>
      <c r="AB10" s="13">
        <f t="shared" si="4"/>
        <v>10.25430681</v>
      </c>
      <c r="AC10" s="14" t="s">
        <v>22</v>
      </c>
    </row>
    <row r="11" ht="14.25" customHeight="1">
      <c r="A11" s="5"/>
      <c r="B11" s="55" t="s">
        <v>44</v>
      </c>
      <c r="C11" s="57">
        <v>21661.0</v>
      </c>
      <c r="D11" s="57">
        <v>22191.0</v>
      </c>
      <c r="E11" s="57">
        <v>22818.0</v>
      </c>
      <c r="F11" s="107">
        <v>23505.0</v>
      </c>
      <c r="G11" s="53">
        <v>24184.0</v>
      </c>
      <c r="H11" s="58">
        <v>24822.0</v>
      </c>
      <c r="I11" s="5"/>
      <c r="J11" s="5"/>
      <c r="K11" s="5"/>
      <c r="L11" s="11" t="s">
        <v>45</v>
      </c>
      <c r="M11" s="12">
        <v>0.0</v>
      </c>
      <c r="N11" s="13">
        <f>M11/C15*100000</f>
        <v>0</v>
      </c>
      <c r="O11" s="12">
        <v>0.0</v>
      </c>
      <c r="P11" s="13">
        <f t="shared" si="11"/>
        <v>0</v>
      </c>
      <c r="Q11" s="47">
        <v>0.0</v>
      </c>
      <c r="R11" s="13">
        <f>Q11/F16*100000</f>
        <v>0</v>
      </c>
      <c r="S11" s="12">
        <v>0.0</v>
      </c>
      <c r="T11" s="13">
        <f>S11/F15*100000</f>
        <v>0</v>
      </c>
      <c r="U11" s="12">
        <v>0.0</v>
      </c>
      <c r="V11" s="13">
        <f>U11/G15*100000</f>
        <v>0</v>
      </c>
      <c r="W11" s="12">
        <v>0.0</v>
      </c>
      <c r="X11" s="13">
        <f>W11/H15*100000</f>
        <v>0</v>
      </c>
      <c r="Y11" s="13">
        <f t="shared" ref="Y11:Z11" si="12">((M11+O11+Q11+S11)/4)</f>
        <v>0</v>
      </c>
      <c r="Z11" s="13">
        <f t="shared" si="12"/>
        <v>0</v>
      </c>
      <c r="AA11" s="13">
        <f t="shared" si="3"/>
        <v>0</v>
      </c>
      <c r="AB11" s="13">
        <f t="shared" si="4"/>
        <v>0</v>
      </c>
      <c r="AC11" s="14" t="s">
        <v>22</v>
      </c>
    </row>
    <row r="12" ht="14.25" customHeight="1">
      <c r="A12" s="5"/>
      <c r="B12" s="55" t="s">
        <v>46</v>
      </c>
      <c r="C12" s="53">
        <v>131.0</v>
      </c>
      <c r="D12" s="57">
        <v>561.0</v>
      </c>
      <c r="E12" s="53">
        <v>689.0</v>
      </c>
      <c r="F12" s="53">
        <v>660.0</v>
      </c>
      <c r="G12" s="57">
        <v>684.0</v>
      </c>
      <c r="H12" s="58">
        <v>0.0</v>
      </c>
      <c r="I12" s="5"/>
      <c r="J12" s="5"/>
      <c r="K12" s="5"/>
      <c r="L12" s="11" t="s">
        <v>47</v>
      </c>
      <c r="M12" s="12">
        <v>171.0</v>
      </c>
      <c r="N12" s="13">
        <f>M12/C7*100000</f>
        <v>397.12952</v>
      </c>
      <c r="O12" s="12">
        <v>311.0</v>
      </c>
      <c r="P12" s="13">
        <f>O12/D7*100000</f>
        <v>704.0978039</v>
      </c>
      <c r="Q12" s="47">
        <v>527.0</v>
      </c>
      <c r="R12" s="13">
        <f>Q12/E7*100000</f>
        <v>1158.470906</v>
      </c>
      <c r="S12" s="12">
        <v>598.0</v>
      </c>
      <c r="T12" s="13">
        <f>S12/F7*100000</f>
        <v>1274.564133</v>
      </c>
      <c r="U12" s="12">
        <v>590.0</v>
      </c>
      <c r="V12" s="13">
        <f>U12/G7*100000</f>
        <v>1221.077031</v>
      </c>
      <c r="W12" s="12"/>
      <c r="X12" s="13">
        <f>W12/H7*100000</f>
        <v>0</v>
      </c>
      <c r="Y12" s="13">
        <f t="shared" ref="Y12:Z12" si="13">((M12+O12+Q12+S12)/4)</f>
        <v>401.75</v>
      </c>
      <c r="Z12" s="13">
        <f t="shared" si="13"/>
        <v>883.5655909</v>
      </c>
      <c r="AA12" s="13">
        <f t="shared" si="3"/>
        <v>594</v>
      </c>
      <c r="AB12" s="13">
        <f t="shared" si="4"/>
        <v>610.5385157</v>
      </c>
      <c r="AC12" s="14" t="s">
        <v>48</v>
      </c>
    </row>
    <row r="13" ht="14.25" customHeight="1">
      <c r="A13" s="5"/>
      <c r="B13" s="55" t="s">
        <v>49</v>
      </c>
      <c r="C13" s="53">
        <v>147.0</v>
      </c>
      <c r="D13" s="57">
        <v>248.0</v>
      </c>
      <c r="E13" s="53">
        <v>180.0</v>
      </c>
      <c r="F13" s="53">
        <v>130.0</v>
      </c>
      <c r="G13" s="57">
        <v>166.0</v>
      </c>
      <c r="H13" s="58">
        <v>0.0</v>
      </c>
      <c r="I13" s="5"/>
      <c r="J13" s="5"/>
      <c r="K13" s="5"/>
      <c r="L13" s="11" t="s">
        <v>50</v>
      </c>
      <c r="M13" s="12">
        <v>147.0</v>
      </c>
      <c r="N13" s="13">
        <f>M13/C11*100000</f>
        <v>678.6390287</v>
      </c>
      <c r="O13" s="12">
        <v>260.0</v>
      </c>
      <c r="P13" s="13">
        <f>O13/D11*100000</f>
        <v>1171.646163</v>
      </c>
      <c r="Q13" s="47">
        <v>423.0</v>
      </c>
      <c r="R13" s="13">
        <f>Q13/E11*100000</f>
        <v>1853.799632</v>
      </c>
      <c r="S13" s="12">
        <v>476.0</v>
      </c>
      <c r="T13" s="13">
        <f>S13/F11*100000</f>
        <v>2025.101042</v>
      </c>
      <c r="U13" s="12">
        <v>474.0</v>
      </c>
      <c r="V13" s="13">
        <f>U13/G11*100000</f>
        <v>1959.973536</v>
      </c>
      <c r="W13" s="12">
        <v>141.0</v>
      </c>
      <c r="X13" s="13">
        <f>W13/H11*100000</f>
        <v>568.0444767</v>
      </c>
      <c r="Y13" s="13">
        <f t="shared" ref="Y13:Z13" si="14">((M13+O13+Q13+S13)/4)</f>
        <v>326.5</v>
      </c>
      <c r="Z13" s="13">
        <f t="shared" si="14"/>
        <v>1432.296466</v>
      </c>
      <c r="AA13" s="13">
        <f t="shared" si="3"/>
        <v>475</v>
      </c>
      <c r="AB13" s="13">
        <f t="shared" si="4"/>
        <v>1264.009006</v>
      </c>
      <c r="AC13" s="14" t="s">
        <v>48</v>
      </c>
    </row>
    <row r="14" ht="14.25" customHeight="1">
      <c r="A14" s="5"/>
      <c r="B14" s="55" t="s">
        <v>51</v>
      </c>
      <c r="C14" s="57">
        <v>1590.0</v>
      </c>
      <c r="D14" s="57">
        <v>1548.0</v>
      </c>
      <c r="E14" s="57">
        <v>1553.0</v>
      </c>
      <c r="F14" s="53">
        <v>158.0</v>
      </c>
      <c r="G14" s="57">
        <v>1577.0</v>
      </c>
      <c r="H14" s="58">
        <v>1598.0</v>
      </c>
      <c r="I14" s="5"/>
      <c r="J14" s="5"/>
      <c r="K14" s="5"/>
      <c r="L14" s="11" t="s">
        <v>52</v>
      </c>
      <c r="M14" s="12">
        <v>0.0</v>
      </c>
      <c r="N14" s="13">
        <f>M14/M4*1000</f>
        <v>0</v>
      </c>
      <c r="O14" s="12">
        <v>0.0</v>
      </c>
      <c r="P14" s="13">
        <f>O14/O4*1000</f>
        <v>0</v>
      </c>
      <c r="Q14" s="47">
        <v>0.0</v>
      </c>
      <c r="R14" s="13">
        <f>Q14/Q4*1000</f>
        <v>0</v>
      </c>
      <c r="S14" s="12">
        <v>0.0</v>
      </c>
      <c r="T14" s="13">
        <f>S14/S4*1000</f>
        <v>0</v>
      </c>
      <c r="U14" s="12">
        <v>0.0</v>
      </c>
      <c r="V14" s="13">
        <f>U14/U4*1000</f>
        <v>0</v>
      </c>
      <c r="W14" s="12"/>
      <c r="X14" s="13">
        <f>W14/W4*1000</f>
        <v>0</v>
      </c>
      <c r="Y14" s="13">
        <f t="shared" ref="Y14:Z14" si="15">((M14+O14+Q14+S14)/4)</f>
        <v>0</v>
      </c>
      <c r="Z14" s="13">
        <f t="shared" si="15"/>
        <v>0</v>
      </c>
      <c r="AA14" s="13">
        <f t="shared" si="3"/>
        <v>0</v>
      </c>
      <c r="AB14" s="13">
        <f t="shared" si="4"/>
        <v>0</v>
      </c>
      <c r="AC14" s="14" t="s">
        <v>22</v>
      </c>
    </row>
    <row r="15" ht="14.25" customHeight="1">
      <c r="A15" s="5"/>
      <c r="B15" s="55" t="s">
        <v>53</v>
      </c>
      <c r="C15" s="57">
        <v>4706.0</v>
      </c>
      <c r="D15" s="57">
        <v>4644.0</v>
      </c>
      <c r="E15" s="57">
        <v>4787.0</v>
      </c>
      <c r="F15" s="57">
        <v>4838.0</v>
      </c>
      <c r="G15" s="57">
        <v>4858.0</v>
      </c>
      <c r="H15" s="58">
        <v>4876.0</v>
      </c>
      <c r="I15" s="5"/>
      <c r="J15" s="5"/>
      <c r="K15" s="5"/>
      <c r="L15" s="11" t="s">
        <v>54</v>
      </c>
      <c r="M15" s="12">
        <v>6.0</v>
      </c>
      <c r="N15" s="13">
        <f>M15/C15*100000</f>
        <v>127.4968126</v>
      </c>
      <c r="O15" s="12">
        <v>7.0</v>
      </c>
      <c r="P15" s="13">
        <f>O15/D15*100000</f>
        <v>150.7321275</v>
      </c>
      <c r="Q15" s="47">
        <v>5.0</v>
      </c>
      <c r="R15" s="13">
        <f>Q15/E15*100000</f>
        <v>104.4495509</v>
      </c>
      <c r="S15" s="12">
        <v>2.0</v>
      </c>
      <c r="T15" s="13">
        <f>S15/F15*100000</f>
        <v>41.33939644</v>
      </c>
      <c r="U15" s="12">
        <v>5.0</v>
      </c>
      <c r="V15" s="13">
        <f>U15/G15*100000</f>
        <v>102.9230136</v>
      </c>
      <c r="W15" s="12"/>
      <c r="X15" s="13">
        <f>W15/H15*100000</f>
        <v>0</v>
      </c>
      <c r="Y15" s="13">
        <f t="shared" ref="Y15:Z15" si="16">((M15+O15+Q15+S15)/4)</f>
        <v>5</v>
      </c>
      <c r="Z15" s="13">
        <f t="shared" si="16"/>
        <v>106.0044718</v>
      </c>
      <c r="AA15" s="13">
        <f t="shared" si="3"/>
        <v>3.5</v>
      </c>
      <c r="AB15" s="13">
        <f t="shared" si="4"/>
        <v>51.46150679</v>
      </c>
      <c r="AC15" s="14" t="s">
        <v>22</v>
      </c>
    </row>
    <row r="16" ht="14.25" customHeight="1">
      <c r="A16" s="5"/>
      <c r="B16" s="55" t="s">
        <v>55</v>
      </c>
      <c r="C16" s="57">
        <v>35747.0</v>
      </c>
      <c r="D16" s="57">
        <v>43024.0</v>
      </c>
      <c r="E16" s="57">
        <v>34238.0</v>
      </c>
      <c r="F16" s="57">
        <v>33374.0</v>
      </c>
      <c r="G16" s="57">
        <v>36771.0</v>
      </c>
      <c r="H16" s="58">
        <v>37788.0</v>
      </c>
      <c r="I16" s="5"/>
      <c r="J16" s="5"/>
      <c r="K16" s="5"/>
      <c r="L16" s="11" t="s">
        <v>56</v>
      </c>
      <c r="M16" s="12"/>
      <c r="N16" s="13">
        <f>M16/M4*100</f>
        <v>0</v>
      </c>
      <c r="O16" s="12"/>
      <c r="P16" s="13">
        <f>O16/O4*100</f>
        <v>0</v>
      </c>
      <c r="Q16" s="47"/>
      <c r="R16" s="13">
        <f>Q16/Q4*100</f>
        <v>0</v>
      </c>
      <c r="S16" s="12"/>
      <c r="T16" s="13">
        <f>S16/S4*100</f>
        <v>0</v>
      </c>
      <c r="U16" s="12"/>
      <c r="V16" s="13">
        <f>U16/U4*100</f>
        <v>0</v>
      </c>
      <c r="W16" s="12"/>
      <c r="X16" s="13">
        <f>W16/W4*100</f>
        <v>0</v>
      </c>
      <c r="Y16" s="13">
        <f t="shared" ref="Y16:Z16" si="17">((M16+O16+Q16+S16)/4)</f>
        <v>0</v>
      </c>
      <c r="Z16" s="13">
        <f t="shared" si="17"/>
        <v>0</v>
      </c>
      <c r="AA16" s="13">
        <f t="shared" si="3"/>
        <v>0</v>
      </c>
      <c r="AB16" s="13">
        <f t="shared" si="4"/>
        <v>0</v>
      </c>
      <c r="AC16" s="14" t="s">
        <v>24</v>
      </c>
    </row>
    <row r="17" ht="14.25" customHeight="1">
      <c r="A17" s="5"/>
      <c r="B17" s="55" t="s">
        <v>57</v>
      </c>
      <c r="C17" s="57">
        <v>14497.0</v>
      </c>
      <c r="D17" s="57">
        <v>14648.0</v>
      </c>
      <c r="E17" s="57">
        <v>15804.0</v>
      </c>
      <c r="F17" s="57">
        <v>16058.0</v>
      </c>
      <c r="G17" s="108">
        <v>15476.0</v>
      </c>
      <c r="H17" s="108">
        <v>15713.0</v>
      </c>
      <c r="I17" s="5"/>
      <c r="J17" s="5"/>
      <c r="K17" s="5"/>
      <c r="L17" s="11" t="s">
        <v>58</v>
      </c>
      <c r="M17" s="12"/>
      <c r="N17" s="13">
        <f>M17/M4*100</f>
        <v>0</v>
      </c>
      <c r="O17" s="12"/>
      <c r="P17" s="13">
        <f>O17/O4*100</f>
        <v>0</v>
      </c>
      <c r="Q17" s="47"/>
      <c r="R17" s="13">
        <f>Q17/Q4*100</f>
        <v>0</v>
      </c>
      <c r="S17" s="12"/>
      <c r="T17" s="13">
        <f>S17/S4*100</f>
        <v>0</v>
      </c>
      <c r="U17" s="12"/>
      <c r="V17" s="13">
        <f>U17/U4*100</f>
        <v>0</v>
      </c>
      <c r="W17" s="12"/>
      <c r="X17" s="13">
        <f>W17/W4*100</f>
        <v>0</v>
      </c>
      <c r="Y17" s="13">
        <f t="shared" ref="Y17:Z17" si="18">((M17+O17+Q17+S17)/4)</f>
        <v>0</v>
      </c>
      <c r="Z17" s="13">
        <f t="shared" si="18"/>
        <v>0</v>
      </c>
      <c r="AA17" s="13">
        <f t="shared" si="3"/>
        <v>0</v>
      </c>
      <c r="AB17" s="13">
        <f t="shared" si="4"/>
        <v>0</v>
      </c>
      <c r="AC17" s="14" t="s">
        <v>24</v>
      </c>
    </row>
    <row r="18" ht="14.25" customHeight="1">
      <c r="A18" s="5"/>
      <c r="B18" s="55" t="s">
        <v>59</v>
      </c>
      <c r="C18" s="57">
        <v>42405.0</v>
      </c>
      <c r="D18" s="57">
        <v>52138.0</v>
      </c>
      <c r="E18" s="57">
        <v>43332.0</v>
      </c>
      <c r="F18" s="57">
        <v>44849.0</v>
      </c>
      <c r="G18" s="57">
        <v>47629.0</v>
      </c>
      <c r="H18" s="58">
        <v>47317.0</v>
      </c>
      <c r="I18" s="5"/>
      <c r="J18" s="5"/>
      <c r="K18" s="5"/>
      <c r="L18" s="11" t="s">
        <v>60</v>
      </c>
      <c r="M18" s="61"/>
      <c r="N18" s="28">
        <f>M18/C15*1000</f>
        <v>0</v>
      </c>
      <c r="O18" s="12"/>
      <c r="P18" s="28">
        <f>O18/D15*1000</f>
        <v>0</v>
      </c>
      <c r="Q18" s="47"/>
      <c r="R18" s="28">
        <f>Q18/E15*1000</f>
        <v>0</v>
      </c>
      <c r="S18" s="61"/>
      <c r="T18" s="28">
        <f>S18/F15*1000</f>
        <v>0</v>
      </c>
      <c r="U18" s="61"/>
      <c r="V18" s="28">
        <f>U18/G15*1000</f>
        <v>0</v>
      </c>
      <c r="W18" s="61"/>
      <c r="X18" s="28">
        <f>W18/H15*1000</f>
        <v>0</v>
      </c>
      <c r="Y18" s="13">
        <f t="shared" ref="Y18:Z18" si="19">((M18+O18+Q18+S18)/4)</f>
        <v>0</v>
      </c>
      <c r="Z18" s="13">
        <f t="shared" si="19"/>
        <v>0</v>
      </c>
      <c r="AA18" s="13">
        <f t="shared" si="3"/>
        <v>0</v>
      </c>
      <c r="AB18" s="13">
        <f t="shared" si="4"/>
        <v>0</v>
      </c>
      <c r="AC18" s="14" t="s">
        <v>48</v>
      </c>
    </row>
    <row r="19" ht="14.25" customHeight="1">
      <c r="A19" s="109"/>
      <c r="B19" s="55" t="s">
        <v>61</v>
      </c>
      <c r="C19" s="108">
        <v>26908.0</v>
      </c>
      <c r="D19" s="57">
        <v>37454.0</v>
      </c>
      <c r="E19" s="57">
        <v>28545.0</v>
      </c>
      <c r="F19" s="57">
        <v>29613.0</v>
      </c>
      <c r="G19" s="57">
        <v>33166.0</v>
      </c>
      <c r="H19" s="58">
        <v>31604.0</v>
      </c>
      <c r="I19" s="5"/>
      <c r="J19" s="5"/>
      <c r="K19" s="5"/>
      <c r="L19" s="11" t="s">
        <v>62</v>
      </c>
      <c r="M19" s="12"/>
      <c r="N19" s="13">
        <f>M19/M4*100</f>
        <v>0</v>
      </c>
      <c r="O19" s="12"/>
      <c r="P19" s="13">
        <f>O19/O4*100</f>
        <v>0</v>
      </c>
      <c r="Q19" s="47"/>
      <c r="R19" s="13">
        <f>Q19/Q4*100</f>
        <v>0</v>
      </c>
      <c r="S19" s="12"/>
      <c r="T19" s="13">
        <f>S19/S4*100</f>
        <v>0</v>
      </c>
      <c r="U19" s="12"/>
      <c r="V19" s="13">
        <f>U19/U4*100</f>
        <v>0</v>
      </c>
      <c r="W19" s="12"/>
      <c r="X19" s="13">
        <f>W19/W4*100</f>
        <v>0</v>
      </c>
      <c r="Y19" s="13">
        <f t="shared" ref="Y19:Z19" si="20">((M19+O19+Q19+S19)/4)</f>
        <v>0</v>
      </c>
      <c r="Z19" s="13">
        <f t="shared" si="20"/>
        <v>0</v>
      </c>
      <c r="AA19" s="13">
        <f t="shared" si="3"/>
        <v>0</v>
      </c>
      <c r="AB19" s="13">
        <f t="shared" si="4"/>
        <v>0</v>
      </c>
      <c r="AC19" s="14" t="s">
        <v>63</v>
      </c>
    </row>
    <row r="20" ht="14.25" customHeight="1">
      <c r="A20" s="5"/>
      <c r="B20" s="55" t="s">
        <v>64</v>
      </c>
      <c r="C20" s="57">
        <v>1662.0</v>
      </c>
      <c r="D20" s="57">
        <v>3434.0</v>
      </c>
      <c r="E20" s="57">
        <v>3493.0</v>
      </c>
      <c r="F20" s="57">
        <v>3573.0</v>
      </c>
      <c r="G20" s="57">
        <v>3660.0</v>
      </c>
      <c r="H20" s="58">
        <v>3750.0</v>
      </c>
      <c r="I20" s="5"/>
      <c r="J20" s="5"/>
      <c r="K20" s="5"/>
      <c r="L20" s="11" t="s">
        <v>65</v>
      </c>
      <c r="M20" s="12"/>
      <c r="N20" s="13">
        <f t="shared" ref="N20:N21" si="22">M20/C20*1000</f>
        <v>0</v>
      </c>
      <c r="O20" s="12"/>
      <c r="P20" s="13">
        <f t="shared" ref="P20:P21" si="23">O20/D20*1000</f>
        <v>0</v>
      </c>
      <c r="Q20" s="47">
        <v>2.0</v>
      </c>
      <c r="R20" s="13">
        <f>Q20/E20*1000</f>
        <v>0.5725737189</v>
      </c>
      <c r="S20" s="12">
        <v>1.0</v>
      </c>
      <c r="T20" s="13">
        <f t="shared" ref="T20:T21" si="24">S20/F20*1000</f>
        <v>0.2798768542</v>
      </c>
      <c r="U20" s="12">
        <v>3.0</v>
      </c>
      <c r="V20" s="13">
        <f t="shared" ref="V20:V21" si="25">U20/G20*1000</f>
        <v>0.8196721311</v>
      </c>
      <c r="W20" s="12">
        <v>1.0</v>
      </c>
      <c r="X20" s="13">
        <f t="shared" ref="X20:X21" si="26">W20/H20*1000</f>
        <v>0.2666666667</v>
      </c>
      <c r="Y20" s="13">
        <f t="shared" ref="Y20:Z20" si="21">((M20+O20+Q20+S20)/4)</f>
        <v>0.75</v>
      </c>
      <c r="Z20" s="13">
        <f t="shared" si="21"/>
        <v>0.2131126433</v>
      </c>
      <c r="AA20" s="13">
        <f t="shared" si="3"/>
        <v>2</v>
      </c>
      <c r="AB20" s="13">
        <f t="shared" si="4"/>
        <v>0.5431693989</v>
      </c>
      <c r="AC20" s="14" t="s">
        <v>63</v>
      </c>
    </row>
    <row r="21" ht="14.25" customHeight="1">
      <c r="A21" s="5"/>
      <c r="B21" s="55" t="s">
        <v>66</v>
      </c>
      <c r="C21" s="57">
        <v>1863.0</v>
      </c>
      <c r="D21" s="57">
        <v>3708.0</v>
      </c>
      <c r="E21" s="108">
        <v>3730.0</v>
      </c>
      <c r="F21" s="57">
        <v>3761.0</v>
      </c>
      <c r="G21" s="57">
        <v>3605.0</v>
      </c>
      <c r="H21" s="58">
        <v>4496.0</v>
      </c>
      <c r="I21" s="5"/>
      <c r="J21" s="5"/>
      <c r="K21" s="5"/>
      <c r="L21" s="11" t="s">
        <v>67</v>
      </c>
      <c r="M21" s="12"/>
      <c r="N21" s="13">
        <f t="shared" si="22"/>
        <v>0</v>
      </c>
      <c r="O21" s="12"/>
      <c r="P21" s="13">
        <f t="shared" si="23"/>
        <v>0</v>
      </c>
      <c r="Q21" s="47">
        <v>70.0</v>
      </c>
      <c r="R21" s="13">
        <f>Q21/D21*1000</f>
        <v>18.8781014</v>
      </c>
      <c r="S21" s="12">
        <v>77.0</v>
      </c>
      <c r="T21" s="13">
        <f t="shared" si="24"/>
        <v>20.47327838</v>
      </c>
      <c r="U21" s="12">
        <v>60.0</v>
      </c>
      <c r="V21" s="13">
        <f t="shared" si="25"/>
        <v>16.64355062</v>
      </c>
      <c r="W21" s="12">
        <v>56.0</v>
      </c>
      <c r="X21" s="13">
        <f t="shared" si="26"/>
        <v>12.45551601</v>
      </c>
      <c r="Y21" s="13">
        <f t="shared" ref="Y21:Z21" si="27">((M21+O21+Q21+S21)/4)</f>
        <v>36.75</v>
      </c>
      <c r="Z21" s="13">
        <f t="shared" si="27"/>
        <v>9.837844946</v>
      </c>
      <c r="AA21" s="13">
        <f t="shared" si="3"/>
        <v>68.5</v>
      </c>
      <c r="AB21" s="13">
        <f t="shared" si="4"/>
        <v>14.54953332</v>
      </c>
      <c r="AC21" s="14" t="s">
        <v>63</v>
      </c>
    </row>
    <row r="22" ht="14.25" customHeight="1">
      <c r="A22" s="85"/>
      <c r="B22" s="55" t="s">
        <v>68</v>
      </c>
      <c r="C22" s="108">
        <v>14171.0</v>
      </c>
      <c r="D22" s="57">
        <v>4644.0</v>
      </c>
      <c r="E22" s="57">
        <v>4787.0</v>
      </c>
      <c r="F22" s="57">
        <v>4838.0</v>
      </c>
      <c r="G22" s="57">
        <v>4858.0</v>
      </c>
      <c r="H22" s="58">
        <v>4876.0</v>
      </c>
      <c r="I22" s="5"/>
      <c r="J22" s="5"/>
      <c r="K22" s="5"/>
      <c r="L22" s="11" t="s">
        <v>69</v>
      </c>
      <c r="M22" s="61">
        <v>5.0</v>
      </c>
      <c r="N22" s="28">
        <f>M22/C7*100000</f>
        <v>11.61197427</v>
      </c>
      <c r="O22" s="12">
        <v>9.0</v>
      </c>
      <c r="P22" s="28">
        <f>O22/D7*100000</f>
        <v>20.37582069</v>
      </c>
      <c r="Q22" s="47">
        <v>13.0</v>
      </c>
      <c r="R22" s="28">
        <f>Q22/E7*100000</f>
        <v>28.57708118</v>
      </c>
      <c r="S22" s="61">
        <v>7.0</v>
      </c>
      <c r="T22" s="28">
        <f>S22/F7*100000</f>
        <v>14.91964704</v>
      </c>
      <c r="U22" s="61">
        <v>16.0</v>
      </c>
      <c r="V22" s="28">
        <f>U22/G7*100000</f>
        <v>33.11395339</v>
      </c>
      <c r="W22" s="61"/>
      <c r="X22" s="28">
        <f>W22/H7*100000</f>
        <v>0</v>
      </c>
      <c r="Y22" s="13">
        <f t="shared" ref="Y22:Z22" si="28">((M22+O22+Q22+S22)/4)</f>
        <v>8.5</v>
      </c>
      <c r="Z22" s="13">
        <f t="shared" si="28"/>
        <v>18.8711308</v>
      </c>
      <c r="AA22" s="13">
        <f t="shared" si="3"/>
        <v>11.5</v>
      </c>
      <c r="AB22" s="13">
        <f t="shared" si="4"/>
        <v>16.5569767</v>
      </c>
      <c r="AC22" s="14" t="s">
        <v>22</v>
      </c>
    </row>
    <row r="23" ht="14.25" customHeight="1">
      <c r="A23" s="5"/>
      <c r="B23" s="55" t="s">
        <v>70</v>
      </c>
      <c r="C23" s="110">
        <v>4706.0</v>
      </c>
      <c r="D23" s="57">
        <v>4272.0</v>
      </c>
      <c r="E23" s="57">
        <v>4377.0</v>
      </c>
      <c r="F23" s="57">
        <v>4507.0</v>
      </c>
      <c r="G23" s="57">
        <v>4636.0</v>
      </c>
      <c r="H23" s="58">
        <v>4759.0</v>
      </c>
      <c r="I23" s="5"/>
      <c r="J23" s="5"/>
      <c r="K23" s="5"/>
      <c r="L23" s="11" t="s">
        <v>71</v>
      </c>
      <c r="M23" s="61">
        <v>0.0</v>
      </c>
      <c r="N23" s="28">
        <f>M23/C7*100000</f>
        <v>0</v>
      </c>
      <c r="O23" s="12">
        <v>0.0</v>
      </c>
      <c r="P23" s="28">
        <f>O23/D7*100000</f>
        <v>0</v>
      </c>
      <c r="Q23" s="47">
        <v>0.0</v>
      </c>
      <c r="R23" s="28">
        <f>Q23/E7*100000</f>
        <v>0</v>
      </c>
      <c r="S23" s="61">
        <v>2.0</v>
      </c>
      <c r="T23" s="28">
        <f>S23/F7*100000</f>
        <v>4.262756298</v>
      </c>
      <c r="U23" s="61">
        <v>0.0</v>
      </c>
      <c r="V23" s="28">
        <f>U23/G7*100000</f>
        <v>0</v>
      </c>
      <c r="W23" s="61">
        <v>2.0</v>
      </c>
      <c r="X23" s="28">
        <f>W23/H7*100000</f>
        <v>4.028846541</v>
      </c>
      <c r="Y23" s="13">
        <f t="shared" ref="Y23:Z23" si="29">((M23+O23+Q23+S23)/4)</f>
        <v>0.5</v>
      </c>
      <c r="Z23" s="13">
        <f t="shared" si="29"/>
        <v>1.065689075</v>
      </c>
      <c r="AA23" s="13">
        <f t="shared" si="3"/>
        <v>1</v>
      </c>
      <c r="AB23" s="13">
        <f t="shared" si="4"/>
        <v>2.014423271</v>
      </c>
      <c r="AC23" s="14" t="s">
        <v>22</v>
      </c>
    </row>
    <row r="24" ht="14.25" customHeight="1">
      <c r="A24" s="5"/>
      <c r="B24" s="55" t="s">
        <v>72</v>
      </c>
      <c r="C24" s="57">
        <v>4207.0</v>
      </c>
      <c r="D24" s="57">
        <v>4233.0</v>
      </c>
      <c r="E24" s="57">
        <v>4281.0</v>
      </c>
      <c r="F24" s="57">
        <v>4343.0</v>
      </c>
      <c r="G24" s="57">
        <v>4422.0</v>
      </c>
      <c r="H24" s="58">
        <v>4507.0</v>
      </c>
      <c r="I24" s="5"/>
      <c r="J24" s="5"/>
      <c r="K24" s="5"/>
      <c r="L24" s="11" t="s">
        <v>73</v>
      </c>
      <c r="M24" s="61">
        <v>1.0</v>
      </c>
      <c r="N24" s="28">
        <f>M24/C7*100000</f>
        <v>2.322394854</v>
      </c>
      <c r="O24" s="12">
        <v>2.0</v>
      </c>
      <c r="P24" s="28">
        <f>O24/D7*100000</f>
        <v>4.527960154</v>
      </c>
      <c r="Q24" s="47">
        <v>1.0</v>
      </c>
      <c r="R24" s="28">
        <f>Q24/E7*100000</f>
        <v>2.198237014</v>
      </c>
      <c r="S24" s="61">
        <v>2.0</v>
      </c>
      <c r="T24" s="28">
        <f>S24/F7*100000</f>
        <v>4.262756298</v>
      </c>
      <c r="U24" s="61">
        <v>2.0</v>
      </c>
      <c r="V24" s="28">
        <f>U24/G7*100000</f>
        <v>4.139244174</v>
      </c>
      <c r="W24" s="61"/>
      <c r="X24" s="28">
        <f>W24/H7*100000</f>
        <v>0</v>
      </c>
      <c r="Y24" s="13">
        <f t="shared" ref="Y24:Z24" si="30">((M24+O24+Q24+S24)/4)</f>
        <v>1.5</v>
      </c>
      <c r="Z24" s="13">
        <f t="shared" si="30"/>
        <v>3.32783708</v>
      </c>
      <c r="AA24" s="13">
        <f t="shared" si="3"/>
        <v>2</v>
      </c>
      <c r="AB24" s="13">
        <f t="shared" si="4"/>
        <v>2.069622087</v>
      </c>
      <c r="AC24" s="14" t="s">
        <v>22</v>
      </c>
    </row>
    <row r="25" ht="14.25" customHeight="1">
      <c r="A25" s="5"/>
      <c r="B25" s="55" t="s">
        <v>74</v>
      </c>
      <c r="C25" s="57">
        <v>4050.0</v>
      </c>
      <c r="D25" s="57">
        <v>9654.0</v>
      </c>
      <c r="E25" s="57">
        <v>9845.0</v>
      </c>
      <c r="F25" s="57">
        <v>10014.0</v>
      </c>
      <c r="G25" s="57">
        <v>10143.0</v>
      </c>
      <c r="H25" s="58">
        <v>10226.0</v>
      </c>
      <c r="I25" s="5"/>
      <c r="J25" s="5"/>
      <c r="K25" s="5"/>
      <c r="L25" s="11" t="s">
        <v>75</v>
      </c>
      <c r="M25" s="61">
        <v>26.0</v>
      </c>
      <c r="N25" s="28">
        <f>M25/C7*100000</f>
        <v>60.38226619</v>
      </c>
      <c r="O25" s="12">
        <v>26.0</v>
      </c>
      <c r="P25" s="28">
        <f>O25/D7*100000</f>
        <v>58.863482</v>
      </c>
      <c r="Q25" s="47">
        <v>43.0</v>
      </c>
      <c r="R25" s="28">
        <f>Q25/E7*100000</f>
        <v>94.5241916</v>
      </c>
      <c r="S25" s="61">
        <v>50.0</v>
      </c>
      <c r="T25" s="28">
        <f>S25/F7*100000</f>
        <v>106.5689075</v>
      </c>
      <c r="U25" s="61">
        <v>33.0</v>
      </c>
      <c r="V25" s="28">
        <f>U25/G7*100000</f>
        <v>68.29752887</v>
      </c>
      <c r="W25" s="61">
        <v>10.0</v>
      </c>
      <c r="X25" s="28">
        <f>W25/H7*100000</f>
        <v>20.14423271</v>
      </c>
      <c r="Y25" s="13">
        <f t="shared" ref="Y25:Z25" si="31">((M25+O25+Q25+S25)/4)</f>
        <v>36.25</v>
      </c>
      <c r="Z25" s="13">
        <f t="shared" si="31"/>
        <v>80.08471181</v>
      </c>
      <c r="AA25" s="13">
        <f t="shared" si="3"/>
        <v>41.5</v>
      </c>
      <c r="AB25" s="13">
        <f t="shared" si="4"/>
        <v>44.22088079</v>
      </c>
      <c r="AC25" s="14" t="s">
        <v>48</v>
      </c>
    </row>
    <row r="26" ht="14.25" customHeight="1">
      <c r="A26" s="5"/>
      <c r="B26" s="55" t="s">
        <v>76</v>
      </c>
      <c r="C26" s="62">
        <v>17408.0</v>
      </c>
      <c r="D26" s="62">
        <v>27962.0</v>
      </c>
      <c r="E26" s="62">
        <v>18795.0</v>
      </c>
      <c r="F26" s="62">
        <v>19621.0</v>
      </c>
      <c r="G26" s="62">
        <v>20457.0</v>
      </c>
      <c r="H26" s="58">
        <v>21266.0</v>
      </c>
      <c r="I26" s="5"/>
      <c r="J26" s="5"/>
      <c r="K26" s="5"/>
      <c r="L26" s="11" t="s">
        <v>77</v>
      </c>
      <c r="M26" s="12"/>
      <c r="N26" s="13">
        <f>M26/C7*100000</f>
        <v>0</v>
      </c>
      <c r="O26" s="12"/>
      <c r="P26" s="13">
        <f>O26/D7*100000</f>
        <v>0</v>
      </c>
      <c r="Q26" s="47"/>
      <c r="R26" s="13">
        <f>Q26/E7*100000</f>
        <v>0</v>
      </c>
      <c r="S26" s="12"/>
      <c r="T26" s="13">
        <f>S26/F7*100000</f>
        <v>0</v>
      </c>
      <c r="U26" s="12"/>
      <c r="V26" s="13">
        <f>U26/G7*100000</f>
        <v>0</v>
      </c>
      <c r="W26" s="12"/>
      <c r="X26" s="13">
        <f>W26/H7*100000</f>
        <v>0</v>
      </c>
      <c r="Y26" s="13">
        <f t="shared" ref="Y26:Z26" si="32">((M26+O26+Q26+S26)/4)</f>
        <v>0</v>
      </c>
      <c r="Z26" s="13">
        <f t="shared" si="32"/>
        <v>0</v>
      </c>
      <c r="AA26" s="13">
        <f t="shared" si="3"/>
        <v>0</v>
      </c>
      <c r="AB26" s="13">
        <f t="shared" si="4"/>
        <v>0</v>
      </c>
      <c r="AC26" s="14" t="s">
        <v>22</v>
      </c>
    </row>
    <row r="27" ht="14.25" customHeight="1">
      <c r="A27" s="5"/>
      <c r="B27" s="63" t="s">
        <v>78</v>
      </c>
      <c r="C27" s="65">
        <v>6864.0</v>
      </c>
      <c r="D27" s="65">
        <v>3235.0</v>
      </c>
      <c r="E27" s="65">
        <v>3406.0</v>
      </c>
      <c r="F27" s="65">
        <v>3595.0</v>
      </c>
      <c r="G27" s="65">
        <v>3802.0</v>
      </c>
      <c r="H27" s="66">
        <v>4008.0</v>
      </c>
      <c r="I27" s="5"/>
      <c r="J27" s="5"/>
      <c r="K27" s="5"/>
      <c r="L27" s="11" t="s">
        <v>79</v>
      </c>
      <c r="M27" s="12">
        <v>1.0</v>
      </c>
      <c r="N27" s="13">
        <f>M27/C11*100000</f>
        <v>4.616592032</v>
      </c>
      <c r="O27" s="12">
        <v>1.0</v>
      </c>
      <c r="P27" s="13">
        <f>O27/D11*100000</f>
        <v>4.506331396</v>
      </c>
      <c r="Q27" s="47">
        <v>2.0</v>
      </c>
      <c r="R27" s="13">
        <f>Q27/E11*100000</f>
        <v>8.76501008</v>
      </c>
      <c r="S27" s="12">
        <v>3.0</v>
      </c>
      <c r="T27" s="13">
        <f>S27/F11*100000</f>
        <v>12.76324186</v>
      </c>
      <c r="U27" s="12">
        <v>2.0</v>
      </c>
      <c r="V27" s="13">
        <f>U27/G11*100000</f>
        <v>8.269930533</v>
      </c>
      <c r="W27" s="12"/>
      <c r="X27" s="13">
        <f>W27/H11*100000</f>
        <v>0</v>
      </c>
      <c r="Y27" s="13">
        <f t="shared" ref="Y27:Z27" si="33">((M27+O27+Q27+S27)/4)</f>
        <v>1.75</v>
      </c>
      <c r="Z27" s="13">
        <f t="shared" si="33"/>
        <v>7.662793843</v>
      </c>
      <c r="AA27" s="13">
        <f t="shared" si="3"/>
        <v>2.5</v>
      </c>
      <c r="AB27" s="13">
        <f t="shared" si="4"/>
        <v>4.134965266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>
        <v>0.0</v>
      </c>
      <c r="N28" s="13">
        <f>M28/C11*100000</f>
        <v>0</v>
      </c>
      <c r="O28" s="12">
        <v>2.0</v>
      </c>
      <c r="P28" s="13">
        <f>O28/D11*100000</f>
        <v>9.012662791</v>
      </c>
      <c r="Q28" s="47">
        <v>2.0</v>
      </c>
      <c r="R28" s="13">
        <f>Q28/E11*100000</f>
        <v>8.76501008</v>
      </c>
      <c r="S28" s="12">
        <v>4.0</v>
      </c>
      <c r="T28" s="13">
        <f>S28/F11*100000</f>
        <v>17.01765582</v>
      </c>
      <c r="U28" s="12">
        <v>7.0</v>
      </c>
      <c r="V28" s="13">
        <f>U28/G11*100000</f>
        <v>28.94475686</v>
      </c>
      <c r="W28" s="12"/>
      <c r="X28" s="13">
        <f>W28/H11*100000</f>
        <v>0</v>
      </c>
      <c r="Y28" s="13">
        <f t="shared" ref="Y28:Z28" si="34">((M28+O28+Q28+S28)/4)</f>
        <v>2</v>
      </c>
      <c r="Z28" s="13">
        <f t="shared" si="34"/>
        <v>8.698832172</v>
      </c>
      <c r="AA28" s="13">
        <f t="shared" si="3"/>
        <v>5.5</v>
      </c>
      <c r="AB28" s="13">
        <f t="shared" si="4"/>
        <v>14.47237843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>
        <v>2.0</v>
      </c>
      <c r="N29" s="13">
        <f>M29/C10*100000</f>
        <v>9.346667913</v>
      </c>
      <c r="O29" s="12">
        <v>1.0</v>
      </c>
      <c r="P29" s="13">
        <f>O29/D10*100000</f>
        <v>4.549797534</v>
      </c>
      <c r="Q29" s="47">
        <v>0.0</v>
      </c>
      <c r="R29" s="13">
        <f>Q29/E10*100000</f>
        <v>0</v>
      </c>
      <c r="S29" s="12">
        <v>2.0</v>
      </c>
      <c r="T29" s="13">
        <f>S29/F10*100000</f>
        <v>8.542262845</v>
      </c>
      <c r="U29" s="12">
        <v>5.0</v>
      </c>
      <c r="V29" s="13">
        <f>U29/G10*100000</f>
        <v>20.71765973</v>
      </c>
      <c r="W29" s="12"/>
      <c r="X29" s="13">
        <f>W29/H10*100000</f>
        <v>0</v>
      </c>
      <c r="Y29" s="13">
        <f t="shared" ref="Y29:Z29" si="35">((M29+O29+Q29+S29)/4)</f>
        <v>1.25</v>
      </c>
      <c r="Z29" s="13">
        <f t="shared" si="35"/>
        <v>5.609682073</v>
      </c>
      <c r="AA29" s="13">
        <f t="shared" si="3"/>
        <v>3.5</v>
      </c>
      <c r="AB29" s="13">
        <f t="shared" si="4"/>
        <v>10.35882987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>
        <v>30.0</v>
      </c>
      <c r="N30" s="13">
        <f>M30/C7*100000</f>
        <v>69.67184561</v>
      </c>
      <c r="O30" s="12">
        <v>80.0</v>
      </c>
      <c r="P30" s="13">
        <f>O30/D7*100000</f>
        <v>181.1184062</v>
      </c>
      <c r="Q30" s="47">
        <v>13.0</v>
      </c>
      <c r="R30" s="13">
        <f>Q30/E7*100000</f>
        <v>28.57708118</v>
      </c>
      <c r="S30" s="12">
        <v>6.0</v>
      </c>
      <c r="T30" s="13">
        <f>S30/F7*100000</f>
        <v>12.78826889</v>
      </c>
      <c r="U30" s="12">
        <v>8.0</v>
      </c>
      <c r="V30" s="13">
        <f>U30/G7*100000</f>
        <v>16.5569767</v>
      </c>
      <c r="W30" s="12"/>
      <c r="X30" s="13">
        <f>W30/H7*100000</f>
        <v>0</v>
      </c>
      <c r="Y30" s="13">
        <f t="shared" ref="Y30:Z30" si="36">((M30+O30+Q30+S30)/4)</f>
        <v>32.25</v>
      </c>
      <c r="Z30" s="13">
        <f t="shared" si="36"/>
        <v>73.03890046</v>
      </c>
      <c r="AA30" s="13">
        <f t="shared" si="3"/>
        <v>7</v>
      </c>
      <c r="AB30" s="13">
        <f t="shared" si="4"/>
        <v>8.278488348</v>
      </c>
      <c r="AC30" s="14" t="s">
        <v>22</v>
      </c>
    </row>
    <row r="31" ht="14.25" customHeight="1">
      <c r="A31" s="111"/>
      <c r="B31" s="32" t="s">
        <v>84</v>
      </c>
      <c r="C31" s="112">
        <v>4706.0</v>
      </c>
      <c r="D31" s="113">
        <v>4644.0</v>
      </c>
      <c r="E31" s="113">
        <v>4787.0</v>
      </c>
      <c r="F31" s="112">
        <v>4838.0</v>
      </c>
      <c r="G31" s="31">
        <v>4.858</v>
      </c>
      <c r="H31" s="113">
        <v>4876.0</v>
      </c>
      <c r="I31" s="5"/>
      <c r="J31" s="5"/>
      <c r="K31" s="5"/>
      <c r="L31" s="11" t="s">
        <v>85</v>
      </c>
      <c r="M31" s="12">
        <v>0.0</v>
      </c>
      <c r="N31" s="13">
        <f>M31/C7*100000</f>
        <v>0</v>
      </c>
      <c r="O31" s="12">
        <v>0.0</v>
      </c>
      <c r="P31" s="13">
        <f>O31/D7*100000</f>
        <v>0</v>
      </c>
      <c r="Q31" s="47">
        <v>0.0</v>
      </c>
      <c r="R31" s="13">
        <f>Q31/E7*100000</f>
        <v>0</v>
      </c>
      <c r="S31" s="12">
        <v>0.0</v>
      </c>
      <c r="T31" s="13">
        <f>S31/F7*100000</f>
        <v>0</v>
      </c>
      <c r="U31" s="12">
        <v>0.0</v>
      </c>
      <c r="V31" s="13">
        <f>U31/G7*100000</f>
        <v>0</v>
      </c>
      <c r="W31" s="12"/>
      <c r="X31" s="13">
        <f>W31/H7*100000</f>
        <v>0</v>
      </c>
      <c r="Y31" s="13">
        <f t="shared" ref="Y31:Z31" si="37">((M31+O31+Q31+S31)/4)</f>
        <v>0</v>
      </c>
      <c r="Z31" s="13">
        <f t="shared" si="37"/>
        <v>0</v>
      </c>
      <c r="AA31" s="13">
        <f t="shared" si="3"/>
        <v>0</v>
      </c>
      <c r="AB31" s="13">
        <f t="shared" si="4"/>
        <v>0</v>
      </c>
      <c r="AC31" s="14" t="s">
        <v>22</v>
      </c>
    </row>
    <row r="32" ht="14.25" customHeight="1">
      <c r="A32" s="111"/>
      <c r="B32" s="32" t="s">
        <v>86</v>
      </c>
      <c r="C32" s="113">
        <v>4207.0</v>
      </c>
      <c r="D32" s="112">
        <v>4272.0</v>
      </c>
      <c r="E32" s="112">
        <v>4377.0</v>
      </c>
      <c r="F32" s="113">
        <v>4507.0</v>
      </c>
      <c r="G32" s="113">
        <v>4636.0</v>
      </c>
      <c r="H32" s="113">
        <v>4759.0</v>
      </c>
      <c r="I32" s="5"/>
      <c r="J32" s="5"/>
      <c r="K32" s="5"/>
      <c r="L32" s="11" t="s">
        <v>87</v>
      </c>
      <c r="M32" s="61">
        <v>5.0</v>
      </c>
      <c r="N32" s="34">
        <f>M32/C7*100</f>
        <v>0.01161197427</v>
      </c>
      <c r="O32" s="12">
        <v>17.0</v>
      </c>
      <c r="P32" s="34">
        <f>O32/D7*100</f>
        <v>0.03848766131</v>
      </c>
      <c r="Q32" s="47">
        <v>18.0</v>
      </c>
      <c r="R32" s="34">
        <f>Q32/E7*100</f>
        <v>0.03956826625</v>
      </c>
      <c r="S32" s="61">
        <v>15.0</v>
      </c>
      <c r="T32" s="34">
        <f>S32/F7*100</f>
        <v>0.03197067224</v>
      </c>
      <c r="U32" s="61">
        <v>40.0</v>
      </c>
      <c r="V32" s="34">
        <f>U32/G7*100</f>
        <v>0.08278488348</v>
      </c>
      <c r="W32" s="61">
        <v>9.0</v>
      </c>
      <c r="X32" s="34">
        <f>W32/H7*100</f>
        <v>0.01812980944</v>
      </c>
      <c r="Y32" s="13">
        <f t="shared" ref="Y32:Z32" si="38">((M32+O32+Q32+S32)/4)</f>
        <v>13.75</v>
      </c>
      <c r="Z32" s="35">
        <f t="shared" si="38"/>
        <v>0.03040964352</v>
      </c>
      <c r="AA32" s="13">
        <f t="shared" si="3"/>
        <v>27.5</v>
      </c>
      <c r="AB32" s="13">
        <f t="shared" si="4"/>
        <v>0.05045734646</v>
      </c>
      <c r="AC32" s="14" t="s">
        <v>48</v>
      </c>
    </row>
    <row r="33" ht="14.25" customHeight="1">
      <c r="A33" s="5"/>
      <c r="B33" s="32" t="s">
        <v>88</v>
      </c>
      <c r="C33" s="113">
        <v>4050.0</v>
      </c>
      <c r="D33" s="113">
        <v>4233.0</v>
      </c>
      <c r="E33" s="113">
        <v>4281.0</v>
      </c>
      <c r="F33" s="113">
        <v>4343.0</v>
      </c>
      <c r="G33" s="113">
        <v>4422.0</v>
      </c>
      <c r="H33" s="113">
        <v>4507.0</v>
      </c>
      <c r="I33" s="5"/>
      <c r="J33" s="5"/>
      <c r="K33" s="5"/>
      <c r="L33" s="11" t="s">
        <v>89</v>
      </c>
      <c r="M33" s="12">
        <v>9333.0</v>
      </c>
      <c r="N33" s="13">
        <f>M33/C7*10000</f>
        <v>2167.491117</v>
      </c>
      <c r="O33" s="12">
        <v>5263.0</v>
      </c>
      <c r="P33" s="13">
        <f>O33/D7*10000</f>
        <v>1191.532715</v>
      </c>
      <c r="Q33" s="47">
        <v>9743.0</v>
      </c>
      <c r="R33" s="13">
        <f>Q33/E7*10000</f>
        <v>2141.742323</v>
      </c>
      <c r="S33" s="12">
        <v>9416.0</v>
      </c>
      <c r="T33" s="13">
        <f>S33/F7*10000</f>
        <v>2006.905665</v>
      </c>
      <c r="U33" s="12">
        <v>7422.0</v>
      </c>
      <c r="V33" s="13">
        <f>U33/G7*10000</f>
        <v>1536.073513</v>
      </c>
      <c r="W33" s="12">
        <v>4250.0</v>
      </c>
      <c r="X33" s="13">
        <f>W33/H7*10000</f>
        <v>856.12989</v>
      </c>
      <c r="Y33" s="13">
        <f t="shared" ref="Y33:Z33" si="39">((M33+O33+Q33+S33)/4)</f>
        <v>8438.75</v>
      </c>
      <c r="Z33" s="13">
        <f t="shared" si="39"/>
        <v>1876.917955</v>
      </c>
      <c r="AA33" s="13">
        <f t="shared" si="3"/>
        <v>8419</v>
      </c>
      <c r="AB33" s="13">
        <f t="shared" si="4"/>
        <v>1196.101701</v>
      </c>
      <c r="AC33" s="14" t="s">
        <v>48</v>
      </c>
    </row>
    <row r="34" ht="14.25" customHeight="1">
      <c r="A34" s="5"/>
      <c r="B34" s="32" t="s">
        <v>90</v>
      </c>
      <c r="C34" s="113">
        <v>9450.0</v>
      </c>
      <c r="D34" s="112">
        <v>9654.0</v>
      </c>
      <c r="E34" s="113">
        <v>9845.0</v>
      </c>
      <c r="F34" s="113">
        <v>10014.0</v>
      </c>
      <c r="G34" s="113">
        <v>10143.0</v>
      </c>
      <c r="H34" s="113">
        <v>10226.0</v>
      </c>
      <c r="I34" s="5"/>
      <c r="J34" s="5"/>
      <c r="K34" s="5"/>
      <c r="L34" s="11" t="s">
        <v>91</v>
      </c>
      <c r="M34" s="12">
        <v>2063.0</v>
      </c>
      <c r="N34" s="13">
        <f>M34/C7*10000</f>
        <v>479.1100583</v>
      </c>
      <c r="O34" s="12">
        <v>2378.0</v>
      </c>
      <c r="P34" s="13">
        <f>O34/D7*10000</f>
        <v>538.3744623</v>
      </c>
      <c r="Q34" s="47">
        <v>3272.0</v>
      </c>
      <c r="R34" s="13">
        <f>Q34/E7*10000</f>
        <v>719.263151</v>
      </c>
      <c r="S34" s="12">
        <v>3276.0</v>
      </c>
      <c r="T34" s="13">
        <f>S34/F7*10000</f>
        <v>698.2394816</v>
      </c>
      <c r="U34" s="12">
        <v>4775.0</v>
      </c>
      <c r="V34" s="13">
        <f>U34/G7*10000</f>
        <v>988.2445465</v>
      </c>
      <c r="W34" s="12">
        <v>2592.0</v>
      </c>
      <c r="X34" s="13">
        <f>W34/H7*10000</f>
        <v>522.1385117</v>
      </c>
      <c r="Y34" s="13">
        <f t="shared" ref="Y34:Z34" si="40">((M34+O34+Q34+S34)/4)</f>
        <v>2747.25</v>
      </c>
      <c r="Z34" s="13">
        <f t="shared" si="40"/>
        <v>608.7467883</v>
      </c>
      <c r="AA34" s="13">
        <f t="shared" si="3"/>
        <v>4025.5</v>
      </c>
      <c r="AB34" s="13">
        <f t="shared" si="4"/>
        <v>755.1915291</v>
      </c>
      <c r="AC34" s="14" t="s">
        <v>48</v>
      </c>
    </row>
    <row r="35" ht="14.25" customHeight="1">
      <c r="A35" s="114"/>
      <c r="B35" s="32" t="s">
        <v>92</v>
      </c>
      <c r="C35" s="113">
        <v>17408.0</v>
      </c>
      <c r="D35" s="112">
        <v>27962.0</v>
      </c>
      <c r="E35" s="113">
        <v>18795.0</v>
      </c>
      <c r="F35" s="113">
        <v>19621.0</v>
      </c>
      <c r="G35" s="113">
        <v>20457.0</v>
      </c>
      <c r="H35" s="113">
        <v>21266.0</v>
      </c>
      <c r="I35" s="5"/>
      <c r="J35" s="5"/>
      <c r="K35" s="5"/>
      <c r="L35" s="11" t="s">
        <v>93</v>
      </c>
      <c r="M35" s="12">
        <v>34.0</v>
      </c>
      <c r="N35" s="13">
        <f>M35/M4*1000</f>
        <v>259.5419847</v>
      </c>
      <c r="O35" s="12">
        <v>34.0</v>
      </c>
      <c r="P35" s="13">
        <f>O35/O4*1000</f>
        <v>60.60606061</v>
      </c>
      <c r="Q35" s="47">
        <v>55.0</v>
      </c>
      <c r="R35" s="13">
        <f>Q35/Q4*1000</f>
        <v>79.82583454</v>
      </c>
      <c r="S35" s="12">
        <v>40.0</v>
      </c>
      <c r="T35" s="13">
        <f>S35/S4*1000</f>
        <v>60.60606061</v>
      </c>
      <c r="U35" s="12">
        <v>46.0</v>
      </c>
      <c r="V35" s="13">
        <f>U35/U4*1000</f>
        <v>67.25146199</v>
      </c>
      <c r="W35" s="12">
        <v>29.0</v>
      </c>
      <c r="X35" s="13">
        <f>W35/W4*1000</f>
        <v>99.31506849</v>
      </c>
      <c r="Y35" s="13">
        <f t="shared" ref="Y35:Z35" si="41">((M35+O35+Q35+S35)/4)</f>
        <v>40.75</v>
      </c>
      <c r="Z35" s="13">
        <f t="shared" si="41"/>
        <v>115.1449851</v>
      </c>
      <c r="AA35" s="13">
        <f t="shared" si="3"/>
        <v>43</v>
      </c>
      <c r="AB35" s="13">
        <f t="shared" si="4"/>
        <v>83.28326524</v>
      </c>
      <c r="AC35" s="14" t="s">
        <v>48</v>
      </c>
    </row>
    <row r="36" ht="14.25" customHeight="1">
      <c r="A36" s="111"/>
      <c r="B36" s="32" t="s">
        <v>94</v>
      </c>
      <c r="C36" s="112">
        <v>6864.0</v>
      </c>
      <c r="D36" s="113">
        <v>3235.0</v>
      </c>
      <c r="E36" s="113">
        <v>3406.0</v>
      </c>
      <c r="F36" s="113">
        <v>3595.0</v>
      </c>
      <c r="G36" s="115">
        <v>3802.0</v>
      </c>
      <c r="H36" s="113">
        <v>4008.0</v>
      </c>
      <c r="I36" s="5"/>
      <c r="J36" s="5"/>
      <c r="K36" s="5"/>
      <c r="L36" s="11" t="s">
        <v>95</v>
      </c>
      <c r="M36" s="12">
        <v>6.0</v>
      </c>
      <c r="N36" s="13">
        <f>M36/M4*1000</f>
        <v>45.80152672</v>
      </c>
      <c r="O36" s="12">
        <v>3.0</v>
      </c>
      <c r="P36" s="13">
        <f>O36/O4*1000</f>
        <v>5.347593583</v>
      </c>
      <c r="Q36" s="47">
        <v>6.0</v>
      </c>
      <c r="R36" s="13">
        <f>Q36/Q4*1000</f>
        <v>8.708272859</v>
      </c>
      <c r="S36" s="12">
        <v>6.0</v>
      </c>
      <c r="T36" s="13">
        <f>S36/S4*1000</f>
        <v>9.090909091</v>
      </c>
      <c r="U36" s="12">
        <v>5.0</v>
      </c>
      <c r="V36" s="13">
        <f>U36/U4*1000</f>
        <v>7.30994152</v>
      </c>
      <c r="W36" s="12">
        <v>3.0</v>
      </c>
      <c r="X36" s="13">
        <f>W36/W4*1000</f>
        <v>10.2739726</v>
      </c>
      <c r="Y36" s="13">
        <f t="shared" ref="Y36:Z36" si="42">((M36+O36+Q36+S36)/4)</f>
        <v>5.25</v>
      </c>
      <c r="Z36" s="13">
        <f t="shared" si="42"/>
        <v>17.23707556</v>
      </c>
      <c r="AA36" s="13">
        <f t="shared" si="3"/>
        <v>5.5</v>
      </c>
      <c r="AB36" s="13">
        <f t="shared" si="4"/>
        <v>8.791957062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H37" s="5"/>
      <c r="I37" s="5"/>
      <c r="J37" s="5"/>
      <c r="K37" s="5"/>
      <c r="L37" s="11" t="s">
        <v>96</v>
      </c>
      <c r="M37" s="12">
        <v>0.0</v>
      </c>
      <c r="N37" s="59"/>
      <c r="O37" s="12">
        <v>1.0</v>
      </c>
      <c r="P37" s="59"/>
      <c r="Q37" s="47">
        <v>0.0</v>
      </c>
      <c r="R37" s="59"/>
      <c r="S37" s="12">
        <v>0.0</v>
      </c>
      <c r="T37" s="59"/>
      <c r="U37" s="12">
        <v>1.0</v>
      </c>
      <c r="V37" s="59">
        <f>U37/889*1000</f>
        <v>1.124859393</v>
      </c>
      <c r="W37" s="12">
        <v>1.0</v>
      </c>
      <c r="X37" s="59">
        <f>W37/387*1000</f>
        <v>2.583979328</v>
      </c>
      <c r="Y37" s="13">
        <f t="shared" ref="Y37:Z37" si="43">((M37+O37+Q37+S37)/4)</f>
        <v>0.25</v>
      </c>
      <c r="Z37" s="13">
        <f t="shared" si="43"/>
        <v>0</v>
      </c>
      <c r="AA37" s="13">
        <f t="shared" si="3"/>
        <v>0.5</v>
      </c>
      <c r="AB37" s="13">
        <f t="shared" si="4"/>
        <v>1.85441936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>
        <f>M38/C7*10000</f>
        <v>0</v>
      </c>
      <c r="O38" s="12"/>
      <c r="P38" s="13">
        <f>O38/E7*10000</f>
        <v>0</v>
      </c>
      <c r="Q38" s="47"/>
      <c r="R38" s="13">
        <f>Q38/E7*10000</f>
        <v>0</v>
      </c>
      <c r="S38" s="12"/>
      <c r="T38" s="13">
        <f>S38/F7*10000</f>
        <v>0</v>
      </c>
      <c r="U38" s="12"/>
      <c r="V38" s="13">
        <f>U38/G7*10000</f>
        <v>0</v>
      </c>
      <c r="W38" s="12"/>
      <c r="X38" s="13">
        <f>W38/H7*10000</f>
        <v>0</v>
      </c>
      <c r="Y38" s="13">
        <f t="shared" ref="Y38:Z38" si="44">((M38+O38+Q38+S38)/4)</f>
        <v>0</v>
      </c>
      <c r="Z38" s="13">
        <f t="shared" si="44"/>
        <v>0</v>
      </c>
      <c r="AA38" s="13">
        <f t="shared" si="3"/>
        <v>0</v>
      </c>
      <c r="AB38" s="13">
        <f t="shared" si="4"/>
        <v>0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>
        <f>M39/C17*10000</f>
        <v>0</v>
      </c>
      <c r="O39" s="12"/>
      <c r="P39" s="13">
        <f>O39/D17*10000</f>
        <v>0</v>
      </c>
      <c r="Q39" s="47"/>
      <c r="R39" s="13">
        <f>Q39/E17*100000</f>
        <v>0</v>
      </c>
      <c r="S39" s="12"/>
      <c r="T39" s="13">
        <f>S39/F17*100000</f>
        <v>0</v>
      </c>
      <c r="U39" s="12"/>
      <c r="V39" s="13">
        <f>U39/G17*100000</f>
        <v>0</v>
      </c>
      <c r="W39" s="12"/>
      <c r="X39" s="13">
        <f>W39/H17*100000</f>
        <v>0</v>
      </c>
      <c r="Y39" s="13">
        <f t="shared" ref="Y39:Z39" si="45">((M39+O39+Q39+S39)/4)</f>
        <v>0</v>
      </c>
      <c r="Z39" s="13">
        <f t="shared" si="45"/>
        <v>0</v>
      </c>
      <c r="AA39" s="13">
        <f t="shared" si="3"/>
        <v>0</v>
      </c>
      <c r="AB39" s="13">
        <f t="shared" si="4"/>
        <v>0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>
        <v>10.0</v>
      </c>
      <c r="N40" s="13">
        <f>M40/C7*100000</f>
        <v>23.22394854</v>
      </c>
      <c r="O40" s="12">
        <v>49.0</v>
      </c>
      <c r="P40" s="13">
        <f>O40/D7*100000</f>
        <v>110.9350238</v>
      </c>
      <c r="Q40" s="47">
        <v>112.0</v>
      </c>
      <c r="R40" s="13">
        <f>Q40/E7*100000</f>
        <v>246.2025456</v>
      </c>
      <c r="S40" s="12">
        <v>107.0</v>
      </c>
      <c r="T40" s="13">
        <f>S40/F7*100000</f>
        <v>228.057462</v>
      </c>
      <c r="U40" s="12">
        <v>130.0</v>
      </c>
      <c r="V40" s="13">
        <f>U40/G7*100000</f>
        <v>269.0508713</v>
      </c>
      <c r="W40" s="12"/>
      <c r="X40" s="13">
        <f>W40/H7*100000</f>
        <v>0</v>
      </c>
      <c r="Y40" s="13">
        <f t="shared" ref="Y40:Z40" si="46">((M40+O40+Q40+S40)/4)</f>
        <v>69.5</v>
      </c>
      <c r="Z40" s="13">
        <f t="shared" si="46"/>
        <v>152.104745</v>
      </c>
      <c r="AA40" s="13">
        <f t="shared" si="3"/>
        <v>118.5</v>
      </c>
      <c r="AB40" s="13">
        <f t="shared" si="4"/>
        <v>134.5254357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>
        <f>M41/C7*10000</f>
        <v>0</v>
      </c>
      <c r="O41" s="12"/>
      <c r="P41" s="28">
        <f>O41/D7*10000</f>
        <v>0</v>
      </c>
      <c r="Q41" s="47"/>
      <c r="R41" s="28">
        <f>Q41/E7*10000</f>
        <v>0</v>
      </c>
      <c r="S41" s="61"/>
      <c r="T41" s="28">
        <f>S41/F7*10000</f>
        <v>0</v>
      </c>
      <c r="U41" s="61"/>
      <c r="V41" s="28">
        <f>U41/G7*10000</f>
        <v>0</v>
      </c>
      <c r="W41" s="61"/>
      <c r="X41" s="28">
        <f>W41/H7*10000</f>
        <v>0</v>
      </c>
      <c r="Y41" s="13">
        <f t="shared" ref="Y41:Z41" si="47">((M41+O41+Q41+S41)/4)</f>
        <v>0</v>
      </c>
      <c r="Z41" s="13">
        <f t="shared" si="47"/>
        <v>0</v>
      </c>
      <c r="AA41" s="13">
        <f t="shared" si="3"/>
        <v>0</v>
      </c>
      <c r="AB41" s="13">
        <f t="shared" si="4"/>
        <v>0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>
        <v>47.0</v>
      </c>
      <c r="N42" s="28">
        <f>M42/C7*10000</f>
        <v>10.91525581</v>
      </c>
      <c r="O42" s="12">
        <v>16.0</v>
      </c>
      <c r="P42" s="28">
        <f>O42/D7*10000</f>
        <v>3.622368123</v>
      </c>
      <c r="Q42" s="47">
        <v>48.0</v>
      </c>
      <c r="R42" s="28">
        <f>Q42/E7*10000</f>
        <v>10.55153767</v>
      </c>
      <c r="S42" s="61">
        <v>85.0</v>
      </c>
      <c r="T42" s="28">
        <f>S42/F7*10000</f>
        <v>18.11671427</v>
      </c>
      <c r="U42" s="61">
        <v>46.0</v>
      </c>
      <c r="V42" s="28">
        <f>U42/G7*10000</f>
        <v>9.5202616</v>
      </c>
      <c r="W42" s="61">
        <v>33.0</v>
      </c>
      <c r="X42" s="28">
        <f>W42/H7*10000</f>
        <v>6.647596793</v>
      </c>
      <c r="Y42" s="13">
        <f t="shared" ref="Y42:Z42" si="48">((M42+O42+Q42+S42)/4)</f>
        <v>49</v>
      </c>
      <c r="Z42" s="13">
        <f t="shared" si="48"/>
        <v>10.80146897</v>
      </c>
      <c r="AA42" s="13">
        <f t="shared" si="3"/>
        <v>65.5</v>
      </c>
      <c r="AB42" s="13">
        <f t="shared" si="4"/>
        <v>8.083929197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>
        <f>M43/C16*10000</f>
        <v>0</v>
      </c>
      <c r="O43" s="12"/>
      <c r="P43" s="28">
        <f>O43/D16*10000</f>
        <v>0</v>
      </c>
      <c r="Q43" s="47"/>
      <c r="R43" s="28">
        <f>Q43/E16*100000</f>
        <v>0</v>
      </c>
      <c r="S43" s="61"/>
      <c r="T43" s="28">
        <f>S43/F16*100000</f>
        <v>0</v>
      </c>
      <c r="U43" s="61"/>
      <c r="V43" s="28">
        <f>U43/G16*100000</f>
        <v>0</v>
      </c>
      <c r="W43" s="61"/>
      <c r="X43" s="28">
        <f>W43/H16*100000</f>
        <v>0</v>
      </c>
      <c r="Y43" s="13">
        <f t="shared" ref="Y43:Z43" si="49">((M43+O43+Q43+S43)/4)</f>
        <v>0</v>
      </c>
      <c r="Z43" s="13">
        <f t="shared" si="49"/>
        <v>0</v>
      </c>
      <c r="AA43" s="13">
        <f t="shared" si="3"/>
        <v>0</v>
      </c>
      <c r="AB43" s="13">
        <f t="shared" si="4"/>
        <v>0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>
        <v>43.0</v>
      </c>
      <c r="N44" s="28">
        <f>M44/C7*100000</f>
        <v>99.8629787</v>
      </c>
      <c r="O44" s="12">
        <v>44.0</v>
      </c>
      <c r="P44" s="28">
        <f>O44/D7*100000</f>
        <v>99.61512339</v>
      </c>
      <c r="Q44" s="12">
        <v>53.0</v>
      </c>
      <c r="R44" s="13">
        <f>Q44/E7*100000</f>
        <v>116.5065617</v>
      </c>
      <c r="S44" s="12">
        <v>26.0</v>
      </c>
      <c r="T44" s="13">
        <f>S44/F7*100000</f>
        <v>55.41583188</v>
      </c>
      <c r="U44" s="12">
        <v>42.0</v>
      </c>
      <c r="V44" s="13">
        <f>U44/G7*100000</f>
        <v>86.92412765</v>
      </c>
      <c r="W44" s="12"/>
      <c r="X44" s="13">
        <f>W44/H7*100000</f>
        <v>0</v>
      </c>
      <c r="Y44" s="13">
        <f t="shared" ref="Y44:Z44" si="50">((M44+O44+Q44+S44)/4)</f>
        <v>41.5</v>
      </c>
      <c r="Z44" s="13">
        <f t="shared" si="50"/>
        <v>92.85012393</v>
      </c>
      <c r="AA44" s="13">
        <f t="shared" si="3"/>
        <v>34</v>
      </c>
      <c r="AB44" s="13">
        <f t="shared" si="4"/>
        <v>43.46206383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>
        <f>M45/M4*100</f>
        <v>0</v>
      </c>
      <c r="O45" s="12"/>
      <c r="P45" s="28">
        <f>O45/O4*100</f>
        <v>0</v>
      </c>
      <c r="Q45" s="12"/>
      <c r="R45" s="13">
        <f>Q45/Q4*100</f>
        <v>0</v>
      </c>
      <c r="S45" s="12"/>
      <c r="T45" s="13">
        <f>S45/S4*100</f>
        <v>0</v>
      </c>
      <c r="U45" s="12"/>
      <c r="V45" s="13">
        <f>U45/U4*100</f>
        <v>0</v>
      </c>
      <c r="W45" s="12"/>
      <c r="X45" s="13">
        <f>W45/W4*100</f>
        <v>0</v>
      </c>
      <c r="Y45" s="13">
        <f t="shared" ref="Y45:Z45" si="51">((M45+O45+Q45+S45)/4)</f>
        <v>0</v>
      </c>
      <c r="Z45" s="13">
        <f t="shared" si="51"/>
        <v>0</v>
      </c>
      <c r="AA45" s="13">
        <f t="shared" si="3"/>
        <v>0</v>
      </c>
      <c r="AB45" s="13">
        <f t="shared" si="4"/>
        <v>0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>
        <f>M46/M4*100</f>
        <v>0</v>
      </c>
      <c r="O46" s="12"/>
      <c r="P46" s="28">
        <f>O46/O4*100</f>
        <v>0</v>
      </c>
      <c r="Q46" s="12"/>
      <c r="R46" s="13">
        <f>Q46/Q4*100</f>
        <v>0</v>
      </c>
      <c r="S46" s="12"/>
      <c r="T46" s="13">
        <f>S46/S4*100</f>
        <v>0</v>
      </c>
      <c r="U46" s="12"/>
      <c r="V46" s="13">
        <f>U46/U4*100</f>
        <v>0</v>
      </c>
      <c r="W46" s="12"/>
      <c r="X46" s="13">
        <f>W46/W4*100</f>
        <v>0</v>
      </c>
      <c r="Y46" s="13">
        <f t="shared" ref="Y46:Z46" si="52">((M46+O46+Q46+S46)/4)</f>
        <v>0</v>
      </c>
      <c r="Z46" s="13">
        <f t="shared" si="52"/>
        <v>0</v>
      </c>
      <c r="AA46" s="13">
        <f t="shared" si="3"/>
        <v>0</v>
      </c>
      <c r="AB46" s="13">
        <f t="shared" si="4"/>
        <v>0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>
        <v>12.0</v>
      </c>
      <c r="N47" s="13">
        <f>M47/C7*100000</f>
        <v>27.86873824</v>
      </c>
      <c r="O47" s="47">
        <v>11.0</v>
      </c>
      <c r="P47" s="13">
        <f>O47/D7*100000</f>
        <v>24.90378085</v>
      </c>
      <c r="Q47" s="47">
        <v>11.0</v>
      </c>
      <c r="R47" s="13">
        <f>Q47/E7*100000</f>
        <v>24.18060715</v>
      </c>
      <c r="S47" s="12">
        <v>19.0</v>
      </c>
      <c r="T47" s="13">
        <f>S47/F7*100000</f>
        <v>40.49618483</v>
      </c>
      <c r="U47" s="12"/>
      <c r="V47" s="13">
        <f>U47/G7*100000</f>
        <v>0</v>
      </c>
      <c r="W47" s="12"/>
      <c r="X47" s="13">
        <f>W47/H7*100000</f>
        <v>0</v>
      </c>
      <c r="Y47" s="13">
        <f t="shared" ref="Y47:Z47" si="53">((M47+O47+Q47+S47)/4)</f>
        <v>13.25</v>
      </c>
      <c r="Z47" s="13">
        <f t="shared" si="53"/>
        <v>29.36232777</v>
      </c>
      <c r="AA47" s="13">
        <f t="shared" si="3"/>
        <v>9.5</v>
      </c>
      <c r="AB47" s="13">
        <f t="shared" si="4"/>
        <v>0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>
        <v>5.0</v>
      </c>
      <c r="N48" s="13">
        <f>M48/C7*100000</f>
        <v>11.61197427</v>
      </c>
      <c r="O48" s="12">
        <v>8.0</v>
      </c>
      <c r="P48" s="13">
        <f>O48/D7*100000</f>
        <v>18.11184062</v>
      </c>
      <c r="Q48" s="47">
        <v>6.0</v>
      </c>
      <c r="R48" s="13">
        <f>Q48/E7*100000</f>
        <v>13.18942208</v>
      </c>
      <c r="S48" s="12">
        <v>5.0</v>
      </c>
      <c r="T48" s="13">
        <f>S48/F7*100000</f>
        <v>10.65689075</v>
      </c>
      <c r="U48" s="12">
        <v>7.0</v>
      </c>
      <c r="V48" s="13">
        <f>U48/G7*100000</f>
        <v>14.48735461</v>
      </c>
      <c r="W48" s="12"/>
      <c r="X48" s="13">
        <f>W48/H7*100000</f>
        <v>0</v>
      </c>
      <c r="Y48" s="13">
        <f t="shared" ref="Y48:Z48" si="54">((M48+O48+Q48+S48)/4)</f>
        <v>6</v>
      </c>
      <c r="Z48" s="13">
        <f t="shared" si="54"/>
        <v>13.39253193</v>
      </c>
      <c r="AA48" s="13">
        <f t="shared" si="3"/>
        <v>6</v>
      </c>
      <c r="AB48" s="13">
        <f t="shared" si="4"/>
        <v>7.243677305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>
        <v>6.0</v>
      </c>
      <c r="N49" s="13">
        <f>M49/C7*100000</f>
        <v>13.93436912</v>
      </c>
      <c r="O49" s="12">
        <v>3.0</v>
      </c>
      <c r="P49" s="13">
        <f>O49/D7*100000</f>
        <v>6.791940231</v>
      </c>
      <c r="Q49" s="47">
        <v>3.0</v>
      </c>
      <c r="R49" s="13">
        <f>Q49/E7*100000</f>
        <v>6.594711042</v>
      </c>
      <c r="S49" s="12">
        <v>1.0</v>
      </c>
      <c r="T49" s="13">
        <f>S49/F7*100000</f>
        <v>2.131378149</v>
      </c>
      <c r="U49" s="12">
        <v>2.0</v>
      </c>
      <c r="V49" s="13">
        <f>U49/G7*100000</f>
        <v>4.139244174</v>
      </c>
      <c r="W49" s="12"/>
      <c r="X49" s="13">
        <f>W49/H7*100000</f>
        <v>0</v>
      </c>
      <c r="Y49" s="13">
        <f t="shared" ref="Y49:Z49" si="55">((M49+O49+Q49+S49)/4)</f>
        <v>3.25</v>
      </c>
      <c r="Z49" s="13">
        <f t="shared" si="55"/>
        <v>7.363099636</v>
      </c>
      <c r="AA49" s="13">
        <f t="shared" si="3"/>
        <v>1.5</v>
      </c>
      <c r="AB49" s="13">
        <f t="shared" si="4"/>
        <v>2.069622087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>
        <f>M50/C7*100000</f>
        <v>0</v>
      </c>
      <c r="O50" s="47"/>
      <c r="P50" s="13">
        <f>O50/D7*100000</f>
        <v>0</v>
      </c>
      <c r="Q50" s="47"/>
      <c r="R50" s="13">
        <f>Q50/E7*100000</f>
        <v>0</v>
      </c>
      <c r="S50" s="12"/>
      <c r="T50" s="13">
        <f>S50/F7*100000</f>
        <v>0</v>
      </c>
      <c r="U50" s="12"/>
      <c r="V50" s="13">
        <f>U50/G7*100000</f>
        <v>0</v>
      </c>
      <c r="W50" s="12"/>
      <c r="X50" s="13">
        <f>W50/H7*100000</f>
        <v>0</v>
      </c>
      <c r="Y50" s="13">
        <f t="shared" ref="Y50:Z50" si="56">((M50+O50+Q50+S50)/4)</f>
        <v>0</v>
      </c>
      <c r="Z50" s="13">
        <f t="shared" si="56"/>
        <v>0</v>
      </c>
      <c r="AA50" s="13">
        <f t="shared" si="3"/>
        <v>0</v>
      </c>
      <c r="AB50" s="13">
        <f t="shared" si="4"/>
        <v>0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>
        <v>0.0</v>
      </c>
      <c r="N51" s="13">
        <f>M51/C7*100000</f>
        <v>0</v>
      </c>
      <c r="O51" s="47">
        <v>0.0</v>
      </c>
      <c r="P51" s="13">
        <f>O51/D7*100000</f>
        <v>0</v>
      </c>
      <c r="Q51" s="47">
        <v>0.0</v>
      </c>
      <c r="R51" s="13">
        <f>Q51/E7*100000</f>
        <v>0</v>
      </c>
      <c r="S51" s="12">
        <v>0.0</v>
      </c>
      <c r="T51" s="13">
        <f>S51/F7*100000</f>
        <v>0</v>
      </c>
      <c r="U51" s="12">
        <v>0.0</v>
      </c>
      <c r="V51" s="13">
        <f>U51/G7*100000</f>
        <v>0</v>
      </c>
      <c r="W51" s="12">
        <v>0.0</v>
      </c>
      <c r="X51" s="13">
        <f>W51/H7*100000</f>
        <v>0</v>
      </c>
      <c r="Y51" s="13">
        <f t="shared" ref="Y51:Z51" si="57">((M51+O51+Q51+S51)/4)</f>
        <v>0</v>
      </c>
      <c r="Z51" s="13">
        <f t="shared" si="57"/>
        <v>0</v>
      </c>
      <c r="AA51" s="13">
        <f t="shared" si="3"/>
        <v>0</v>
      </c>
      <c r="AB51" s="13">
        <f t="shared" si="4"/>
        <v>0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>
        <v>5.0</v>
      </c>
      <c r="N52" s="13">
        <f>M52/C7*100000</f>
        <v>11.61197427</v>
      </c>
      <c r="O52" s="47">
        <v>3.0</v>
      </c>
      <c r="P52" s="13">
        <f>O52/D7*100000</f>
        <v>6.791940231</v>
      </c>
      <c r="Q52" s="47">
        <v>3.0</v>
      </c>
      <c r="R52" s="13">
        <f>Q52/E7*100000</f>
        <v>6.594711042</v>
      </c>
      <c r="S52" s="12">
        <v>3.0</v>
      </c>
      <c r="T52" s="13">
        <f>S52/F7*100000</f>
        <v>6.394134447</v>
      </c>
      <c r="U52" s="12">
        <v>3.0</v>
      </c>
      <c r="V52" s="13">
        <f>U52/G7*100000</f>
        <v>6.208866261</v>
      </c>
      <c r="W52" s="12">
        <v>1.0</v>
      </c>
      <c r="X52" s="13">
        <f>W52/H7*100000</f>
        <v>2.014423271</v>
      </c>
      <c r="Y52" s="13">
        <f t="shared" ref="Y52:Z52" si="58">((M52+O52+Q52+S52)/4)</f>
        <v>3.5</v>
      </c>
      <c r="Z52" s="13">
        <f t="shared" si="58"/>
        <v>7.848189997</v>
      </c>
      <c r="AA52" s="13">
        <f t="shared" si="3"/>
        <v>3</v>
      </c>
      <c r="AB52" s="13">
        <f t="shared" si="4"/>
        <v>4.111644766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>
        <f>M53/C17*100000</f>
        <v>0</v>
      </c>
      <c r="O53" s="47"/>
      <c r="P53" s="13">
        <f>O53/D17*100000</f>
        <v>0</v>
      </c>
      <c r="Q53" s="47"/>
      <c r="R53" s="13">
        <f>Q53/E17*100000</f>
        <v>0</v>
      </c>
      <c r="S53" s="12"/>
      <c r="T53" s="13">
        <f>S53/F17*100000</f>
        <v>0</v>
      </c>
      <c r="U53" s="12"/>
      <c r="V53" s="13">
        <f>U53/G17*100000</f>
        <v>0</v>
      </c>
      <c r="W53" s="12"/>
      <c r="X53" s="13">
        <f>W53/H17*100000</f>
        <v>0</v>
      </c>
      <c r="Y53" s="13">
        <f t="shared" ref="Y53:Z53" si="59">((M53+O53+Q53+S53)/4)</f>
        <v>0</v>
      </c>
      <c r="Z53" s="13">
        <f t="shared" si="59"/>
        <v>0</v>
      </c>
      <c r="AA53" s="13">
        <f t="shared" si="3"/>
        <v>0</v>
      </c>
      <c r="AB53" s="13">
        <f t="shared" si="4"/>
        <v>0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 t="str">
        <f>M54/A19*100000</f>
        <v>#DIV/0!</v>
      </c>
      <c r="O54" s="47"/>
      <c r="P54" s="13">
        <f>O54/D19*100000</f>
        <v>0</v>
      </c>
      <c r="Q54" s="47"/>
      <c r="R54" s="13">
        <f>Q54/E19*100000</f>
        <v>0</v>
      </c>
      <c r="S54" s="12"/>
      <c r="T54" s="13">
        <f>S54/F19*100000</f>
        <v>0</v>
      </c>
      <c r="U54" s="12"/>
      <c r="V54" s="13">
        <f>U54/G19*100000</f>
        <v>0</v>
      </c>
      <c r="W54" s="12"/>
      <c r="X54" s="13">
        <f>W54/H19*100000</f>
        <v>0</v>
      </c>
      <c r="Y54" s="13">
        <f t="shared" ref="Y54:Z54" si="60">((M54+O54+Q54+S54)/4)</f>
        <v>0</v>
      </c>
      <c r="Z54" s="13" t="str">
        <f t="shared" si="60"/>
        <v>#DIV/0!</v>
      </c>
      <c r="AA54" s="13">
        <f t="shared" si="3"/>
        <v>0</v>
      </c>
      <c r="AB54" s="13">
        <f t="shared" si="4"/>
        <v>0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 t="str">
        <f>M55/A19*100000</f>
        <v>#DIV/0!</v>
      </c>
      <c r="O55" s="47"/>
      <c r="P55" s="13">
        <f>O55/D19*100000</f>
        <v>0</v>
      </c>
      <c r="Q55" s="47"/>
      <c r="R55" s="13">
        <f>Q55/E19*100000</f>
        <v>0</v>
      </c>
      <c r="S55" s="12"/>
      <c r="T55" s="13">
        <f>S55/F19*100000</f>
        <v>0</v>
      </c>
      <c r="U55" s="12"/>
      <c r="V55" s="13">
        <f>U55/G19*100000</f>
        <v>0</v>
      </c>
      <c r="W55" s="12"/>
      <c r="X55" s="13">
        <f>W55/H19*100000</f>
        <v>0</v>
      </c>
      <c r="Y55" s="13">
        <f t="shared" ref="Y55:Z55" si="61">((M55+O55+Q55+S55)/4)</f>
        <v>0</v>
      </c>
      <c r="Z55" s="13" t="str">
        <f t="shared" si="61"/>
        <v>#DIV/0!</v>
      </c>
      <c r="AA55" s="13">
        <f t="shared" si="3"/>
        <v>0</v>
      </c>
      <c r="AB55" s="13">
        <f t="shared" si="4"/>
        <v>0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>
        <v>0.0</v>
      </c>
      <c r="N56" s="13">
        <f>M56/C7*100000</f>
        <v>0</v>
      </c>
      <c r="O56" s="47">
        <v>0.0</v>
      </c>
      <c r="P56" s="13">
        <f>O56/D7*100000</f>
        <v>0</v>
      </c>
      <c r="Q56" s="47">
        <v>0.0</v>
      </c>
      <c r="R56" s="13">
        <f>Q56/E7*100000</f>
        <v>0</v>
      </c>
      <c r="S56" s="12">
        <v>0.0</v>
      </c>
      <c r="T56" s="13">
        <f>S56/F7*100000</f>
        <v>0</v>
      </c>
      <c r="U56" s="12">
        <v>0.0</v>
      </c>
      <c r="V56" s="13">
        <f>U56/G7*100000</f>
        <v>0</v>
      </c>
      <c r="W56" s="12">
        <v>0.0</v>
      </c>
      <c r="X56" s="13">
        <f>W56/H7*100000</f>
        <v>0</v>
      </c>
      <c r="Y56" s="13">
        <f t="shared" ref="Y56:Z56" si="62">((M56+O56+Q56+S56)/4)</f>
        <v>0</v>
      </c>
      <c r="Z56" s="13">
        <f t="shared" si="62"/>
        <v>0</v>
      </c>
      <c r="AA56" s="13">
        <f t="shared" si="3"/>
        <v>0</v>
      </c>
      <c r="AB56" s="13">
        <f t="shared" si="4"/>
        <v>0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>
        <v>0.0</v>
      </c>
      <c r="N57" s="13">
        <f>M57/M4*100000</f>
        <v>0</v>
      </c>
      <c r="O57" s="47">
        <v>0.0</v>
      </c>
      <c r="P57" s="13">
        <f>O57/O4*100000</f>
        <v>0</v>
      </c>
      <c r="Q57" s="47">
        <v>0.0</v>
      </c>
      <c r="R57" s="13">
        <f>Q57/Q4*100000</f>
        <v>0</v>
      </c>
      <c r="S57" s="12">
        <v>0.0</v>
      </c>
      <c r="T57" s="13">
        <f>S57/S4*100000</f>
        <v>0</v>
      </c>
      <c r="U57" s="12">
        <v>0.0</v>
      </c>
      <c r="V57" s="13">
        <f>U57/U4*100000</f>
        <v>0</v>
      </c>
      <c r="W57" s="12">
        <v>0.0</v>
      </c>
      <c r="X57" s="13">
        <f>W57/W4*100000</f>
        <v>0</v>
      </c>
      <c r="Y57" s="13">
        <f t="shared" ref="Y57:Z57" si="63">((M57+O57+Q57+S57)/4)</f>
        <v>0</v>
      </c>
      <c r="Z57" s="13">
        <f t="shared" si="63"/>
        <v>0</v>
      </c>
      <c r="AA57" s="13">
        <f t="shared" si="3"/>
        <v>0</v>
      </c>
      <c r="AB57" s="13">
        <f t="shared" si="4"/>
        <v>0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>
        <f>M58/C7*100000</f>
        <v>0</v>
      </c>
      <c r="O58" s="71"/>
      <c r="P58" s="28">
        <f>O58/D7*100000</f>
        <v>0</v>
      </c>
      <c r="Q58" s="71"/>
      <c r="R58" s="28">
        <f>Q58/E7*100000</f>
        <v>0</v>
      </c>
      <c r="S58" s="61"/>
      <c r="T58" s="28">
        <f>S58/F7*100000</f>
        <v>0</v>
      </c>
      <c r="U58" s="61"/>
      <c r="V58" s="28">
        <f>U58/G7*100000</f>
        <v>0</v>
      </c>
      <c r="W58" s="61"/>
      <c r="X58" s="28">
        <f>W58/H7*100000</f>
        <v>0</v>
      </c>
      <c r="Y58" s="13">
        <f t="shared" ref="Y58:Z58" si="64">((M58+O58+Q58+S58)/4)</f>
        <v>0</v>
      </c>
      <c r="Z58" s="13">
        <f t="shared" si="64"/>
        <v>0</v>
      </c>
      <c r="AA58" s="13">
        <f t="shared" si="3"/>
        <v>0</v>
      </c>
      <c r="AB58" s="13">
        <f t="shared" si="4"/>
        <v>0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>
        <f>M59/C7*100000</f>
        <v>0</v>
      </c>
      <c r="O59" s="71"/>
      <c r="P59" s="28">
        <f>O59/D7*100000</f>
        <v>0</v>
      </c>
      <c r="Q59" s="71"/>
      <c r="R59" s="28">
        <f>Q59/E7*100000</f>
        <v>0</v>
      </c>
      <c r="S59" s="76"/>
      <c r="T59" s="39">
        <f>S59/F7*100000</f>
        <v>0</v>
      </c>
      <c r="U59" s="76"/>
      <c r="V59" s="39">
        <f>U59/G7*100000</f>
        <v>0</v>
      </c>
      <c r="W59" s="76"/>
      <c r="X59" s="39">
        <f>W59/H7*100000</f>
        <v>0</v>
      </c>
      <c r="Y59" s="40">
        <f t="shared" ref="Y59:Z59" si="65">((M59+O59+Q59+S59)/4)</f>
        <v>0</v>
      </c>
      <c r="Z59" s="40">
        <f t="shared" si="65"/>
        <v>0</v>
      </c>
      <c r="AA59" s="13">
        <f t="shared" si="3"/>
        <v>0</v>
      </c>
      <c r="AB59" s="13">
        <f t="shared" si="4"/>
        <v>0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>
        <f>M60/C17*100000</f>
        <v>0</v>
      </c>
      <c r="O60" s="71"/>
      <c r="P60" s="28">
        <f>O60/D17*100000</f>
        <v>0</v>
      </c>
      <c r="Q60" s="71"/>
      <c r="R60" s="28">
        <f>Q60/E17*100000</f>
        <v>0</v>
      </c>
      <c r="S60" s="61"/>
      <c r="T60" s="28">
        <f>S60/F17*100000</f>
        <v>0</v>
      </c>
      <c r="U60" s="61"/>
      <c r="V60" s="28">
        <f>U60/G17*100000</f>
        <v>0</v>
      </c>
      <c r="W60" s="61"/>
      <c r="X60" s="28">
        <f>W60/H17*100000</f>
        <v>0</v>
      </c>
      <c r="Y60" s="40">
        <f>((M60+O60+Q60+S60)/4)</f>
        <v>0</v>
      </c>
      <c r="Z60" s="40">
        <f>((N60+P60+R60+T60)/1)</f>
        <v>0</v>
      </c>
      <c r="AA60" s="13">
        <f t="shared" si="3"/>
        <v>0</v>
      </c>
      <c r="AB60" s="13">
        <f t="shared" si="4"/>
        <v>0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>
        <v>0.0</v>
      </c>
      <c r="N61" s="28">
        <f>M61/C15*1000</f>
        <v>0</v>
      </c>
      <c r="O61" s="71">
        <v>0.0</v>
      </c>
      <c r="P61" s="28">
        <f>O61/D15*1000</f>
        <v>0</v>
      </c>
      <c r="Q61" s="71">
        <v>0.0</v>
      </c>
      <c r="R61" s="28">
        <f>Q61/E15*1000</f>
        <v>0</v>
      </c>
      <c r="S61" s="61">
        <v>0.0</v>
      </c>
      <c r="T61" s="28">
        <f>S61/F15*1000</f>
        <v>0</v>
      </c>
      <c r="U61" s="61">
        <v>0.0</v>
      </c>
      <c r="V61" s="28">
        <f>U61/G15*1000</f>
        <v>0</v>
      </c>
      <c r="W61" s="61">
        <v>0.0</v>
      </c>
      <c r="X61" s="28">
        <f>W61/H23*1000</f>
        <v>0</v>
      </c>
      <c r="Y61" s="40">
        <f t="shared" ref="Y61:Z61" si="66">((M61+O61+Q61+S61)/1)</f>
        <v>0</v>
      </c>
      <c r="Z61" s="40">
        <f t="shared" si="66"/>
        <v>0</v>
      </c>
      <c r="AA61" s="13">
        <f t="shared" si="3"/>
        <v>0</v>
      </c>
      <c r="AB61" s="13">
        <f t="shared" si="4"/>
        <v>0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>
        <v>0.0</v>
      </c>
      <c r="N62" s="28">
        <f>M62/C15*1000</f>
        <v>0</v>
      </c>
      <c r="O62" s="71">
        <v>0.0</v>
      </c>
      <c r="P62" s="28">
        <f>O62/D15*1000</f>
        <v>0</v>
      </c>
      <c r="Q62" s="71">
        <v>0.0</v>
      </c>
      <c r="R62" s="28">
        <f>Q62/E15*1000</f>
        <v>0</v>
      </c>
      <c r="S62" s="61">
        <v>0.0</v>
      </c>
      <c r="T62" s="28">
        <f>S62/F15*1000</f>
        <v>0</v>
      </c>
      <c r="U62" s="61">
        <v>0.0</v>
      </c>
      <c r="V62" s="28">
        <f>U62/G15*1000</f>
        <v>0</v>
      </c>
      <c r="W62" s="61">
        <v>0.0</v>
      </c>
      <c r="X62" s="28">
        <f>W62/H15*1000</f>
        <v>0</v>
      </c>
      <c r="Y62" s="40">
        <f t="shared" ref="Y62:Z62" si="67">((M62+O62+Q62+S62)/1)</f>
        <v>0</v>
      </c>
      <c r="Z62" s="40">
        <f t="shared" si="67"/>
        <v>0</v>
      </c>
      <c r="AA62" s="13">
        <f t="shared" si="3"/>
        <v>0</v>
      </c>
      <c r="AB62" s="13">
        <f t="shared" si="4"/>
        <v>0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>
        <f>M63/C17*100000</f>
        <v>0</v>
      </c>
      <c r="O63" s="71"/>
      <c r="P63" s="28">
        <f>O63/D17*100000</f>
        <v>0</v>
      </c>
      <c r="Q63" s="71"/>
      <c r="R63" s="28">
        <f>Q63/E17*100000</f>
        <v>0</v>
      </c>
      <c r="S63" s="61"/>
      <c r="T63" s="28">
        <f>S63/F17*100000</f>
        <v>0</v>
      </c>
      <c r="U63" s="61"/>
      <c r="V63" s="28">
        <f>U63/G17*100000</f>
        <v>0</v>
      </c>
      <c r="W63" s="61"/>
      <c r="X63" s="28">
        <f>W63/H17*100000</f>
        <v>0</v>
      </c>
      <c r="Y63" s="40">
        <f t="shared" ref="Y63:Z63" si="68">((M63+O63+Q63+S63)/1)</f>
        <v>0</v>
      </c>
      <c r="Z63" s="40">
        <f t="shared" si="68"/>
        <v>0</v>
      </c>
      <c r="AA63" s="13">
        <f t="shared" si="3"/>
        <v>0</v>
      </c>
      <c r="AB63" s="13">
        <f t="shared" si="4"/>
        <v>0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>
        <f>M64/C17*100000</f>
        <v>0</v>
      </c>
      <c r="O64" s="71"/>
      <c r="P64" s="28">
        <f>O64/D17*100000</f>
        <v>0</v>
      </c>
      <c r="Q64" s="71"/>
      <c r="R64" s="28">
        <f>Q64/E17*100000</f>
        <v>0</v>
      </c>
      <c r="S64" s="61"/>
      <c r="T64" s="28">
        <f>S64/F17*100000</f>
        <v>0</v>
      </c>
      <c r="U64" s="28"/>
      <c r="V64" s="28">
        <f>U64/G17*100000</f>
        <v>0</v>
      </c>
      <c r="W64" s="61"/>
      <c r="X64" s="28">
        <f>W64/H17*100000</f>
        <v>0</v>
      </c>
      <c r="Y64" s="40">
        <f t="shared" ref="Y64:Z64" si="69">((M64+O64+Q64+S64)/1)</f>
        <v>0</v>
      </c>
      <c r="Z64" s="40">
        <f t="shared" si="69"/>
        <v>0</v>
      </c>
      <c r="AA64" s="13">
        <f t="shared" si="3"/>
        <v>0</v>
      </c>
      <c r="AB64" s="13">
        <f t="shared" si="4"/>
        <v>0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>
        <f>M65/C17*100000</f>
        <v>0</v>
      </c>
      <c r="O65" s="71"/>
      <c r="P65" s="28">
        <f>O65/D17*100000</f>
        <v>0</v>
      </c>
      <c r="Q65" s="71"/>
      <c r="R65" s="28">
        <f>Q65/E17*100000</f>
        <v>0</v>
      </c>
      <c r="S65" s="71"/>
      <c r="T65" s="28">
        <f>S65/F17*100000</f>
        <v>0</v>
      </c>
      <c r="U65" s="71"/>
      <c r="V65" s="28">
        <f>U65/G17*100000</f>
        <v>0</v>
      </c>
      <c r="W65" s="61"/>
      <c r="X65" s="28">
        <f>W65/H17*100000</f>
        <v>0</v>
      </c>
      <c r="Y65" s="40">
        <f t="shared" ref="Y65:Z65" si="70">((M65+O65+Q65+S65)/1)</f>
        <v>0</v>
      </c>
      <c r="Z65" s="40">
        <f t="shared" si="70"/>
        <v>0</v>
      </c>
      <c r="AA65" s="13">
        <f t="shared" si="3"/>
        <v>0</v>
      </c>
      <c r="AB65" s="13">
        <f t="shared" si="4"/>
        <v>0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>
        <f>M66/C17*100000</f>
        <v>0</v>
      </c>
      <c r="O66" s="71"/>
      <c r="P66" s="28">
        <f>O66/D17*100000</f>
        <v>0</v>
      </c>
      <c r="Q66" s="71"/>
      <c r="R66" s="28">
        <f>Q66/E17*100000</f>
        <v>0</v>
      </c>
      <c r="S66" s="71"/>
      <c r="T66" s="28">
        <f>S66/F17*100000</f>
        <v>0</v>
      </c>
      <c r="U66" s="71"/>
      <c r="V66" s="28">
        <f>U66/G17*100000</f>
        <v>0</v>
      </c>
      <c r="W66" s="61"/>
      <c r="X66" s="28">
        <f>W66/H17*100000</f>
        <v>0</v>
      </c>
      <c r="Y66" s="40">
        <f t="shared" ref="Y66:Z66" si="71">((M66+O66+Q66+S66)/1)</f>
        <v>0</v>
      </c>
      <c r="Z66" s="40">
        <f t="shared" si="71"/>
        <v>0</v>
      </c>
      <c r="AA66" s="13">
        <f t="shared" si="3"/>
        <v>0</v>
      </c>
      <c r="AB66" s="13">
        <f t="shared" si="4"/>
        <v>0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>
        <f>M67/C17*100000</f>
        <v>0</v>
      </c>
      <c r="O67" s="71"/>
      <c r="P67" s="28">
        <f>O67/D17*100000</f>
        <v>0</v>
      </c>
      <c r="Q67" s="71"/>
      <c r="R67" s="28">
        <f>Q67/E17*100000</f>
        <v>0</v>
      </c>
      <c r="S67" s="71"/>
      <c r="T67" s="28">
        <f>S67/F17*100000</f>
        <v>0</v>
      </c>
      <c r="U67" s="71"/>
      <c r="V67" s="28">
        <f>U67/G17*100000</f>
        <v>0</v>
      </c>
      <c r="W67" s="61"/>
      <c r="X67" s="28">
        <f>W67/H17*100000</f>
        <v>0</v>
      </c>
      <c r="Y67" s="40">
        <f t="shared" ref="Y67:Z67" si="72">((M67+O67+Q67+S67)/1)</f>
        <v>0</v>
      </c>
      <c r="Z67" s="40">
        <f t="shared" si="72"/>
        <v>0</v>
      </c>
      <c r="AA67" s="13">
        <f t="shared" si="3"/>
        <v>0</v>
      </c>
      <c r="AB67" s="13">
        <f t="shared" si="4"/>
        <v>0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>
        <v>0.0</v>
      </c>
      <c r="N68" s="28">
        <f>M68/C11*100000</f>
        <v>0</v>
      </c>
      <c r="O68" s="71">
        <v>0.0</v>
      </c>
      <c r="P68" s="28">
        <f>O68/D11*100000</f>
        <v>0</v>
      </c>
      <c r="Q68" s="71">
        <v>1.0</v>
      </c>
      <c r="R68" s="28">
        <f>Q68/E11*100000</f>
        <v>4.38250504</v>
      </c>
      <c r="S68" s="71">
        <v>5.0</v>
      </c>
      <c r="T68" s="28">
        <f>S68/F11*100000</f>
        <v>21.27206977</v>
      </c>
      <c r="U68" s="71">
        <v>14.0</v>
      </c>
      <c r="V68" s="28">
        <f>U68/G11*100000</f>
        <v>57.88951373</v>
      </c>
      <c r="W68" s="61"/>
      <c r="X68" s="28">
        <f>W68/H11*100000</f>
        <v>0</v>
      </c>
      <c r="Y68" s="40">
        <f t="shared" ref="Y68:Z68" si="73">((M68+O68+Q68+S68)/2)</f>
        <v>3</v>
      </c>
      <c r="Z68" s="40">
        <f t="shared" si="73"/>
        <v>12.82728741</v>
      </c>
      <c r="AA68" s="13">
        <f t="shared" si="3"/>
        <v>9.5</v>
      </c>
      <c r="AB68" s="13">
        <f t="shared" si="4"/>
        <v>28.94475686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>
        <v>0.0</v>
      </c>
      <c r="N69" s="28">
        <f>M69/C11*100000</f>
        <v>0</v>
      </c>
      <c r="O69" s="71">
        <v>0.0</v>
      </c>
      <c r="P69" s="28">
        <f>O69/D11*100000</f>
        <v>0</v>
      </c>
      <c r="Q69" s="71">
        <v>0.0</v>
      </c>
      <c r="R69" s="28">
        <f>Q69/E11*100000</f>
        <v>0</v>
      </c>
      <c r="S69" s="71">
        <v>0.0</v>
      </c>
      <c r="T69" s="28">
        <f>S69/F11*100000</f>
        <v>0</v>
      </c>
      <c r="U69" s="71">
        <v>15.0</v>
      </c>
      <c r="V69" s="28">
        <f>U69/G11*100000</f>
        <v>62.02447899</v>
      </c>
      <c r="W69" s="61"/>
      <c r="X69" s="28">
        <f>W69/H11*100000</f>
        <v>0</v>
      </c>
      <c r="Y69" s="13">
        <f t="shared" ref="Y69:Z69" si="74">((M69+O69+Q69+S69)/2)</f>
        <v>0</v>
      </c>
      <c r="Z69" s="13">
        <f t="shared" si="74"/>
        <v>0</v>
      </c>
      <c r="AA69" s="13">
        <f t="shared" si="3"/>
        <v>7.5</v>
      </c>
      <c r="AB69" s="13">
        <f t="shared" si="4"/>
        <v>31.0122395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>
        <v>1.0</v>
      </c>
      <c r="N70" s="39">
        <f>M70/C7*100000</f>
        <v>2.322394854</v>
      </c>
      <c r="O70" s="77">
        <v>2.0</v>
      </c>
      <c r="P70" s="39">
        <f>O70/D7*100000</f>
        <v>4.527960154</v>
      </c>
      <c r="Q70" s="77">
        <v>4.0</v>
      </c>
      <c r="R70" s="39">
        <f>Q70/E7*100000</f>
        <v>8.792948056</v>
      </c>
      <c r="S70" s="77">
        <v>6.0</v>
      </c>
      <c r="T70" s="39">
        <f>S70/F7*100000</f>
        <v>12.78826889</v>
      </c>
      <c r="U70" s="77">
        <v>3.0</v>
      </c>
      <c r="V70" s="39">
        <f>U70/G7*100000</f>
        <v>6.208866261</v>
      </c>
      <c r="W70" s="76"/>
      <c r="X70" s="39">
        <f>W70/H7*100000</f>
        <v>0</v>
      </c>
      <c r="Y70" s="40">
        <f t="shared" ref="Y70:Z70" si="75">((M70+O70+Q70+S70)/1)</f>
        <v>13</v>
      </c>
      <c r="Z70" s="40">
        <f t="shared" si="75"/>
        <v>28.43157196</v>
      </c>
      <c r="AA70" s="40">
        <f t="shared" si="3"/>
        <v>4.5</v>
      </c>
      <c r="AB70" s="40">
        <f t="shared" si="4"/>
        <v>3.104433131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0.0" customHeight="1">
      <c r="B1" s="1"/>
      <c r="C1" s="2" t="s">
        <v>132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143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/>
      <c r="N3" s="13" t="str">
        <f>M3/C7*1000</f>
        <v>#DIV/0!</v>
      </c>
      <c r="O3" s="12"/>
      <c r="P3" s="13" t="str">
        <f>O3/D7*1000</f>
        <v>#DIV/0!</v>
      </c>
      <c r="Q3" s="47"/>
      <c r="R3" s="13" t="str">
        <f>Q3/E7*1000</f>
        <v>#DIV/0!</v>
      </c>
      <c r="S3" s="12"/>
      <c r="T3" s="13" t="str">
        <f>S3/F7*1000</f>
        <v>#DIV/0!</v>
      </c>
      <c r="U3" s="12"/>
      <c r="V3" s="13" t="str">
        <f>U3/G7*1000</f>
        <v>#DIV/0!</v>
      </c>
      <c r="W3" s="12"/>
      <c r="X3" s="13" t="str">
        <f>W3/H7*1000</f>
        <v>#DIV/0!</v>
      </c>
      <c r="Y3" s="13">
        <f t="shared" ref="Y3:Z3" si="1">((M3+O3+Q3+S3)/4)</f>
        <v>0</v>
      </c>
      <c r="Z3" s="13" t="str">
        <f t="shared" si="1"/>
        <v>#DIV/0!</v>
      </c>
      <c r="AA3" s="13">
        <f t="shared" ref="AA3:AA70" si="3">((S3+U3)/2)</f>
        <v>0</v>
      </c>
      <c r="AB3" s="13" t="str">
        <f t="shared" ref="AB3:AB70" si="4">(V3+X3)/2</f>
        <v>#DIV/0!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/>
      <c r="N4" s="13" t="str">
        <f>M4/C7*1000</f>
        <v>#DIV/0!</v>
      </c>
      <c r="O4" s="12"/>
      <c r="P4" s="13" t="str">
        <f>O4/D7*1000</f>
        <v>#DIV/0!</v>
      </c>
      <c r="Q4" s="47"/>
      <c r="R4" s="13" t="str">
        <f>Q4/E7*1000</f>
        <v>#DIV/0!</v>
      </c>
      <c r="S4" s="12"/>
      <c r="T4" s="13" t="str">
        <f>S4/F7*1000</f>
        <v>#DIV/0!</v>
      </c>
      <c r="U4" s="12"/>
      <c r="V4" s="13" t="str">
        <f>U4/G7*1000</f>
        <v>#DIV/0!</v>
      </c>
      <c r="W4" s="12"/>
      <c r="X4" s="13" t="str">
        <f>W4/H7*1000</f>
        <v>#DIV/0!</v>
      </c>
      <c r="Y4" s="13">
        <f t="shared" ref="Y4:Z4" si="2">((M4+O4+Q4+S4)/4)</f>
        <v>0</v>
      </c>
      <c r="Z4" s="13" t="str">
        <f t="shared" si="2"/>
        <v>#DIV/0!</v>
      </c>
      <c r="AA4" s="13">
        <f t="shared" si="3"/>
        <v>0</v>
      </c>
      <c r="AB4" s="13" t="str">
        <f t="shared" si="4"/>
        <v>#DIV/0!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/>
      <c r="N5" s="13" t="str">
        <f>M5/C12*100000</f>
        <v>#DIV/0!</v>
      </c>
      <c r="O5" s="12"/>
      <c r="P5" s="13" t="str">
        <f>O5/D12*100000</f>
        <v>#DIV/0!</v>
      </c>
      <c r="Q5" s="47"/>
      <c r="R5" s="13" t="str">
        <f>Q5/E12*100000</f>
        <v>#DIV/0!</v>
      </c>
      <c r="S5" s="12"/>
      <c r="T5" s="13" t="str">
        <f>S5/F12*100000</f>
        <v>#DIV/0!</v>
      </c>
      <c r="U5" s="12"/>
      <c r="V5" s="13" t="str">
        <f>U5/G12*100000</f>
        <v>#DIV/0!</v>
      </c>
      <c r="W5" s="12"/>
      <c r="X5" s="13" t="str">
        <f>W5/H12*100000</f>
        <v>#DIV/0!</v>
      </c>
      <c r="Y5" s="13">
        <f t="shared" ref="Y5:Z5" si="5">((M5+O5+Q5+S5)/4)</f>
        <v>0</v>
      </c>
      <c r="Z5" s="13" t="str">
        <f t="shared" si="5"/>
        <v>#DIV/0!</v>
      </c>
      <c r="AA5" s="13">
        <f t="shared" si="3"/>
        <v>0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 t="str">
        <f>M6/M4*1000</f>
        <v>#DIV/0!</v>
      </c>
      <c r="O6" s="12"/>
      <c r="P6" s="13" t="str">
        <f>O6/O4*1000</f>
        <v>#DIV/0!</v>
      </c>
      <c r="Q6" s="47"/>
      <c r="R6" s="13" t="str">
        <f>Q6/Q4*1000</f>
        <v>#DIV/0!</v>
      </c>
      <c r="S6" s="12"/>
      <c r="T6" s="13" t="str">
        <f>S6/S4*1000</f>
        <v>#DIV/0!</v>
      </c>
      <c r="U6" s="12"/>
      <c r="V6" s="13" t="str">
        <f>U6/U4*1000</f>
        <v>#DIV/0!</v>
      </c>
      <c r="W6" s="12"/>
      <c r="X6" s="13" t="str">
        <f>W6/W4*1000</f>
        <v>#DIV/0!</v>
      </c>
      <c r="Y6" s="13">
        <f t="shared" ref="Y6:Z6" si="6">((M6+O6+Q6+S6)/4)</f>
        <v>0</v>
      </c>
      <c r="Z6" s="13" t="str">
        <f t="shared" si="6"/>
        <v>#DIV/0!</v>
      </c>
      <c r="AA6" s="13">
        <f t="shared" si="3"/>
        <v>0</v>
      </c>
      <c r="AB6" s="13" t="str">
        <f t="shared" si="4"/>
        <v>#DIV/0!</v>
      </c>
      <c r="AC6" s="14" t="s">
        <v>22</v>
      </c>
    </row>
    <row r="7" ht="14.25" customHeight="1">
      <c r="A7" s="5"/>
      <c r="B7" s="55" t="s">
        <v>35</v>
      </c>
      <c r="C7" s="106"/>
      <c r="D7" s="56"/>
      <c r="E7" s="106"/>
      <c r="F7" s="57"/>
      <c r="G7" s="57"/>
      <c r="H7" s="58"/>
      <c r="I7" s="5"/>
      <c r="J7" s="5"/>
      <c r="K7" s="5"/>
      <c r="L7" s="11" t="s">
        <v>36</v>
      </c>
      <c r="M7" s="12"/>
      <c r="N7" s="59"/>
      <c r="O7" s="12"/>
      <c r="P7" s="59"/>
      <c r="Q7" s="47"/>
      <c r="R7" s="59"/>
      <c r="S7" s="12"/>
      <c r="T7" s="59"/>
      <c r="U7" s="12"/>
      <c r="V7" s="59"/>
      <c r="W7" s="12"/>
      <c r="X7" s="59"/>
      <c r="Y7" s="13">
        <f t="shared" ref="Y7:Z7" si="7">((M7+O7+Q7+S7)/4)</f>
        <v>0</v>
      </c>
      <c r="Z7" s="13">
        <f t="shared" si="7"/>
        <v>0</v>
      </c>
      <c r="AA7" s="13">
        <f t="shared" si="3"/>
        <v>0</v>
      </c>
      <c r="AB7" s="13">
        <f t="shared" si="4"/>
        <v>0</v>
      </c>
      <c r="AC7" s="14" t="s">
        <v>37</v>
      </c>
    </row>
    <row r="8" ht="14.25" customHeight="1">
      <c r="A8" s="5"/>
      <c r="B8" s="55" t="s">
        <v>38</v>
      </c>
      <c r="C8" s="57"/>
      <c r="D8" s="53"/>
      <c r="E8" s="57"/>
      <c r="F8" s="57"/>
      <c r="G8" s="57"/>
      <c r="H8" s="58"/>
      <c r="I8" s="5"/>
      <c r="J8" s="5"/>
      <c r="K8" s="5"/>
      <c r="L8" s="11" t="s">
        <v>39</v>
      </c>
      <c r="M8" s="12"/>
      <c r="N8" s="13" t="str">
        <f>M8/C15*1000</f>
        <v>#DIV/0!</v>
      </c>
      <c r="O8" s="12"/>
      <c r="P8" s="13" t="str">
        <f>O8/D15*1000</f>
        <v>#DIV/0!</v>
      </c>
      <c r="Q8" s="47"/>
      <c r="R8" s="13" t="str">
        <f>Q8/E15*1000</f>
        <v>#DIV/0!</v>
      </c>
      <c r="S8" s="12"/>
      <c r="T8" s="13" t="str">
        <f>S8/F15*1000</f>
        <v>#DIV/0!</v>
      </c>
      <c r="U8" s="12"/>
      <c r="V8" s="13" t="str">
        <f>U8/G15*1000</f>
        <v>#DIV/0!</v>
      </c>
      <c r="W8" s="12"/>
      <c r="X8" s="13" t="str">
        <f>W8/H15*1000</f>
        <v>#DIV/0!</v>
      </c>
      <c r="Y8" s="13">
        <f t="shared" ref="Y8:Z8" si="8">((M8+O8+Q8+S8)/4)</f>
        <v>0</v>
      </c>
      <c r="Z8" s="13" t="str">
        <f t="shared" si="8"/>
        <v>#DIV/0!</v>
      </c>
      <c r="AA8" s="13">
        <f t="shared" si="3"/>
        <v>0</v>
      </c>
      <c r="AB8" s="13" t="str">
        <f t="shared" si="4"/>
        <v>#DIV/0!</v>
      </c>
      <c r="AC8" s="14" t="s">
        <v>37</v>
      </c>
    </row>
    <row r="9" ht="14.25" customHeight="1">
      <c r="A9" s="5"/>
      <c r="B9" s="55" t="s">
        <v>40</v>
      </c>
      <c r="C9" s="57"/>
      <c r="D9" s="53"/>
      <c r="E9" s="57"/>
      <c r="F9" s="57"/>
      <c r="G9" s="57"/>
      <c r="H9" s="58"/>
      <c r="I9" s="5"/>
      <c r="J9" s="5"/>
      <c r="K9" s="5"/>
      <c r="L9" s="11" t="s">
        <v>41</v>
      </c>
      <c r="M9" s="12"/>
      <c r="N9" s="13" t="str">
        <f>M9/C7*100000</f>
        <v>#DIV/0!</v>
      </c>
      <c r="O9" s="12"/>
      <c r="P9" s="13" t="str">
        <f>O9/D7*100000</f>
        <v>#DIV/0!</v>
      </c>
      <c r="Q9" s="47"/>
      <c r="R9" s="13" t="str">
        <f>Q9/E7*100000</f>
        <v>#DIV/0!</v>
      </c>
      <c r="S9" s="12"/>
      <c r="T9" s="13" t="str">
        <f>S9/F7*100000</f>
        <v>#DIV/0!</v>
      </c>
      <c r="U9" s="12"/>
      <c r="V9" s="13" t="str">
        <f>U9/G7*100000</f>
        <v>#DIV/0!</v>
      </c>
      <c r="W9" s="12"/>
      <c r="X9" s="13" t="str">
        <f>W9/H7*100000</f>
        <v>#DIV/0!</v>
      </c>
      <c r="Y9" s="13">
        <f t="shared" ref="Y9:Z9" si="9">((M9+O9+Q9+S9)/4)</f>
        <v>0</v>
      </c>
      <c r="Z9" s="13" t="str">
        <f t="shared" si="9"/>
        <v>#DIV/0!</v>
      </c>
      <c r="AA9" s="13">
        <f t="shared" si="3"/>
        <v>0</v>
      </c>
      <c r="AB9" s="13" t="str">
        <f t="shared" si="4"/>
        <v>#DIV/0!</v>
      </c>
      <c r="AC9" s="14" t="s">
        <v>22</v>
      </c>
    </row>
    <row r="10" ht="14.25" customHeight="1">
      <c r="A10" s="5"/>
      <c r="B10" s="55" t="s">
        <v>42</v>
      </c>
      <c r="C10" s="57"/>
      <c r="D10" s="57"/>
      <c r="E10" s="57"/>
      <c r="F10" s="107"/>
      <c r="G10" s="53"/>
      <c r="H10" s="58"/>
      <c r="I10" s="5"/>
      <c r="J10" s="5"/>
      <c r="K10" s="5"/>
      <c r="L10" s="11" t="s">
        <v>43</v>
      </c>
      <c r="M10" s="12"/>
      <c r="N10" s="13" t="str">
        <f>M10/C15*100000</f>
        <v>#DIV/0!</v>
      </c>
      <c r="O10" s="12"/>
      <c r="P10" s="13" t="str">
        <f t="shared" ref="P10:P11" si="11">O10/D15*100000</f>
        <v>#DIV/0!</v>
      </c>
      <c r="Q10" s="47"/>
      <c r="R10" s="13" t="str">
        <f>Q10/E15*100000</f>
        <v>#DIV/0!</v>
      </c>
      <c r="S10" s="12"/>
      <c r="T10" s="13" t="str">
        <f>S10/F15*100000</f>
        <v>#DIV/0!</v>
      </c>
      <c r="U10" s="12"/>
      <c r="V10" s="13" t="str">
        <f>U10/G15*100000</f>
        <v>#DIV/0!</v>
      </c>
      <c r="W10" s="12"/>
      <c r="X10" s="13" t="str">
        <f>W10/H15*100000</f>
        <v>#DIV/0!</v>
      </c>
      <c r="Y10" s="13">
        <f t="shared" ref="Y10:Z10" si="10">((M10+O10+Q10+S10)/4)</f>
        <v>0</v>
      </c>
      <c r="Z10" s="13" t="str">
        <f t="shared" si="10"/>
        <v>#DIV/0!</v>
      </c>
      <c r="AA10" s="13">
        <f t="shared" si="3"/>
        <v>0</v>
      </c>
      <c r="AB10" s="13" t="str">
        <f t="shared" si="4"/>
        <v>#DIV/0!</v>
      </c>
      <c r="AC10" s="14" t="s">
        <v>22</v>
      </c>
    </row>
    <row r="11" ht="14.25" customHeight="1">
      <c r="A11" s="5"/>
      <c r="B11" s="55" t="s">
        <v>44</v>
      </c>
      <c r="C11" s="57"/>
      <c r="D11" s="57"/>
      <c r="E11" s="57"/>
      <c r="F11" s="107"/>
      <c r="G11" s="53"/>
      <c r="H11" s="58"/>
      <c r="I11" s="5"/>
      <c r="J11" s="5"/>
      <c r="K11" s="5"/>
      <c r="L11" s="11" t="s">
        <v>45</v>
      </c>
      <c r="M11" s="12"/>
      <c r="N11" s="13" t="str">
        <f>M11/C15*100000</f>
        <v>#DIV/0!</v>
      </c>
      <c r="O11" s="12"/>
      <c r="P11" s="13" t="str">
        <f t="shared" si="11"/>
        <v>#DIV/0!</v>
      </c>
      <c r="Q11" s="47"/>
      <c r="R11" s="13" t="str">
        <f>Q11/F16*100000</f>
        <v>#DIV/0!</v>
      </c>
      <c r="S11" s="12"/>
      <c r="T11" s="13" t="str">
        <f>S11/F15*100000</f>
        <v>#DIV/0!</v>
      </c>
      <c r="U11" s="12"/>
      <c r="V11" s="13" t="str">
        <f>U11/G15*100000</f>
        <v>#DIV/0!</v>
      </c>
      <c r="W11" s="12"/>
      <c r="X11" s="13" t="str">
        <f>W11/H15*100000</f>
        <v>#DIV/0!</v>
      </c>
      <c r="Y11" s="13">
        <f t="shared" ref="Y11:Z11" si="12">((M11+O11+Q11+S11)/4)</f>
        <v>0</v>
      </c>
      <c r="Z11" s="13" t="str">
        <f t="shared" si="12"/>
        <v>#DIV/0!</v>
      </c>
      <c r="AA11" s="13">
        <f t="shared" si="3"/>
        <v>0</v>
      </c>
      <c r="AB11" s="13" t="str">
        <f t="shared" si="4"/>
        <v>#DIV/0!</v>
      </c>
      <c r="AC11" s="14" t="s">
        <v>22</v>
      </c>
    </row>
    <row r="12" ht="14.25" customHeight="1">
      <c r="A12" s="5"/>
      <c r="B12" s="55" t="s">
        <v>46</v>
      </c>
      <c r="C12" s="53"/>
      <c r="D12" s="57"/>
      <c r="E12" s="53"/>
      <c r="F12" s="53"/>
      <c r="G12" s="57"/>
      <c r="H12" s="58"/>
      <c r="I12" s="5"/>
      <c r="J12" s="5"/>
      <c r="K12" s="5"/>
      <c r="L12" s="11" t="s">
        <v>47</v>
      </c>
      <c r="M12" s="12"/>
      <c r="N12" s="13" t="str">
        <f>M12/C7*100000</f>
        <v>#DIV/0!</v>
      </c>
      <c r="O12" s="12"/>
      <c r="P12" s="13" t="str">
        <f>O12/D7*100000</f>
        <v>#DIV/0!</v>
      </c>
      <c r="Q12" s="47"/>
      <c r="R12" s="13" t="str">
        <f>Q12/E7*100000</f>
        <v>#DIV/0!</v>
      </c>
      <c r="S12" s="12"/>
      <c r="T12" s="13" t="str">
        <f>S12/F7*100000</f>
        <v>#DIV/0!</v>
      </c>
      <c r="U12" s="12"/>
      <c r="V12" s="13" t="str">
        <f>U12/G7*100000</f>
        <v>#DIV/0!</v>
      </c>
      <c r="W12" s="12"/>
      <c r="X12" s="13" t="str">
        <f>W12/H7*100000</f>
        <v>#DIV/0!</v>
      </c>
      <c r="Y12" s="13">
        <f t="shared" ref="Y12:Z12" si="13">((M12+O12+Q12+S12)/4)</f>
        <v>0</v>
      </c>
      <c r="Z12" s="13" t="str">
        <f t="shared" si="13"/>
        <v>#DIV/0!</v>
      </c>
      <c r="AA12" s="13">
        <f t="shared" si="3"/>
        <v>0</v>
      </c>
      <c r="AB12" s="13" t="str">
        <f t="shared" si="4"/>
        <v>#DIV/0!</v>
      </c>
      <c r="AC12" s="14" t="s">
        <v>48</v>
      </c>
    </row>
    <row r="13" ht="14.25" customHeight="1">
      <c r="A13" s="5"/>
      <c r="B13" s="55" t="s">
        <v>49</v>
      </c>
      <c r="C13" s="53"/>
      <c r="D13" s="57"/>
      <c r="E13" s="53"/>
      <c r="F13" s="53"/>
      <c r="G13" s="57"/>
      <c r="H13" s="58"/>
      <c r="I13" s="5"/>
      <c r="J13" s="5"/>
      <c r="K13" s="5"/>
      <c r="L13" s="11" t="s">
        <v>50</v>
      </c>
      <c r="M13" s="12"/>
      <c r="N13" s="13" t="str">
        <f>M13/C11*100000</f>
        <v>#DIV/0!</v>
      </c>
      <c r="O13" s="12"/>
      <c r="P13" s="13" t="str">
        <f>O13/D11*100000</f>
        <v>#DIV/0!</v>
      </c>
      <c r="Q13" s="47"/>
      <c r="R13" s="13" t="str">
        <f>Q13/E11*100000</f>
        <v>#DIV/0!</v>
      </c>
      <c r="S13" s="12"/>
      <c r="T13" s="13" t="str">
        <f>S13/F11*100000</f>
        <v>#DIV/0!</v>
      </c>
      <c r="U13" s="12"/>
      <c r="V13" s="13" t="str">
        <f>U13/G11*100000</f>
        <v>#DIV/0!</v>
      </c>
      <c r="W13" s="12"/>
      <c r="X13" s="13" t="str">
        <f>W13/H11*100000</f>
        <v>#DIV/0!</v>
      </c>
      <c r="Y13" s="13">
        <f t="shared" ref="Y13:Z13" si="14">((M13+O13+Q13+S13)/4)</f>
        <v>0</v>
      </c>
      <c r="Z13" s="13" t="str">
        <f t="shared" si="14"/>
        <v>#DIV/0!</v>
      </c>
      <c r="AA13" s="13">
        <f t="shared" si="3"/>
        <v>0</v>
      </c>
      <c r="AB13" s="13" t="str">
        <f t="shared" si="4"/>
        <v>#DIV/0!</v>
      </c>
      <c r="AC13" s="14" t="s">
        <v>48</v>
      </c>
    </row>
    <row r="14" ht="14.25" customHeight="1">
      <c r="A14" s="5"/>
      <c r="B14" s="55" t="s">
        <v>51</v>
      </c>
      <c r="C14" s="53"/>
      <c r="D14" s="53"/>
      <c r="E14" s="53"/>
      <c r="F14" s="53"/>
      <c r="G14" s="53"/>
      <c r="H14" s="58"/>
      <c r="I14" s="5"/>
      <c r="J14" s="5"/>
      <c r="K14" s="5"/>
      <c r="L14" s="11" t="s">
        <v>52</v>
      </c>
      <c r="M14" s="12"/>
      <c r="N14" s="13" t="str">
        <f>M14/M4*1000</f>
        <v>#DIV/0!</v>
      </c>
      <c r="O14" s="12"/>
      <c r="P14" s="13" t="str">
        <f>O14/O4*1000</f>
        <v>#DIV/0!</v>
      </c>
      <c r="Q14" s="47"/>
      <c r="R14" s="13" t="str">
        <f>Q14/Q4*1000</f>
        <v>#DIV/0!</v>
      </c>
      <c r="S14" s="12"/>
      <c r="T14" s="13" t="str">
        <f>S14/S4*1000</f>
        <v>#DIV/0!</v>
      </c>
      <c r="U14" s="12"/>
      <c r="V14" s="13" t="str">
        <f>U14/U4*1000</f>
        <v>#DIV/0!</v>
      </c>
      <c r="W14" s="12"/>
      <c r="X14" s="13" t="str">
        <f>W14/W4*1000</f>
        <v>#DIV/0!</v>
      </c>
      <c r="Y14" s="13">
        <f t="shared" ref="Y14:Z14" si="15">((M14+O14+Q14+S14)/4)</f>
        <v>0</v>
      </c>
      <c r="Z14" s="13" t="str">
        <f t="shared" si="15"/>
        <v>#DIV/0!</v>
      </c>
      <c r="AA14" s="13">
        <f t="shared" si="3"/>
        <v>0</v>
      </c>
      <c r="AB14" s="13" t="str">
        <f t="shared" si="4"/>
        <v>#DIV/0!</v>
      </c>
      <c r="AC14" s="14" t="s">
        <v>22</v>
      </c>
    </row>
    <row r="15" ht="14.25" customHeight="1">
      <c r="A15" s="5"/>
      <c r="B15" s="55" t="s">
        <v>53</v>
      </c>
      <c r="C15" s="53"/>
      <c r="D15" s="53"/>
      <c r="E15" s="53"/>
      <c r="F15" s="53"/>
      <c r="G15" s="53"/>
      <c r="H15" s="58"/>
      <c r="I15" s="5"/>
      <c r="J15" s="5"/>
      <c r="K15" s="5"/>
      <c r="L15" s="11" t="s">
        <v>54</v>
      </c>
      <c r="M15" s="12"/>
      <c r="N15" s="13" t="str">
        <f>M15/C15*100000</f>
        <v>#DIV/0!</v>
      </c>
      <c r="O15" s="12"/>
      <c r="P15" s="13" t="str">
        <f>O15/D15*100000</f>
        <v>#DIV/0!</v>
      </c>
      <c r="Q15" s="47"/>
      <c r="R15" s="13" t="str">
        <f>Q15/E15*100000</f>
        <v>#DIV/0!</v>
      </c>
      <c r="S15" s="12"/>
      <c r="T15" s="13" t="str">
        <f>S15/F15*100000</f>
        <v>#DIV/0!</v>
      </c>
      <c r="U15" s="12"/>
      <c r="V15" s="13" t="str">
        <f>U15/G15*100000</f>
        <v>#DIV/0!</v>
      </c>
      <c r="W15" s="12"/>
      <c r="X15" s="13" t="str">
        <f>W15/H15*100000</f>
        <v>#DIV/0!</v>
      </c>
      <c r="Y15" s="13">
        <f t="shared" ref="Y15:Z15" si="16">((M15+O15+Q15+S15)/4)</f>
        <v>0</v>
      </c>
      <c r="Z15" s="13" t="str">
        <f t="shared" si="16"/>
        <v>#DIV/0!</v>
      </c>
      <c r="AA15" s="13">
        <f t="shared" si="3"/>
        <v>0</v>
      </c>
      <c r="AB15" s="13" t="str">
        <f t="shared" si="4"/>
        <v>#DIV/0!</v>
      </c>
      <c r="AC15" s="14" t="s">
        <v>22</v>
      </c>
    </row>
    <row r="16" ht="14.25" customHeight="1">
      <c r="A16" s="5"/>
      <c r="B16" s="55" t="s">
        <v>55</v>
      </c>
      <c r="C16" s="53"/>
      <c r="D16" s="53"/>
      <c r="E16" s="53"/>
      <c r="F16" s="53"/>
      <c r="G16" s="53"/>
      <c r="H16" s="58"/>
      <c r="I16" s="5"/>
      <c r="J16" s="5"/>
      <c r="K16" s="5"/>
      <c r="L16" s="11" t="s">
        <v>56</v>
      </c>
      <c r="M16" s="12"/>
      <c r="N16" s="13" t="str">
        <f>M16/M4*100</f>
        <v>#DIV/0!</v>
      </c>
      <c r="O16" s="12"/>
      <c r="P16" s="13" t="str">
        <f>O16/O4*100</f>
        <v>#DIV/0!</v>
      </c>
      <c r="Q16" s="47"/>
      <c r="R16" s="13" t="str">
        <f>Q16/Q4*100</f>
        <v>#DIV/0!</v>
      </c>
      <c r="S16" s="12"/>
      <c r="T16" s="13" t="str">
        <f>S16/S4*100</f>
        <v>#DIV/0!</v>
      </c>
      <c r="U16" s="12"/>
      <c r="V16" s="13" t="str">
        <f>U16/U4*100</f>
        <v>#DIV/0!</v>
      </c>
      <c r="W16" s="12"/>
      <c r="X16" s="13" t="str">
        <f>W16/W4*100</f>
        <v>#DIV/0!</v>
      </c>
      <c r="Y16" s="13">
        <f t="shared" ref="Y16:Z16" si="17">((M16+O16+Q16+S16)/4)</f>
        <v>0</v>
      </c>
      <c r="Z16" s="13" t="str">
        <f t="shared" si="17"/>
        <v>#DIV/0!</v>
      </c>
      <c r="AA16" s="13">
        <f t="shared" si="3"/>
        <v>0</v>
      </c>
      <c r="AB16" s="13" t="str">
        <f t="shared" si="4"/>
        <v>#DIV/0!</v>
      </c>
      <c r="AC16" s="14" t="s">
        <v>24</v>
      </c>
    </row>
    <row r="17" ht="14.25" customHeight="1">
      <c r="A17" s="5"/>
      <c r="B17" s="55" t="s">
        <v>57</v>
      </c>
      <c r="C17" s="53"/>
      <c r="D17" s="53"/>
      <c r="E17" s="53"/>
      <c r="F17" s="53"/>
      <c r="G17" s="53"/>
      <c r="H17" s="58"/>
      <c r="I17" s="5"/>
      <c r="J17" s="5"/>
      <c r="K17" s="5"/>
      <c r="L17" s="11" t="s">
        <v>58</v>
      </c>
      <c r="M17" s="12"/>
      <c r="N17" s="13" t="str">
        <f>M17/M4*100</f>
        <v>#DIV/0!</v>
      </c>
      <c r="O17" s="12"/>
      <c r="P17" s="13" t="str">
        <f>O17/O4*100</f>
        <v>#DIV/0!</v>
      </c>
      <c r="Q17" s="47"/>
      <c r="R17" s="13" t="str">
        <f>Q17/Q4*100</f>
        <v>#DIV/0!</v>
      </c>
      <c r="S17" s="12"/>
      <c r="T17" s="13" t="str">
        <f>S17/S4*100</f>
        <v>#DIV/0!</v>
      </c>
      <c r="U17" s="12"/>
      <c r="V17" s="13" t="str">
        <f>U17/U4*100</f>
        <v>#DIV/0!</v>
      </c>
      <c r="W17" s="12"/>
      <c r="X17" s="13" t="str">
        <f>W17/W4*100</f>
        <v>#DIV/0!</v>
      </c>
      <c r="Y17" s="13">
        <f t="shared" ref="Y17:Z17" si="18">((M17+O17+Q17+S17)/4)</f>
        <v>0</v>
      </c>
      <c r="Z17" s="13" t="str">
        <f t="shared" si="18"/>
        <v>#DIV/0!</v>
      </c>
      <c r="AA17" s="13">
        <f t="shared" si="3"/>
        <v>0</v>
      </c>
      <c r="AB17" s="13" t="str">
        <f t="shared" si="4"/>
        <v>#DIV/0!</v>
      </c>
      <c r="AC17" s="14" t="s">
        <v>24</v>
      </c>
    </row>
    <row r="18" ht="14.25" customHeight="1">
      <c r="A18" s="5"/>
      <c r="B18" s="55" t="s">
        <v>59</v>
      </c>
      <c r="C18" s="53"/>
      <c r="D18" s="53"/>
      <c r="E18" s="53"/>
      <c r="F18" s="53"/>
      <c r="G18" s="53"/>
      <c r="H18" s="58"/>
      <c r="I18" s="5"/>
      <c r="J18" s="5"/>
      <c r="K18" s="5"/>
      <c r="L18" s="11" t="s">
        <v>60</v>
      </c>
      <c r="M18" s="61"/>
      <c r="N18" s="28" t="str">
        <f>M18/C15*1000</f>
        <v>#DIV/0!</v>
      </c>
      <c r="O18" s="12"/>
      <c r="P18" s="28" t="str">
        <f>O18/D15*1000</f>
        <v>#DIV/0!</v>
      </c>
      <c r="Q18" s="47"/>
      <c r="R18" s="28" t="str">
        <f>Q18/E15*1000</f>
        <v>#DIV/0!</v>
      </c>
      <c r="S18" s="61"/>
      <c r="T18" s="28" t="str">
        <f>S18/F15*1000</f>
        <v>#DIV/0!</v>
      </c>
      <c r="U18" s="61"/>
      <c r="V18" s="28" t="str">
        <f>U18/G15*1000</f>
        <v>#DIV/0!</v>
      </c>
      <c r="W18" s="61"/>
      <c r="X18" s="28" t="str">
        <f>W18/H15*1000</f>
        <v>#DIV/0!</v>
      </c>
      <c r="Y18" s="13">
        <f t="shared" ref="Y18:Z18" si="19">((M18+O18+Q18+S18)/4)</f>
        <v>0</v>
      </c>
      <c r="Z18" s="13" t="str">
        <f t="shared" si="19"/>
        <v>#DIV/0!</v>
      </c>
      <c r="AA18" s="13">
        <f t="shared" si="3"/>
        <v>0</v>
      </c>
      <c r="AB18" s="13" t="str">
        <f t="shared" si="4"/>
        <v>#DIV/0!</v>
      </c>
      <c r="AC18" s="14" t="s">
        <v>48</v>
      </c>
    </row>
    <row r="19" ht="14.25" customHeight="1">
      <c r="A19" s="5"/>
      <c r="B19" s="55" t="s">
        <v>61</v>
      </c>
      <c r="C19" s="53"/>
      <c r="D19" s="53"/>
      <c r="E19" s="53"/>
      <c r="F19" s="53"/>
      <c r="G19" s="53"/>
      <c r="H19" s="58"/>
      <c r="I19" s="5"/>
      <c r="J19" s="5"/>
      <c r="K19" s="5"/>
      <c r="L19" s="11" t="s">
        <v>62</v>
      </c>
      <c r="M19" s="12"/>
      <c r="N19" s="13" t="str">
        <f>M19/M4*100</f>
        <v>#DIV/0!</v>
      </c>
      <c r="O19" s="12"/>
      <c r="P19" s="13" t="str">
        <f>O19/O4*100</f>
        <v>#DIV/0!</v>
      </c>
      <c r="Q19" s="47"/>
      <c r="R19" s="13" t="str">
        <f>Q19/Q4*100</f>
        <v>#DIV/0!</v>
      </c>
      <c r="S19" s="12"/>
      <c r="T19" s="13" t="str">
        <f>S19/S4*100</f>
        <v>#DIV/0!</v>
      </c>
      <c r="U19" s="12"/>
      <c r="V19" s="13" t="str">
        <f>U19/U4*100</f>
        <v>#DIV/0!</v>
      </c>
      <c r="W19" s="12"/>
      <c r="X19" s="13" t="str">
        <f>W19/W4*100</f>
        <v>#DIV/0!</v>
      </c>
      <c r="Y19" s="13">
        <f t="shared" ref="Y19:Z19" si="20">((M19+O19+Q19+S19)/4)</f>
        <v>0</v>
      </c>
      <c r="Z19" s="13" t="str">
        <f t="shared" si="20"/>
        <v>#DIV/0!</v>
      </c>
      <c r="AA19" s="13">
        <f t="shared" si="3"/>
        <v>0</v>
      </c>
      <c r="AB19" s="13" t="str">
        <f t="shared" si="4"/>
        <v>#DIV/0!</v>
      </c>
      <c r="AC19" s="14" t="s">
        <v>63</v>
      </c>
    </row>
    <row r="20" ht="14.25" customHeight="1">
      <c r="A20" s="5"/>
      <c r="B20" s="55" t="s">
        <v>64</v>
      </c>
      <c r="C20" s="53"/>
      <c r="D20" s="57"/>
      <c r="E20" s="53"/>
      <c r="F20" s="53"/>
      <c r="G20" s="53"/>
      <c r="H20" s="58"/>
      <c r="I20" s="5"/>
      <c r="J20" s="5"/>
      <c r="K20" s="5"/>
      <c r="L20" s="11" t="s">
        <v>65</v>
      </c>
      <c r="M20" s="12"/>
      <c r="N20" s="13" t="str">
        <f t="shared" ref="N20:N21" si="22">M20/C20*1000</f>
        <v>#DIV/0!</v>
      </c>
      <c r="O20" s="12"/>
      <c r="P20" s="13" t="str">
        <f t="shared" ref="P20:P21" si="23">O20/D20*1000</f>
        <v>#DIV/0!</v>
      </c>
      <c r="Q20" s="47"/>
      <c r="R20" s="13" t="str">
        <f t="shared" ref="R20:R21" si="24">Q20/E20*1000</f>
        <v>#DIV/0!</v>
      </c>
      <c r="S20" s="12"/>
      <c r="T20" s="13" t="str">
        <f t="shared" ref="T20:T21" si="25">S20/F20*1000</f>
        <v>#DIV/0!</v>
      </c>
      <c r="U20" s="12"/>
      <c r="V20" s="13" t="str">
        <f t="shared" ref="V20:V21" si="26">U20/G20*1000</f>
        <v>#DIV/0!</v>
      </c>
      <c r="W20" s="12"/>
      <c r="X20" s="13" t="str">
        <f t="shared" ref="X20:X21" si="27">W20/H20*1000</f>
        <v>#DIV/0!</v>
      </c>
      <c r="Y20" s="13">
        <f t="shared" ref="Y20:Z20" si="21">((M20+O20+Q20+S20)/4)</f>
        <v>0</v>
      </c>
      <c r="Z20" s="13" t="str">
        <f t="shared" si="21"/>
        <v>#DIV/0!</v>
      </c>
      <c r="AA20" s="13">
        <f t="shared" si="3"/>
        <v>0</v>
      </c>
      <c r="AB20" s="13" t="str">
        <f t="shared" si="4"/>
        <v>#DIV/0!</v>
      </c>
      <c r="AC20" s="14" t="s">
        <v>63</v>
      </c>
    </row>
    <row r="21" ht="14.25" customHeight="1">
      <c r="A21" s="5"/>
      <c r="B21" s="55" t="s">
        <v>66</v>
      </c>
      <c r="C21" s="53"/>
      <c r="D21" s="57"/>
      <c r="E21" s="53"/>
      <c r="F21" s="53"/>
      <c r="G21" s="53"/>
      <c r="H21" s="58"/>
      <c r="I21" s="5"/>
      <c r="J21" s="5"/>
      <c r="K21" s="5"/>
      <c r="L21" s="11" t="s">
        <v>67</v>
      </c>
      <c r="M21" s="12"/>
      <c r="N21" s="13" t="str">
        <f t="shared" si="22"/>
        <v>#DIV/0!</v>
      </c>
      <c r="O21" s="12"/>
      <c r="P21" s="13" t="str">
        <f t="shared" si="23"/>
        <v>#DIV/0!</v>
      </c>
      <c r="Q21" s="47"/>
      <c r="R21" s="13" t="str">
        <f t="shared" si="24"/>
        <v>#DIV/0!</v>
      </c>
      <c r="S21" s="12"/>
      <c r="T21" s="13" t="str">
        <f t="shared" si="25"/>
        <v>#DIV/0!</v>
      </c>
      <c r="U21" s="12"/>
      <c r="V21" s="13" t="str">
        <f t="shared" si="26"/>
        <v>#DIV/0!</v>
      </c>
      <c r="W21" s="12"/>
      <c r="X21" s="13" t="str">
        <f t="shared" si="27"/>
        <v>#DIV/0!</v>
      </c>
      <c r="Y21" s="13">
        <f t="shared" ref="Y21:Z21" si="28">((M21+O21+Q21+S21)/4)</f>
        <v>0</v>
      </c>
      <c r="Z21" s="13" t="str">
        <f t="shared" si="28"/>
        <v>#DIV/0!</v>
      </c>
      <c r="AA21" s="13">
        <f t="shared" si="3"/>
        <v>0</v>
      </c>
      <c r="AB21" s="13" t="str">
        <f t="shared" si="4"/>
        <v>#DIV/0!</v>
      </c>
      <c r="AC21" s="14" t="s">
        <v>63</v>
      </c>
    </row>
    <row r="22" ht="14.25" customHeight="1">
      <c r="A22" s="5"/>
      <c r="B22" s="55" t="s">
        <v>68</v>
      </c>
      <c r="C22" s="53"/>
      <c r="D22" s="53"/>
      <c r="E22" s="53"/>
      <c r="F22" s="53"/>
      <c r="G22" s="53"/>
      <c r="H22" s="58"/>
      <c r="I22" s="5"/>
      <c r="J22" s="5"/>
      <c r="K22" s="5"/>
      <c r="L22" s="11" t="s">
        <v>69</v>
      </c>
      <c r="M22" s="61"/>
      <c r="N22" s="28" t="str">
        <f>M22/C7*100000</f>
        <v>#DIV/0!</v>
      </c>
      <c r="O22" s="12"/>
      <c r="P22" s="28" t="str">
        <f>O22/D7*100000</f>
        <v>#DIV/0!</v>
      </c>
      <c r="Q22" s="47"/>
      <c r="R22" s="28" t="str">
        <f>Q22/E7*100000</f>
        <v>#DIV/0!</v>
      </c>
      <c r="S22" s="61"/>
      <c r="T22" s="28" t="str">
        <f>S22/F7*100000</f>
        <v>#DIV/0!</v>
      </c>
      <c r="U22" s="61"/>
      <c r="V22" s="28" t="str">
        <f>U22/G7*100000</f>
        <v>#DIV/0!</v>
      </c>
      <c r="W22" s="61"/>
      <c r="X22" s="28" t="str">
        <f>W22/H7*100000</f>
        <v>#DIV/0!</v>
      </c>
      <c r="Y22" s="13">
        <f t="shared" ref="Y22:Z22" si="29">((M22+O22+Q22+S22)/4)</f>
        <v>0</v>
      </c>
      <c r="Z22" s="13" t="str">
        <f t="shared" si="29"/>
        <v>#DIV/0!</v>
      </c>
      <c r="AA22" s="13">
        <f t="shared" si="3"/>
        <v>0</v>
      </c>
      <c r="AB22" s="13" t="str">
        <f t="shared" si="4"/>
        <v>#DIV/0!</v>
      </c>
      <c r="AC22" s="14" t="s">
        <v>22</v>
      </c>
    </row>
    <row r="23" ht="14.25" customHeight="1">
      <c r="A23" s="5"/>
      <c r="B23" s="55" t="s">
        <v>70</v>
      </c>
      <c r="C23" s="53"/>
      <c r="D23" s="53"/>
      <c r="E23" s="53"/>
      <c r="F23" s="53"/>
      <c r="G23" s="53"/>
      <c r="H23" s="58"/>
      <c r="I23" s="5"/>
      <c r="J23" s="5"/>
      <c r="K23" s="5"/>
      <c r="L23" s="11" t="s">
        <v>71</v>
      </c>
      <c r="M23" s="61"/>
      <c r="N23" s="28" t="str">
        <f>M23/C7*100000</f>
        <v>#DIV/0!</v>
      </c>
      <c r="O23" s="12"/>
      <c r="P23" s="28" t="str">
        <f>O23/D7*100000</f>
        <v>#DIV/0!</v>
      </c>
      <c r="Q23" s="47"/>
      <c r="R23" s="28" t="str">
        <f>Q23/E7*100000</f>
        <v>#DIV/0!</v>
      </c>
      <c r="S23" s="61"/>
      <c r="T23" s="28" t="str">
        <f>S23/F7*100000</f>
        <v>#DIV/0!</v>
      </c>
      <c r="U23" s="61"/>
      <c r="V23" s="28" t="str">
        <f>U23/G7*100000</f>
        <v>#DIV/0!</v>
      </c>
      <c r="W23" s="61"/>
      <c r="X23" s="28" t="str">
        <f>W23/H7*100000</f>
        <v>#DIV/0!</v>
      </c>
      <c r="Y23" s="13">
        <f t="shared" ref="Y23:Z23" si="30">((M23+O23+Q23+S23)/4)</f>
        <v>0</v>
      </c>
      <c r="Z23" s="13" t="str">
        <f t="shared" si="30"/>
        <v>#DIV/0!</v>
      </c>
      <c r="AA23" s="13">
        <f t="shared" si="3"/>
        <v>0</v>
      </c>
      <c r="AB23" s="13" t="str">
        <f t="shared" si="4"/>
        <v>#DIV/0!</v>
      </c>
      <c r="AC23" s="14" t="s">
        <v>22</v>
      </c>
    </row>
    <row r="24" ht="14.25" customHeight="1">
      <c r="A24" s="5"/>
      <c r="B24" s="55" t="s">
        <v>72</v>
      </c>
      <c r="C24" s="53"/>
      <c r="D24" s="53"/>
      <c r="E24" s="53"/>
      <c r="F24" s="53"/>
      <c r="G24" s="53"/>
      <c r="H24" s="58"/>
      <c r="I24" s="5"/>
      <c r="J24" s="5"/>
      <c r="K24" s="5"/>
      <c r="L24" s="11" t="s">
        <v>73</v>
      </c>
      <c r="M24" s="61"/>
      <c r="N24" s="28" t="str">
        <f>M24/C7*100000</f>
        <v>#DIV/0!</v>
      </c>
      <c r="O24" s="12"/>
      <c r="P24" s="28" t="str">
        <f>O24/D7*100000</f>
        <v>#DIV/0!</v>
      </c>
      <c r="Q24" s="47"/>
      <c r="R24" s="28" t="str">
        <f>Q24/E7*100000</f>
        <v>#DIV/0!</v>
      </c>
      <c r="S24" s="61"/>
      <c r="T24" s="28" t="str">
        <f>S24/F7*100000</f>
        <v>#DIV/0!</v>
      </c>
      <c r="U24" s="61"/>
      <c r="V24" s="28" t="str">
        <f>U24/G7*100000</f>
        <v>#DIV/0!</v>
      </c>
      <c r="W24" s="61"/>
      <c r="X24" s="28" t="str">
        <f>W24/H7*100000</f>
        <v>#DIV/0!</v>
      </c>
      <c r="Y24" s="13">
        <f t="shared" ref="Y24:Z24" si="31">((M24+O24+Q24+S24)/4)</f>
        <v>0</v>
      </c>
      <c r="Z24" s="13" t="str">
        <f t="shared" si="31"/>
        <v>#DIV/0!</v>
      </c>
      <c r="AA24" s="13">
        <f t="shared" si="3"/>
        <v>0</v>
      </c>
      <c r="AB24" s="13" t="str">
        <f t="shared" si="4"/>
        <v>#DIV/0!</v>
      </c>
      <c r="AC24" s="14" t="s">
        <v>22</v>
      </c>
    </row>
    <row r="25" ht="14.25" customHeight="1">
      <c r="A25" s="5"/>
      <c r="B25" s="55" t="s">
        <v>74</v>
      </c>
      <c r="C25" s="53"/>
      <c r="D25" s="53"/>
      <c r="E25" s="53"/>
      <c r="F25" s="53"/>
      <c r="G25" s="53"/>
      <c r="H25" s="58"/>
      <c r="I25" s="5"/>
      <c r="J25" s="5"/>
      <c r="K25" s="5"/>
      <c r="L25" s="11" t="s">
        <v>75</v>
      </c>
      <c r="M25" s="61"/>
      <c r="N25" s="28" t="str">
        <f>M25/C7*100000</f>
        <v>#DIV/0!</v>
      </c>
      <c r="O25" s="12"/>
      <c r="P25" s="28" t="str">
        <f>O25/D7*100000</f>
        <v>#DIV/0!</v>
      </c>
      <c r="Q25" s="47"/>
      <c r="R25" s="28" t="str">
        <f>Q25/E7*100000</f>
        <v>#DIV/0!</v>
      </c>
      <c r="S25" s="61"/>
      <c r="T25" s="28" t="str">
        <f>S25/F7*100000</f>
        <v>#DIV/0!</v>
      </c>
      <c r="U25" s="61"/>
      <c r="V25" s="28" t="str">
        <f>U25/G7*100000</f>
        <v>#DIV/0!</v>
      </c>
      <c r="W25" s="61"/>
      <c r="X25" s="28" t="str">
        <f>W25/H7*100000</f>
        <v>#DIV/0!</v>
      </c>
      <c r="Y25" s="13">
        <f t="shared" ref="Y25:Z25" si="32">((M25+O25+Q25+S25)/4)</f>
        <v>0</v>
      </c>
      <c r="Z25" s="13" t="str">
        <f t="shared" si="32"/>
        <v>#DIV/0!</v>
      </c>
      <c r="AA25" s="13">
        <f t="shared" si="3"/>
        <v>0</v>
      </c>
      <c r="AB25" s="13" t="str">
        <f t="shared" si="4"/>
        <v>#DIV/0!</v>
      </c>
      <c r="AC25" s="14" t="s">
        <v>48</v>
      </c>
    </row>
    <row r="26" ht="14.25" customHeight="1">
      <c r="A26" s="5"/>
      <c r="B26" s="55" t="s">
        <v>76</v>
      </c>
      <c r="C26" s="62"/>
      <c r="D26" s="62"/>
      <c r="E26" s="62"/>
      <c r="F26" s="62"/>
      <c r="G26" s="62"/>
      <c r="H26" s="58"/>
      <c r="I26" s="5"/>
      <c r="J26" s="5"/>
      <c r="K26" s="5"/>
      <c r="L26" s="11" t="s">
        <v>77</v>
      </c>
      <c r="M26" s="12"/>
      <c r="N26" s="13" t="str">
        <f>M26/C7*100000</f>
        <v>#DIV/0!</v>
      </c>
      <c r="O26" s="12"/>
      <c r="P26" s="13" t="str">
        <f>O26/D7*100000</f>
        <v>#DIV/0!</v>
      </c>
      <c r="Q26" s="47"/>
      <c r="R26" s="13" t="str">
        <f>Q26/E7*100000</f>
        <v>#DIV/0!</v>
      </c>
      <c r="S26" s="12"/>
      <c r="T26" s="13" t="str">
        <f>S26/F7*100000</f>
        <v>#DIV/0!</v>
      </c>
      <c r="U26" s="12"/>
      <c r="V26" s="13" t="str">
        <f>U26/G7*100000</f>
        <v>#DIV/0!</v>
      </c>
      <c r="W26" s="12"/>
      <c r="X26" s="13" t="str">
        <f>W26/H7*100000</f>
        <v>#DIV/0!</v>
      </c>
      <c r="Y26" s="13">
        <f t="shared" ref="Y26:Z26" si="33">((M26+O26+Q26+S26)/4)</f>
        <v>0</v>
      </c>
      <c r="Z26" s="13" t="str">
        <f t="shared" si="33"/>
        <v>#DIV/0!</v>
      </c>
      <c r="AA26" s="13">
        <f t="shared" si="3"/>
        <v>0</v>
      </c>
      <c r="AB26" s="13" t="str">
        <f t="shared" si="4"/>
        <v>#DIV/0!</v>
      </c>
      <c r="AC26" s="14" t="s">
        <v>22</v>
      </c>
    </row>
    <row r="27" ht="14.25" customHeight="1">
      <c r="A27" s="5"/>
      <c r="B27" s="63" t="s">
        <v>78</v>
      </c>
      <c r="C27" s="64"/>
      <c r="D27" s="64"/>
      <c r="E27" s="65"/>
      <c r="F27" s="65"/>
      <c r="G27" s="65"/>
      <c r="H27" s="66"/>
      <c r="I27" s="5"/>
      <c r="J27" s="5"/>
      <c r="K27" s="5"/>
      <c r="L27" s="11" t="s">
        <v>79</v>
      </c>
      <c r="M27" s="12"/>
      <c r="N27" s="13" t="str">
        <f>M27/C11*100000</f>
        <v>#DIV/0!</v>
      </c>
      <c r="O27" s="12"/>
      <c r="P27" s="13" t="str">
        <f>O27/D11*100000</f>
        <v>#DIV/0!</v>
      </c>
      <c r="Q27" s="47"/>
      <c r="R27" s="13" t="str">
        <f>Q27/E11*100000</f>
        <v>#DIV/0!</v>
      </c>
      <c r="S27" s="12"/>
      <c r="T27" s="13" t="str">
        <f>S27/F11*100000</f>
        <v>#DIV/0!</v>
      </c>
      <c r="U27" s="12"/>
      <c r="V27" s="13" t="str">
        <f>U27/G11*100000</f>
        <v>#DIV/0!</v>
      </c>
      <c r="W27" s="12"/>
      <c r="X27" s="13" t="str">
        <f>W27/H11*100000</f>
        <v>#DIV/0!</v>
      </c>
      <c r="Y27" s="13">
        <f t="shared" ref="Y27:Z27" si="34">((M27+O27+Q27+S27)/4)</f>
        <v>0</v>
      </c>
      <c r="Z27" s="13" t="str">
        <f t="shared" si="34"/>
        <v>#DIV/0!</v>
      </c>
      <c r="AA27" s="13">
        <f t="shared" si="3"/>
        <v>0</v>
      </c>
      <c r="AB27" s="13" t="str">
        <f t="shared" si="4"/>
        <v>#DIV/0!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 t="str">
        <f>M28/C11*100000</f>
        <v>#DIV/0!</v>
      </c>
      <c r="O28" s="12"/>
      <c r="P28" s="13" t="str">
        <f>O28/D11*100000</f>
        <v>#DIV/0!</v>
      </c>
      <c r="Q28" s="47"/>
      <c r="R28" s="13" t="str">
        <f>Q28/E11*100000</f>
        <v>#DIV/0!</v>
      </c>
      <c r="S28" s="12"/>
      <c r="T28" s="13" t="str">
        <f>S28/F11*100000</f>
        <v>#DIV/0!</v>
      </c>
      <c r="U28" s="12"/>
      <c r="V28" s="13" t="str">
        <f>U28/G11*100000</f>
        <v>#DIV/0!</v>
      </c>
      <c r="W28" s="12"/>
      <c r="X28" s="13" t="str">
        <f>W28/H11*100000</f>
        <v>#DIV/0!</v>
      </c>
      <c r="Y28" s="13">
        <f t="shared" ref="Y28:Z28" si="35">((M28+O28+Q28+S28)/4)</f>
        <v>0</v>
      </c>
      <c r="Z28" s="13" t="str">
        <f t="shared" si="35"/>
        <v>#DIV/0!</v>
      </c>
      <c r="AA28" s="13">
        <f t="shared" si="3"/>
        <v>0</v>
      </c>
      <c r="AB28" s="13" t="str">
        <f t="shared" si="4"/>
        <v>#DIV/0!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 t="str">
        <f>M29/C10*100000</f>
        <v>#DIV/0!</v>
      </c>
      <c r="O29" s="12"/>
      <c r="P29" s="13" t="str">
        <f>O29/D10*100000</f>
        <v>#DIV/0!</v>
      </c>
      <c r="Q29" s="47"/>
      <c r="R29" s="13" t="str">
        <f>Q29/E10*100000</f>
        <v>#DIV/0!</v>
      </c>
      <c r="S29" s="12"/>
      <c r="T29" s="13" t="str">
        <f>S29/F10*100000</f>
        <v>#DIV/0!</v>
      </c>
      <c r="U29" s="12"/>
      <c r="V29" s="13" t="str">
        <f>U29/G10*100000</f>
        <v>#DIV/0!</v>
      </c>
      <c r="W29" s="12"/>
      <c r="X29" s="13" t="str">
        <f>W29/H10*100000</f>
        <v>#DIV/0!</v>
      </c>
      <c r="Y29" s="13">
        <f t="shared" ref="Y29:Z29" si="36">((M29+O29+Q29+S29)/4)</f>
        <v>0</v>
      </c>
      <c r="Z29" s="13" t="str">
        <f t="shared" si="36"/>
        <v>#DIV/0!</v>
      </c>
      <c r="AA29" s="13">
        <f t="shared" si="3"/>
        <v>0</v>
      </c>
      <c r="AB29" s="13" t="str">
        <f t="shared" si="4"/>
        <v>#DIV/0!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 t="str">
        <f>M30/C7*100000</f>
        <v>#DIV/0!</v>
      </c>
      <c r="O30" s="12"/>
      <c r="P30" s="13" t="str">
        <f>O30/D7*100000</f>
        <v>#DIV/0!</v>
      </c>
      <c r="Q30" s="47"/>
      <c r="R30" s="13" t="str">
        <f>Q30/E7*100000</f>
        <v>#DIV/0!</v>
      </c>
      <c r="S30" s="12"/>
      <c r="T30" s="13" t="str">
        <f>S30/F7*100000</f>
        <v>#DIV/0!</v>
      </c>
      <c r="U30" s="12"/>
      <c r="V30" s="13" t="str">
        <f>U30/G7*100000</f>
        <v>#DIV/0!</v>
      </c>
      <c r="W30" s="12"/>
      <c r="X30" s="13" t="str">
        <f>W30/H7*100000</f>
        <v>#DIV/0!</v>
      </c>
      <c r="Y30" s="13">
        <f t="shared" ref="Y30:Z30" si="37">((M30+O30+Q30+S30)/4)</f>
        <v>0</v>
      </c>
      <c r="Z30" s="13" t="str">
        <f t="shared" si="37"/>
        <v>#DIV/0!</v>
      </c>
      <c r="AA30" s="13">
        <f t="shared" si="3"/>
        <v>0</v>
      </c>
      <c r="AB30" s="13" t="str">
        <f t="shared" si="4"/>
        <v>#DIV/0!</v>
      </c>
      <c r="AC30" s="14" t="s">
        <v>22</v>
      </c>
    </row>
    <row r="31" ht="14.25" customHeight="1">
      <c r="A31" s="5"/>
      <c r="B31" s="32" t="s">
        <v>84</v>
      </c>
      <c r="C31" s="31"/>
      <c r="D31" s="31"/>
      <c r="E31" s="31"/>
      <c r="F31" s="31"/>
      <c r="G31" s="31"/>
      <c r="H31" s="31"/>
      <c r="I31" s="5"/>
      <c r="J31" s="5"/>
      <c r="K31" s="5"/>
      <c r="L31" s="11" t="s">
        <v>85</v>
      </c>
      <c r="M31" s="12"/>
      <c r="N31" s="13" t="str">
        <f>M31/C7*100000</f>
        <v>#DIV/0!</v>
      </c>
      <c r="O31" s="12"/>
      <c r="P31" s="13" t="str">
        <f>O31/D7*100000</f>
        <v>#DIV/0!</v>
      </c>
      <c r="Q31" s="47"/>
      <c r="R31" s="13" t="str">
        <f>Q31/E7*100000</f>
        <v>#DIV/0!</v>
      </c>
      <c r="S31" s="12"/>
      <c r="T31" s="13" t="str">
        <f>S31/F7*100000</f>
        <v>#DIV/0!</v>
      </c>
      <c r="U31" s="12"/>
      <c r="V31" s="13" t="str">
        <f>U31/G7*100000</f>
        <v>#DIV/0!</v>
      </c>
      <c r="W31" s="12"/>
      <c r="X31" s="13" t="str">
        <f>W31/H7*100000</f>
        <v>#DIV/0!</v>
      </c>
      <c r="Y31" s="13">
        <f t="shared" ref="Y31:Z31" si="38">((M31+O31+Q31+S31)/4)</f>
        <v>0</v>
      </c>
      <c r="Z31" s="13" t="str">
        <f t="shared" si="38"/>
        <v>#DIV/0!</v>
      </c>
      <c r="AA31" s="13">
        <f t="shared" si="3"/>
        <v>0</v>
      </c>
      <c r="AB31" s="13" t="str">
        <f t="shared" si="4"/>
        <v>#DIV/0!</v>
      </c>
      <c r="AC31" s="14" t="s">
        <v>22</v>
      </c>
    </row>
    <row r="32" ht="14.25" customHeight="1">
      <c r="A32" s="5"/>
      <c r="B32" s="32" t="s">
        <v>86</v>
      </c>
      <c r="C32" s="31"/>
      <c r="D32" s="31"/>
      <c r="E32" s="31"/>
      <c r="F32" s="31"/>
      <c r="G32" s="31"/>
      <c r="H32" s="31"/>
      <c r="I32" s="5"/>
      <c r="J32" s="5"/>
      <c r="K32" s="5"/>
      <c r="L32" s="11" t="s">
        <v>87</v>
      </c>
      <c r="M32" s="61"/>
      <c r="N32" s="34" t="str">
        <f>M32/C7*100</f>
        <v>#DIV/0!</v>
      </c>
      <c r="O32" s="12"/>
      <c r="P32" s="34" t="str">
        <f>O32/D7*100</f>
        <v>#DIV/0!</v>
      </c>
      <c r="Q32" s="47"/>
      <c r="R32" s="34" t="str">
        <f>Q32/E7*100</f>
        <v>#DIV/0!</v>
      </c>
      <c r="S32" s="61"/>
      <c r="T32" s="34" t="str">
        <f>S32/F7*100</f>
        <v>#DIV/0!</v>
      </c>
      <c r="U32" s="61"/>
      <c r="V32" s="34" t="str">
        <f>U32/G7*100</f>
        <v>#DIV/0!</v>
      </c>
      <c r="W32" s="61"/>
      <c r="X32" s="34" t="str">
        <f>W32/H7*100</f>
        <v>#DIV/0!</v>
      </c>
      <c r="Y32" s="13">
        <f t="shared" ref="Y32:Z32" si="39">((M32+O32+Q32+S32)/4)</f>
        <v>0</v>
      </c>
      <c r="Z32" s="35" t="str">
        <f t="shared" si="39"/>
        <v>#DIV/0!</v>
      </c>
      <c r="AA32" s="13">
        <f t="shared" si="3"/>
        <v>0</v>
      </c>
      <c r="AB32" s="13" t="str">
        <f t="shared" si="4"/>
        <v>#DIV/0!</v>
      </c>
      <c r="AC32" s="14" t="s">
        <v>48</v>
      </c>
    </row>
    <row r="33" ht="14.25" customHeight="1">
      <c r="A33" s="5"/>
      <c r="B33" s="32" t="s">
        <v>88</v>
      </c>
      <c r="C33" s="31"/>
      <c r="D33" s="31"/>
      <c r="E33" s="31"/>
      <c r="F33" s="31"/>
      <c r="G33" s="31"/>
      <c r="H33" s="31"/>
      <c r="I33" s="5"/>
      <c r="J33" s="5"/>
      <c r="K33" s="5"/>
      <c r="L33" s="11" t="s">
        <v>89</v>
      </c>
      <c r="M33" s="12"/>
      <c r="N33" s="13" t="str">
        <f>M33/C7*10000</f>
        <v>#DIV/0!</v>
      </c>
      <c r="O33" s="12"/>
      <c r="P33" s="13" t="str">
        <f>O33/D7*10000</f>
        <v>#DIV/0!</v>
      </c>
      <c r="Q33" s="47"/>
      <c r="R33" s="13" t="str">
        <f>Q33/E7*10000</f>
        <v>#DIV/0!</v>
      </c>
      <c r="S33" s="12"/>
      <c r="T33" s="13" t="str">
        <f>S33/F7*10000</f>
        <v>#DIV/0!</v>
      </c>
      <c r="U33" s="12"/>
      <c r="V33" s="13" t="str">
        <f>U33/G7*10000</f>
        <v>#DIV/0!</v>
      </c>
      <c r="W33" s="12"/>
      <c r="X33" s="13" t="str">
        <f>W33/H7*10000</f>
        <v>#DIV/0!</v>
      </c>
      <c r="Y33" s="13">
        <f t="shared" ref="Y33:Z33" si="40">((M33+O33+Q33+S33)/4)</f>
        <v>0</v>
      </c>
      <c r="Z33" s="13" t="str">
        <f t="shared" si="40"/>
        <v>#DIV/0!</v>
      </c>
      <c r="AA33" s="13">
        <f t="shared" si="3"/>
        <v>0</v>
      </c>
      <c r="AB33" s="13" t="str">
        <f t="shared" si="4"/>
        <v>#DIV/0!</v>
      </c>
      <c r="AC33" s="14" t="s">
        <v>48</v>
      </c>
    </row>
    <row r="34" ht="14.25" customHeight="1">
      <c r="A34" s="5"/>
      <c r="B34" s="32" t="s">
        <v>90</v>
      </c>
      <c r="C34" s="31"/>
      <c r="D34" s="31"/>
      <c r="E34" s="31"/>
      <c r="F34" s="31"/>
      <c r="G34" s="31"/>
      <c r="H34" s="31"/>
      <c r="I34" s="5"/>
      <c r="J34" s="5"/>
      <c r="K34" s="5"/>
      <c r="L34" s="11" t="s">
        <v>91</v>
      </c>
      <c r="M34" s="12"/>
      <c r="N34" s="13" t="str">
        <f>M34/C7*10000</f>
        <v>#DIV/0!</v>
      </c>
      <c r="O34" s="12"/>
      <c r="P34" s="13" t="str">
        <f>O34/D7*10000</f>
        <v>#DIV/0!</v>
      </c>
      <c r="Q34" s="47"/>
      <c r="R34" s="13" t="str">
        <f>Q34/E7*10000</f>
        <v>#DIV/0!</v>
      </c>
      <c r="S34" s="12"/>
      <c r="T34" s="13" t="str">
        <f>S34/F7*10000</f>
        <v>#DIV/0!</v>
      </c>
      <c r="U34" s="12"/>
      <c r="V34" s="13" t="str">
        <f>U34/G7*10000</f>
        <v>#DIV/0!</v>
      </c>
      <c r="W34" s="12"/>
      <c r="X34" s="13" t="str">
        <f>W34/H7*10000</f>
        <v>#DIV/0!</v>
      </c>
      <c r="Y34" s="13">
        <f t="shared" ref="Y34:Z34" si="41">((M34+O34+Q34+S34)/4)</f>
        <v>0</v>
      </c>
      <c r="Z34" s="13" t="str">
        <f t="shared" si="41"/>
        <v>#DIV/0!</v>
      </c>
      <c r="AA34" s="13">
        <f t="shared" si="3"/>
        <v>0</v>
      </c>
      <c r="AB34" s="13" t="str">
        <f t="shared" si="4"/>
        <v>#DIV/0!</v>
      </c>
      <c r="AC34" s="14" t="s">
        <v>48</v>
      </c>
    </row>
    <row r="35" ht="14.25" customHeight="1">
      <c r="A35" s="5"/>
      <c r="B35" s="32" t="s">
        <v>92</v>
      </c>
      <c r="C35" s="31"/>
      <c r="D35" s="31"/>
      <c r="E35" s="31"/>
      <c r="F35" s="31"/>
      <c r="G35" s="31"/>
      <c r="H35" s="31"/>
      <c r="I35" s="5"/>
      <c r="J35" s="5"/>
      <c r="K35" s="5"/>
      <c r="L35" s="11" t="s">
        <v>93</v>
      </c>
      <c r="M35" s="12"/>
      <c r="N35" s="13" t="str">
        <f>M35/M4*1000</f>
        <v>#DIV/0!</v>
      </c>
      <c r="O35" s="12"/>
      <c r="P35" s="13" t="str">
        <f>O35/O4*1000</f>
        <v>#DIV/0!</v>
      </c>
      <c r="Q35" s="47"/>
      <c r="R35" s="13" t="str">
        <f>Q35/Q4*1000</f>
        <v>#DIV/0!</v>
      </c>
      <c r="S35" s="12"/>
      <c r="T35" s="13" t="str">
        <f>S35/S4*1000</f>
        <v>#DIV/0!</v>
      </c>
      <c r="U35" s="12"/>
      <c r="V35" s="13" t="str">
        <f>U35/U4*1000</f>
        <v>#DIV/0!</v>
      </c>
      <c r="W35" s="12"/>
      <c r="X35" s="13" t="str">
        <f>W35/W4*1000</f>
        <v>#DIV/0!</v>
      </c>
      <c r="Y35" s="13">
        <f t="shared" ref="Y35:Z35" si="42">((M35+O35+Q35+S35)/4)</f>
        <v>0</v>
      </c>
      <c r="Z35" s="13" t="str">
        <f t="shared" si="42"/>
        <v>#DIV/0!</v>
      </c>
      <c r="AA35" s="13">
        <f t="shared" si="3"/>
        <v>0</v>
      </c>
      <c r="AB35" s="13" t="str">
        <f t="shared" si="4"/>
        <v>#DIV/0!</v>
      </c>
      <c r="AC35" s="14" t="s">
        <v>48</v>
      </c>
    </row>
    <row r="36" ht="14.25" customHeight="1">
      <c r="A36" s="5"/>
      <c r="B36" s="32" t="s">
        <v>94</v>
      </c>
      <c r="C36" s="31"/>
      <c r="D36" s="31"/>
      <c r="E36" s="31"/>
      <c r="F36" s="31"/>
      <c r="G36" s="31"/>
      <c r="H36" s="31"/>
      <c r="I36" s="5"/>
      <c r="J36" s="5"/>
      <c r="K36" s="5"/>
      <c r="L36" s="11" t="s">
        <v>95</v>
      </c>
      <c r="M36" s="12"/>
      <c r="N36" s="13" t="str">
        <f>M36/M4*1000</f>
        <v>#DIV/0!</v>
      </c>
      <c r="O36" s="12"/>
      <c r="P36" s="13" t="str">
        <f>O36/O4*1000</f>
        <v>#DIV/0!</v>
      </c>
      <c r="Q36" s="47"/>
      <c r="R36" s="13" t="str">
        <f>Q36/Q4*1000</f>
        <v>#DIV/0!</v>
      </c>
      <c r="S36" s="12"/>
      <c r="T36" s="13" t="str">
        <f>S36/S4*1000</f>
        <v>#DIV/0!</v>
      </c>
      <c r="U36" s="12"/>
      <c r="V36" s="13" t="str">
        <f>U36/U4*1000</f>
        <v>#DIV/0!</v>
      </c>
      <c r="W36" s="12"/>
      <c r="X36" s="13" t="str">
        <f>W36/W4*1000</f>
        <v>#DIV/0!</v>
      </c>
      <c r="Y36" s="13">
        <f t="shared" ref="Y36:Z36" si="43">((M36+O36+Q36+S36)/4)</f>
        <v>0</v>
      </c>
      <c r="Z36" s="13" t="str">
        <f t="shared" si="43"/>
        <v>#DIV/0!</v>
      </c>
      <c r="AA36" s="13">
        <f t="shared" si="3"/>
        <v>0</v>
      </c>
      <c r="AB36" s="13" t="str">
        <f t="shared" si="4"/>
        <v>#DIV/0!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13">
        <f t="shared" ref="Y37:Z37" si="44">((M37+O37+Q37+S37)/4)</f>
        <v>0</v>
      </c>
      <c r="Z37" s="13">
        <f t="shared" si="44"/>
        <v>0</v>
      </c>
      <c r="AA37" s="13">
        <f t="shared" si="3"/>
        <v>0</v>
      </c>
      <c r="AB37" s="13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 t="str">
        <f>M38/C7*10000</f>
        <v>#DIV/0!</v>
      </c>
      <c r="O38" s="12"/>
      <c r="P38" s="13" t="str">
        <f>O38/E7*10000</f>
        <v>#DIV/0!</v>
      </c>
      <c r="Q38" s="47"/>
      <c r="R38" s="13" t="str">
        <f>Q38/E7*10000</f>
        <v>#DIV/0!</v>
      </c>
      <c r="S38" s="12"/>
      <c r="T38" s="13" t="str">
        <f>S38/F7*10000</f>
        <v>#DIV/0!</v>
      </c>
      <c r="U38" s="12"/>
      <c r="V38" s="13" t="str">
        <f>U38/G7*10000</f>
        <v>#DIV/0!</v>
      </c>
      <c r="W38" s="12"/>
      <c r="X38" s="13" t="str">
        <f>W38/H7*10000</f>
        <v>#DIV/0!</v>
      </c>
      <c r="Y38" s="13">
        <f t="shared" ref="Y38:Z38" si="45">((M38+O38+Q38+S38)/4)</f>
        <v>0</v>
      </c>
      <c r="Z38" s="13" t="str">
        <f t="shared" si="45"/>
        <v>#DIV/0!</v>
      </c>
      <c r="AA38" s="13">
        <f t="shared" si="3"/>
        <v>0</v>
      </c>
      <c r="AB38" s="13" t="str">
        <f t="shared" si="4"/>
        <v>#DIV/0!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 t="str">
        <f>M39/C17*10000</f>
        <v>#DIV/0!</v>
      </c>
      <c r="O39" s="12"/>
      <c r="P39" s="13" t="str">
        <f>O39/D17*10000</f>
        <v>#DIV/0!</v>
      </c>
      <c r="Q39" s="47"/>
      <c r="R39" s="13" t="str">
        <f>Q39/E17*100000</f>
        <v>#DIV/0!</v>
      </c>
      <c r="S39" s="12"/>
      <c r="T39" s="13" t="str">
        <f>S39/F17*100000</f>
        <v>#DIV/0!</v>
      </c>
      <c r="U39" s="12"/>
      <c r="V39" s="13" t="str">
        <f>U39/G17*100000</f>
        <v>#DIV/0!</v>
      </c>
      <c r="W39" s="12"/>
      <c r="X39" s="13" t="str">
        <f>W39/H17*100000</f>
        <v>#DIV/0!</v>
      </c>
      <c r="Y39" s="13">
        <f t="shared" ref="Y39:Z39" si="46">((M39+O39+Q39+S39)/4)</f>
        <v>0</v>
      </c>
      <c r="Z39" s="13" t="str">
        <f t="shared" si="46"/>
        <v>#DIV/0!</v>
      </c>
      <c r="AA39" s="13">
        <f t="shared" si="3"/>
        <v>0</v>
      </c>
      <c r="AB39" s="13" t="str">
        <f t="shared" si="4"/>
        <v>#DIV/0!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 t="str">
        <f>M40/C7*100000</f>
        <v>#DIV/0!</v>
      </c>
      <c r="O40" s="12"/>
      <c r="P40" s="13" t="str">
        <f>O40/D7*100000</f>
        <v>#DIV/0!</v>
      </c>
      <c r="Q40" s="47"/>
      <c r="R40" s="13" t="str">
        <f>Q40/E7*100000</f>
        <v>#DIV/0!</v>
      </c>
      <c r="S40" s="12"/>
      <c r="T40" s="13" t="str">
        <f>S40/F7*100000</f>
        <v>#DIV/0!</v>
      </c>
      <c r="U40" s="12"/>
      <c r="V40" s="13" t="str">
        <f>U40/G7*100000</f>
        <v>#DIV/0!</v>
      </c>
      <c r="W40" s="12"/>
      <c r="X40" s="13" t="str">
        <f>W40/H7*100000</f>
        <v>#DIV/0!</v>
      </c>
      <c r="Y40" s="13">
        <f t="shared" ref="Y40:Z40" si="47">((M40+O40+Q40+S40)/4)</f>
        <v>0</v>
      </c>
      <c r="Z40" s="13" t="str">
        <f t="shared" si="47"/>
        <v>#DIV/0!</v>
      </c>
      <c r="AA40" s="13">
        <f t="shared" si="3"/>
        <v>0</v>
      </c>
      <c r="AB40" s="13" t="str">
        <f t="shared" si="4"/>
        <v>#DIV/0!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 t="str">
        <f>M41/C7*10000</f>
        <v>#DIV/0!</v>
      </c>
      <c r="O41" s="12"/>
      <c r="P41" s="28" t="str">
        <f>O41/D7*10000</f>
        <v>#DIV/0!</v>
      </c>
      <c r="Q41" s="47"/>
      <c r="R41" s="28" t="str">
        <f>Q41/E7*10000</f>
        <v>#DIV/0!</v>
      </c>
      <c r="S41" s="61"/>
      <c r="T41" s="28" t="str">
        <f>S41/F7*10000</f>
        <v>#DIV/0!</v>
      </c>
      <c r="U41" s="61"/>
      <c r="V41" s="28" t="str">
        <f>U41/G7*10000</f>
        <v>#DIV/0!</v>
      </c>
      <c r="W41" s="61"/>
      <c r="X41" s="28" t="str">
        <f>W41/H7*10000</f>
        <v>#DIV/0!</v>
      </c>
      <c r="Y41" s="13">
        <f t="shared" ref="Y41:Z41" si="48">((M41+O41+Q41+S41)/4)</f>
        <v>0</v>
      </c>
      <c r="Z41" s="13" t="str">
        <f t="shared" si="48"/>
        <v>#DIV/0!</v>
      </c>
      <c r="AA41" s="13">
        <f t="shared" si="3"/>
        <v>0</v>
      </c>
      <c r="AB41" s="13" t="str">
        <f t="shared" si="4"/>
        <v>#DIV/0!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 t="str">
        <f>M42/C7*10000</f>
        <v>#DIV/0!</v>
      </c>
      <c r="O42" s="12"/>
      <c r="P42" s="28" t="str">
        <f>O42/D7*10000</f>
        <v>#DIV/0!</v>
      </c>
      <c r="Q42" s="47"/>
      <c r="R42" s="28" t="str">
        <f>Q42/E7*10000</f>
        <v>#DIV/0!</v>
      </c>
      <c r="S42" s="61"/>
      <c r="T42" s="28" t="str">
        <f>S42/F7*10000</f>
        <v>#DIV/0!</v>
      </c>
      <c r="U42" s="61"/>
      <c r="V42" s="28" t="str">
        <f>U42/G7*10000</f>
        <v>#DIV/0!</v>
      </c>
      <c r="W42" s="61"/>
      <c r="X42" s="28" t="str">
        <f>W42/H7*10000</f>
        <v>#DIV/0!</v>
      </c>
      <c r="Y42" s="13">
        <f t="shared" ref="Y42:Z42" si="49">((M42+O42+Q42+S42)/4)</f>
        <v>0</v>
      </c>
      <c r="Z42" s="13" t="str">
        <f t="shared" si="49"/>
        <v>#DIV/0!</v>
      </c>
      <c r="AA42" s="13">
        <f t="shared" si="3"/>
        <v>0</v>
      </c>
      <c r="AB42" s="13" t="str">
        <f t="shared" si="4"/>
        <v>#DIV/0!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 t="str">
        <f>M43/C16*10000</f>
        <v>#DIV/0!</v>
      </c>
      <c r="O43" s="12"/>
      <c r="P43" s="28" t="str">
        <f>O43/D16*10000</f>
        <v>#DIV/0!</v>
      </c>
      <c r="Q43" s="47"/>
      <c r="R43" s="28" t="str">
        <f>Q43/E16*100000</f>
        <v>#DIV/0!</v>
      </c>
      <c r="S43" s="61"/>
      <c r="T43" s="28" t="str">
        <f>S43/F16*100000</f>
        <v>#DIV/0!</v>
      </c>
      <c r="U43" s="61"/>
      <c r="V43" s="28" t="str">
        <f>U43/G16*100000</f>
        <v>#DIV/0!</v>
      </c>
      <c r="W43" s="61"/>
      <c r="X43" s="28" t="str">
        <f>W43/H16*100000</f>
        <v>#DIV/0!</v>
      </c>
      <c r="Y43" s="13">
        <f t="shared" ref="Y43:Z43" si="50">((M43+O43+Q43+S43)/4)</f>
        <v>0</v>
      </c>
      <c r="Z43" s="13" t="str">
        <f t="shared" si="50"/>
        <v>#DIV/0!</v>
      </c>
      <c r="AA43" s="13">
        <f t="shared" si="3"/>
        <v>0</v>
      </c>
      <c r="AB43" s="13" t="str">
        <f t="shared" si="4"/>
        <v>#DIV/0!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 t="str">
        <f>M44/C7*100000</f>
        <v>#DIV/0!</v>
      </c>
      <c r="O44" s="12"/>
      <c r="P44" s="28" t="str">
        <f>O44/D7*100000</f>
        <v>#DIV/0!</v>
      </c>
      <c r="Q44" s="12"/>
      <c r="R44" s="13" t="str">
        <f>Q44/E7*100000</f>
        <v>#DIV/0!</v>
      </c>
      <c r="S44" s="12"/>
      <c r="T44" s="13" t="str">
        <f>S44/F7*100000</f>
        <v>#DIV/0!</v>
      </c>
      <c r="U44" s="12"/>
      <c r="V44" s="13" t="str">
        <f>U44/G7*100000</f>
        <v>#DIV/0!</v>
      </c>
      <c r="W44" s="12"/>
      <c r="X44" s="13" t="str">
        <f>W44/H7*100000</f>
        <v>#DIV/0!</v>
      </c>
      <c r="Y44" s="13">
        <f t="shared" ref="Y44:Z44" si="51">((M44+O44+Q44+S44)/4)</f>
        <v>0</v>
      </c>
      <c r="Z44" s="13" t="str">
        <f t="shared" si="51"/>
        <v>#DIV/0!</v>
      </c>
      <c r="AA44" s="13">
        <f t="shared" si="3"/>
        <v>0</v>
      </c>
      <c r="AB44" s="13" t="str">
        <f t="shared" si="4"/>
        <v>#DIV/0!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 t="str">
        <f>M45/M4*100</f>
        <v>#DIV/0!</v>
      </c>
      <c r="O45" s="12"/>
      <c r="P45" s="28" t="str">
        <f>O45/O4*100</f>
        <v>#DIV/0!</v>
      </c>
      <c r="Q45" s="12"/>
      <c r="R45" s="13" t="str">
        <f>Q45/Q4*100</f>
        <v>#DIV/0!</v>
      </c>
      <c r="S45" s="12"/>
      <c r="T45" s="13" t="str">
        <f>S45/S4*100</f>
        <v>#DIV/0!</v>
      </c>
      <c r="U45" s="12"/>
      <c r="V45" s="13" t="str">
        <f>U45/U4*100</f>
        <v>#DIV/0!</v>
      </c>
      <c r="W45" s="12"/>
      <c r="X45" s="13" t="str">
        <f>W45/W4*100</f>
        <v>#DIV/0!</v>
      </c>
      <c r="Y45" s="13">
        <f t="shared" ref="Y45:Z45" si="52">((M45+O45+Q45+S45)/4)</f>
        <v>0</v>
      </c>
      <c r="Z45" s="13" t="str">
        <f t="shared" si="52"/>
        <v>#DIV/0!</v>
      </c>
      <c r="AA45" s="13">
        <f t="shared" si="3"/>
        <v>0</v>
      </c>
      <c r="AB45" s="13" t="str">
        <f t="shared" si="4"/>
        <v>#DIV/0!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 t="str">
        <f>M46/M4*100</f>
        <v>#DIV/0!</v>
      </c>
      <c r="O46" s="12"/>
      <c r="P46" s="28" t="str">
        <f>O46/O4*100</f>
        <v>#DIV/0!</v>
      </c>
      <c r="Q46" s="12"/>
      <c r="R46" s="13" t="str">
        <f>Q46/Q4*100</f>
        <v>#DIV/0!</v>
      </c>
      <c r="S46" s="12"/>
      <c r="T46" s="13" t="str">
        <f>S46/S4*100</f>
        <v>#DIV/0!</v>
      </c>
      <c r="U46" s="12"/>
      <c r="V46" s="13" t="str">
        <f>U46/U4*100</f>
        <v>#DIV/0!</v>
      </c>
      <c r="W46" s="12"/>
      <c r="X46" s="13" t="str">
        <f>W46/W4*100</f>
        <v>#DIV/0!</v>
      </c>
      <c r="Y46" s="13">
        <f t="shared" ref="Y46:Z46" si="53">((M46+O46+Q46+S46)/4)</f>
        <v>0</v>
      </c>
      <c r="Z46" s="13" t="str">
        <f t="shared" si="53"/>
        <v>#DIV/0!</v>
      </c>
      <c r="AA46" s="13">
        <f t="shared" si="3"/>
        <v>0</v>
      </c>
      <c r="AB46" s="13" t="str">
        <f t="shared" si="4"/>
        <v>#DIV/0!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 t="str">
        <f>M47/C7*100000</f>
        <v>#DIV/0!</v>
      </c>
      <c r="O47" s="47"/>
      <c r="P47" s="13" t="str">
        <f>O47/D7*100000</f>
        <v>#DIV/0!</v>
      </c>
      <c r="Q47" s="47"/>
      <c r="R47" s="13" t="str">
        <f>Q47/E7*100000</f>
        <v>#DIV/0!</v>
      </c>
      <c r="S47" s="12"/>
      <c r="T47" s="13" t="str">
        <f>S47/F7*100000</f>
        <v>#DIV/0!</v>
      </c>
      <c r="U47" s="12"/>
      <c r="V47" s="13" t="str">
        <f>U47/G7*100000</f>
        <v>#DIV/0!</v>
      </c>
      <c r="W47" s="12"/>
      <c r="X47" s="13" t="str">
        <f>W47/H7*100000</f>
        <v>#DIV/0!</v>
      </c>
      <c r="Y47" s="13">
        <f t="shared" ref="Y47:Z47" si="54">((M47+O47+Q47+S47)/4)</f>
        <v>0</v>
      </c>
      <c r="Z47" s="13" t="str">
        <f t="shared" si="54"/>
        <v>#DIV/0!</v>
      </c>
      <c r="AA47" s="13">
        <f t="shared" si="3"/>
        <v>0</v>
      </c>
      <c r="AB47" s="13" t="str">
        <f t="shared" si="4"/>
        <v>#DIV/0!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 t="str">
        <f>M48/C7*100000</f>
        <v>#DIV/0!</v>
      </c>
      <c r="O48" s="12"/>
      <c r="P48" s="13" t="str">
        <f>O48/D7*100000</f>
        <v>#DIV/0!</v>
      </c>
      <c r="Q48" s="47"/>
      <c r="R48" s="13" t="str">
        <f>Q48/E7*100000</f>
        <v>#DIV/0!</v>
      </c>
      <c r="S48" s="12"/>
      <c r="T48" s="13" t="str">
        <f>S48/F7*100000</f>
        <v>#DIV/0!</v>
      </c>
      <c r="U48" s="12"/>
      <c r="V48" s="13" t="str">
        <f>U48/G7*100000</f>
        <v>#DIV/0!</v>
      </c>
      <c r="W48" s="12"/>
      <c r="X48" s="13" t="str">
        <f>W48/H7*100000</f>
        <v>#DIV/0!</v>
      </c>
      <c r="Y48" s="13">
        <f t="shared" ref="Y48:Z48" si="55">((M48+O48+Q48+S48)/4)</f>
        <v>0</v>
      </c>
      <c r="Z48" s="13" t="str">
        <f t="shared" si="55"/>
        <v>#DIV/0!</v>
      </c>
      <c r="AA48" s="13">
        <f t="shared" si="3"/>
        <v>0</v>
      </c>
      <c r="AB48" s="13" t="str">
        <f t="shared" si="4"/>
        <v>#DIV/0!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 t="str">
        <f>M49/C7*100000</f>
        <v>#DIV/0!</v>
      </c>
      <c r="O49" s="12"/>
      <c r="P49" s="13" t="str">
        <f>O49/D7*100000</f>
        <v>#DIV/0!</v>
      </c>
      <c r="Q49" s="47"/>
      <c r="R49" s="13" t="str">
        <f>Q49/E7*100000</f>
        <v>#DIV/0!</v>
      </c>
      <c r="S49" s="12"/>
      <c r="T49" s="13" t="str">
        <f>S49/F7*100000</f>
        <v>#DIV/0!</v>
      </c>
      <c r="U49" s="12"/>
      <c r="V49" s="13" t="str">
        <f>U49/G7*100000</f>
        <v>#DIV/0!</v>
      </c>
      <c r="W49" s="12"/>
      <c r="X49" s="13" t="str">
        <f>W49/H7*100000</f>
        <v>#DIV/0!</v>
      </c>
      <c r="Y49" s="13">
        <f t="shared" ref="Y49:Z49" si="56">((M49+O49+Q49+S49)/4)</f>
        <v>0</v>
      </c>
      <c r="Z49" s="13" t="str">
        <f t="shared" si="56"/>
        <v>#DIV/0!</v>
      </c>
      <c r="AA49" s="13">
        <f t="shared" si="3"/>
        <v>0</v>
      </c>
      <c r="AB49" s="13" t="str">
        <f t="shared" si="4"/>
        <v>#DIV/0!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 t="str">
        <f>M50/C7*100000</f>
        <v>#DIV/0!</v>
      </c>
      <c r="O50" s="47"/>
      <c r="P50" s="13" t="str">
        <f>O50/D7*100000</f>
        <v>#DIV/0!</v>
      </c>
      <c r="Q50" s="47"/>
      <c r="R50" s="13" t="str">
        <f>Q50/E7*100000</f>
        <v>#DIV/0!</v>
      </c>
      <c r="S50" s="12"/>
      <c r="T50" s="13" t="str">
        <f>S50/F7*100000</f>
        <v>#DIV/0!</v>
      </c>
      <c r="U50" s="12"/>
      <c r="V50" s="13" t="str">
        <f>U50/G7*100000</f>
        <v>#DIV/0!</v>
      </c>
      <c r="W50" s="12"/>
      <c r="X50" s="13" t="str">
        <f>W50/H7*100000</f>
        <v>#DIV/0!</v>
      </c>
      <c r="Y50" s="13">
        <f t="shared" ref="Y50:Z50" si="57">((M50+O50+Q50+S50)/4)</f>
        <v>0</v>
      </c>
      <c r="Z50" s="13" t="str">
        <f t="shared" si="57"/>
        <v>#DIV/0!</v>
      </c>
      <c r="AA50" s="13">
        <f t="shared" si="3"/>
        <v>0</v>
      </c>
      <c r="AB50" s="13" t="str">
        <f t="shared" si="4"/>
        <v>#DIV/0!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 t="str">
        <f>M51/C7*100000</f>
        <v>#DIV/0!</v>
      </c>
      <c r="O51" s="47"/>
      <c r="P51" s="13" t="str">
        <f>O51/D7*100000</f>
        <v>#DIV/0!</v>
      </c>
      <c r="Q51" s="47"/>
      <c r="R51" s="13" t="str">
        <f>Q51/E7*100000</f>
        <v>#DIV/0!</v>
      </c>
      <c r="S51" s="12"/>
      <c r="T51" s="13" t="str">
        <f>S51/F7*100000</f>
        <v>#DIV/0!</v>
      </c>
      <c r="U51" s="12"/>
      <c r="V51" s="13" t="str">
        <f>U51/G7*100000</f>
        <v>#DIV/0!</v>
      </c>
      <c r="W51" s="12"/>
      <c r="X51" s="13" t="str">
        <f>W51/H7*100000</f>
        <v>#DIV/0!</v>
      </c>
      <c r="Y51" s="13">
        <f t="shared" ref="Y51:Z51" si="58">((M51+O51+Q51+S51)/4)</f>
        <v>0</v>
      </c>
      <c r="Z51" s="13" t="str">
        <f t="shared" si="58"/>
        <v>#DIV/0!</v>
      </c>
      <c r="AA51" s="13">
        <f t="shared" si="3"/>
        <v>0</v>
      </c>
      <c r="AB51" s="13" t="str">
        <f t="shared" si="4"/>
        <v>#DIV/0!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 t="str">
        <f>M52/C7*100000</f>
        <v>#DIV/0!</v>
      </c>
      <c r="O52" s="47"/>
      <c r="P52" s="13" t="str">
        <f>O52/D7*100000</f>
        <v>#DIV/0!</v>
      </c>
      <c r="Q52" s="47"/>
      <c r="R52" s="13" t="str">
        <f>Q52/E7*100000</f>
        <v>#DIV/0!</v>
      </c>
      <c r="S52" s="12"/>
      <c r="T52" s="13" t="str">
        <f>S52/F7*100000</f>
        <v>#DIV/0!</v>
      </c>
      <c r="U52" s="12"/>
      <c r="V52" s="13" t="str">
        <f>U52/G7*100000</f>
        <v>#DIV/0!</v>
      </c>
      <c r="W52" s="12"/>
      <c r="X52" s="13" t="str">
        <f>W52/H7*100000</f>
        <v>#DIV/0!</v>
      </c>
      <c r="Y52" s="13">
        <f t="shared" ref="Y52:Z52" si="59">((M52+O52+Q52+S52)/4)</f>
        <v>0</v>
      </c>
      <c r="Z52" s="13" t="str">
        <f t="shared" si="59"/>
        <v>#DIV/0!</v>
      </c>
      <c r="AA52" s="13">
        <f t="shared" si="3"/>
        <v>0</v>
      </c>
      <c r="AB52" s="13" t="str">
        <f t="shared" si="4"/>
        <v>#DIV/0!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 t="str">
        <f>M53/C17*100000</f>
        <v>#DIV/0!</v>
      </c>
      <c r="O53" s="47"/>
      <c r="P53" s="13" t="str">
        <f>O53/D17*100000</f>
        <v>#DIV/0!</v>
      </c>
      <c r="Q53" s="47"/>
      <c r="R53" s="13" t="str">
        <f>Q53/E17*100000</f>
        <v>#DIV/0!</v>
      </c>
      <c r="S53" s="12"/>
      <c r="T53" s="13" t="str">
        <f>S53/F17*100000</f>
        <v>#DIV/0!</v>
      </c>
      <c r="U53" s="12"/>
      <c r="V53" s="13" t="str">
        <f>U53/G17*100000</f>
        <v>#DIV/0!</v>
      </c>
      <c r="W53" s="12"/>
      <c r="X53" s="13" t="str">
        <f>W53/H17*100000</f>
        <v>#DIV/0!</v>
      </c>
      <c r="Y53" s="13">
        <f t="shared" ref="Y53:Z53" si="60">((M53+O53+Q53+S53)/4)</f>
        <v>0</v>
      </c>
      <c r="Z53" s="13" t="str">
        <f t="shared" si="60"/>
        <v>#DIV/0!</v>
      </c>
      <c r="AA53" s="13">
        <f t="shared" si="3"/>
        <v>0</v>
      </c>
      <c r="AB53" s="13" t="str">
        <f t="shared" si="4"/>
        <v>#DIV/0!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 t="str">
        <f>M54/C19*100000</f>
        <v>#DIV/0!</v>
      </c>
      <c r="O54" s="47"/>
      <c r="P54" s="13" t="str">
        <f>O54/D19*100000</f>
        <v>#DIV/0!</v>
      </c>
      <c r="Q54" s="47"/>
      <c r="R54" s="13" t="str">
        <f>Q54/E19*100000</f>
        <v>#DIV/0!</v>
      </c>
      <c r="S54" s="12"/>
      <c r="T54" s="13" t="str">
        <f>S54/F19*100000</f>
        <v>#DIV/0!</v>
      </c>
      <c r="U54" s="12"/>
      <c r="V54" s="13" t="str">
        <f>U54/G19*100000</f>
        <v>#DIV/0!</v>
      </c>
      <c r="W54" s="12"/>
      <c r="X54" s="13" t="str">
        <f>W54/H19*100000</f>
        <v>#DIV/0!</v>
      </c>
      <c r="Y54" s="13">
        <f t="shared" ref="Y54:Z54" si="61">((M54+O54+Q54+S54)/4)</f>
        <v>0</v>
      </c>
      <c r="Z54" s="13" t="str">
        <f t="shared" si="61"/>
        <v>#DIV/0!</v>
      </c>
      <c r="AA54" s="13">
        <f t="shared" si="3"/>
        <v>0</v>
      </c>
      <c r="AB54" s="13" t="str">
        <f t="shared" si="4"/>
        <v>#DIV/0!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 t="str">
        <f>M55/C19*100000</f>
        <v>#DIV/0!</v>
      </c>
      <c r="O55" s="47"/>
      <c r="P55" s="13" t="str">
        <f>O55/D19*100000</f>
        <v>#DIV/0!</v>
      </c>
      <c r="Q55" s="47"/>
      <c r="R55" s="13" t="str">
        <f>Q55/E19*100000</f>
        <v>#DIV/0!</v>
      </c>
      <c r="S55" s="12"/>
      <c r="T55" s="13" t="str">
        <f>S55/F19*100000</f>
        <v>#DIV/0!</v>
      </c>
      <c r="U55" s="12"/>
      <c r="V55" s="13" t="str">
        <f>U55/G19*100000</f>
        <v>#DIV/0!</v>
      </c>
      <c r="W55" s="12"/>
      <c r="X55" s="13" t="str">
        <f>W55/H19*100000</f>
        <v>#DIV/0!</v>
      </c>
      <c r="Y55" s="13">
        <f t="shared" ref="Y55:Z55" si="62">((M55+O55+Q55+S55)/4)</f>
        <v>0</v>
      </c>
      <c r="Z55" s="13" t="str">
        <f t="shared" si="62"/>
        <v>#DIV/0!</v>
      </c>
      <c r="AA55" s="13">
        <f t="shared" si="3"/>
        <v>0</v>
      </c>
      <c r="AB55" s="13" t="str">
        <f t="shared" si="4"/>
        <v>#DIV/0!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 t="str">
        <f>M56/C7*100000</f>
        <v>#DIV/0!</v>
      </c>
      <c r="O56" s="47"/>
      <c r="P56" s="13" t="str">
        <f>O56/D7*100000</f>
        <v>#DIV/0!</v>
      </c>
      <c r="Q56" s="47"/>
      <c r="R56" s="13" t="str">
        <f>Q56/E7*100000</f>
        <v>#DIV/0!</v>
      </c>
      <c r="S56" s="12"/>
      <c r="T56" s="13" t="str">
        <f>S56/F7*100000</f>
        <v>#DIV/0!</v>
      </c>
      <c r="U56" s="12"/>
      <c r="V56" s="13" t="str">
        <f>U56/G7*100000</f>
        <v>#DIV/0!</v>
      </c>
      <c r="W56" s="12"/>
      <c r="X56" s="13" t="str">
        <f>W56/H7*100000</f>
        <v>#DIV/0!</v>
      </c>
      <c r="Y56" s="13">
        <f t="shared" ref="Y56:Z56" si="63">((M56+O56+Q56+S56)/4)</f>
        <v>0</v>
      </c>
      <c r="Z56" s="13" t="str">
        <f t="shared" si="63"/>
        <v>#DIV/0!</v>
      </c>
      <c r="AA56" s="13">
        <f t="shared" si="3"/>
        <v>0</v>
      </c>
      <c r="AB56" s="13" t="str">
        <f t="shared" si="4"/>
        <v>#DIV/0!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 t="str">
        <f>M57/M4*100000</f>
        <v>#DIV/0!</v>
      </c>
      <c r="O57" s="47"/>
      <c r="P57" s="13" t="str">
        <f>O57/O4*100000</f>
        <v>#DIV/0!</v>
      </c>
      <c r="Q57" s="47"/>
      <c r="R57" s="13" t="str">
        <f>Q57/Q4*100000</f>
        <v>#DIV/0!</v>
      </c>
      <c r="S57" s="12"/>
      <c r="T57" s="13" t="str">
        <f>S57/S4*100000</f>
        <v>#DIV/0!</v>
      </c>
      <c r="U57" s="12"/>
      <c r="V57" s="13" t="str">
        <f>U57/U4*100000</f>
        <v>#DIV/0!</v>
      </c>
      <c r="W57" s="12"/>
      <c r="X57" s="13" t="str">
        <f>W57/W4*100000</f>
        <v>#DIV/0!</v>
      </c>
      <c r="Y57" s="13">
        <f t="shared" ref="Y57:Z57" si="64">((M57+O57+Q57+S57)/4)</f>
        <v>0</v>
      </c>
      <c r="Z57" s="13" t="str">
        <f t="shared" si="64"/>
        <v>#DIV/0!</v>
      </c>
      <c r="AA57" s="13">
        <f t="shared" si="3"/>
        <v>0</v>
      </c>
      <c r="AB57" s="13" t="str">
        <f t="shared" si="4"/>
        <v>#DIV/0!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 t="str">
        <f>M58/C7*100000</f>
        <v>#DIV/0!</v>
      </c>
      <c r="O58" s="71"/>
      <c r="P58" s="28" t="str">
        <f>O58/D7*100000</f>
        <v>#DIV/0!</v>
      </c>
      <c r="Q58" s="71"/>
      <c r="R58" s="28" t="str">
        <f>Q58/E7*100000</f>
        <v>#DIV/0!</v>
      </c>
      <c r="S58" s="61"/>
      <c r="T58" s="28" t="str">
        <f>S58/F7*100000</f>
        <v>#DIV/0!</v>
      </c>
      <c r="U58" s="61"/>
      <c r="V58" s="28" t="str">
        <f>U58/G7*100000</f>
        <v>#DIV/0!</v>
      </c>
      <c r="W58" s="61"/>
      <c r="X58" s="28" t="str">
        <f>W58/H7*100000</f>
        <v>#DIV/0!</v>
      </c>
      <c r="Y58" s="13">
        <f t="shared" ref="Y58:Z58" si="65">((M58+O58+Q58+S58)/4)</f>
        <v>0</v>
      </c>
      <c r="Z58" s="13" t="str">
        <f t="shared" si="65"/>
        <v>#DIV/0!</v>
      </c>
      <c r="AA58" s="13">
        <f t="shared" si="3"/>
        <v>0</v>
      </c>
      <c r="AB58" s="13" t="str">
        <f t="shared" si="4"/>
        <v>#DIV/0!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 t="str">
        <f>M59/C7*100000</f>
        <v>#DIV/0!</v>
      </c>
      <c r="O59" s="71"/>
      <c r="P59" s="28" t="str">
        <f>O59/D7*100000</f>
        <v>#DIV/0!</v>
      </c>
      <c r="Q59" s="71"/>
      <c r="R59" s="28" t="str">
        <f>Q59/E7*100000</f>
        <v>#DIV/0!</v>
      </c>
      <c r="S59" s="76"/>
      <c r="T59" s="39" t="str">
        <f>S59/F7*100000</f>
        <v>#DIV/0!</v>
      </c>
      <c r="U59" s="76"/>
      <c r="V59" s="39" t="str">
        <f>U59/G7*100000</f>
        <v>#DIV/0!</v>
      </c>
      <c r="W59" s="76"/>
      <c r="X59" s="39" t="str">
        <f>W59/H7*100000</f>
        <v>#DIV/0!</v>
      </c>
      <c r="Y59" s="40">
        <f t="shared" ref="Y59:Z59" si="66">((M59+O59+Q59+S59)/4)</f>
        <v>0</v>
      </c>
      <c r="Z59" s="40" t="str">
        <f t="shared" si="66"/>
        <v>#DIV/0!</v>
      </c>
      <c r="AA59" s="13">
        <f t="shared" si="3"/>
        <v>0</v>
      </c>
      <c r="AB59" s="13" t="str">
        <f t="shared" si="4"/>
        <v>#DIV/0!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 t="str">
        <f>M60/C17*100000</f>
        <v>#DIV/0!</v>
      </c>
      <c r="O60" s="71"/>
      <c r="P60" s="28" t="str">
        <f>O60/D17*100000</f>
        <v>#DIV/0!</v>
      </c>
      <c r="Q60" s="71"/>
      <c r="R60" s="28" t="str">
        <f>Q60/E17*100000</f>
        <v>#DIV/0!</v>
      </c>
      <c r="S60" s="61"/>
      <c r="T60" s="28" t="str">
        <f>S60/F17*100000</f>
        <v>#DIV/0!</v>
      </c>
      <c r="U60" s="61"/>
      <c r="V60" s="28" t="str">
        <f>U60/G17*100000</f>
        <v>#DIV/0!</v>
      </c>
      <c r="W60" s="61"/>
      <c r="X60" s="28" t="str">
        <f>W60/H17*100000</f>
        <v>#DIV/0!</v>
      </c>
      <c r="Y60" s="40">
        <f>((M60+O60+Q60+S60)/4)</f>
        <v>0</v>
      </c>
      <c r="Z60" s="40" t="str">
        <f>((N60+P60+R60+T60)/1)</f>
        <v>#DIV/0!</v>
      </c>
      <c r="AA60" s="13">
        <f t="shared" si="3"/>
        <v>0</v>
      </c>
      <c r="AB60" s="13" t="str">
        <f t="shared" si="4"/>
        <v>#DIV/0!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 t="str">
        <f>M61/C15*1000</f>
        <v>#DIV/0!</v>
      </c>
      <c r="O61" s="71"/>
      <c r="P61" s="28" t="str">
        <f>O61/D15*1000</f>
        <v>#DIV/0!</v>
      </c>
      <c r="Q61" s="71"/>
      <c r="R61" s="28" t="str">
        <f>Q61/E15*1000</f>
        <v>#DIV/0!</v>
      </c>
      <c r="S61" s="61"/>
      <c r="T61" s="28" t="str">
        <f>S61/F15*1000</f>
        <v>#DIV/0!</v>
      </c>
      <c r="U61" s="61"/>
      <c r="V61" s="28" t="str">
        <f>U61/G15*1000</f>
        <v>#DIV/0!</v>
      </c>
      <c r="W61" s="61"/>
      <c r="X61" s="28" t="str">
        <f>W61/H23*1000</f>
        <v>#DIV/0!</v>
      </c>
      <c r="Y61" s="40">
        <f t="shared" ref="Y61:Z61" si="67">((M61+O61+Q61+S61)/1)</f>
        <v>0</v>
      </c>
      <c r="Z61" s="40" t="str">
        <f t="shared" si="67"/>
        <v>#DIV/0!</v>
      </c>
      <c r="AA61" s="13">
        <f t="shared" si="3"/>
        <v>0</v>
      </c>
      <c r="AB61" s="13" t="str">
        <f t="shared" si="4"/>
        <v>#DIV/0!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 t="str">
        <f>M62/C15*1000</f>
        <v>#DIV/0!</v>
      </c>
      <c r="O62" s="71"/>
      <c r="P62" s="28" t="str">
        <f>O62/D15*1000</f>
        <v>#DIV/0!</v>
      </c>
      <c r="Q62" s="71"/>
      <c r="R62" s="28" t="str">
        <f>Q62/E15*1000</f>
        <v>#DIV/0!</v>
      </c>
      <c r="S62" s="61"/>
      <c r="T62" s="28" t="str">
        <f>S62/F15*1000</f>
        <v>#DIV/0!</v>
      </c>
      <c r="U62" s="61"/>
      <c r="V62" s="28" t="str">
        <f>U62/G15*1000</f>
        <v>#DIV/0!</v>
      </c>
      <c r="W62" s="61"/>
      <c r="X62" s="28" t="str">
        <f>W62/H15*1000</f>
        <v>#DIV/0!</v>
      </c>
      <c r="Y62" s="40">
        <f t="shared" ref="Y62:Z62" si="68">((M62+O62+Q62+S62)/1)</f>
        <v>0</v>
      </c>
      <c r="Z62" s="40" t="str">
        <f t="shared" si="68"/>
        <v>#DIV/0!</v>
      </c>
      <c r="AA62" s="13">
        <f t="shared" si="3"/>
        <v>0</v>
      </c>
      <c r="AB62" s="13" t="str">
        <f t="shared" si="4"/>
        <v>#DIV/0!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 t="str">
        <f>M63/C17*100000</f>
        <v>#DIV/0!</v>
      </c>
      <c r="O63" s="71"/>
      <c r="P63" s="28" t="str">
        <f>O63/D17*100000</f>
        <v>#DIV/0!</v>
      </c>
      <c r="Q63" s="71"/>
      <c r="R63" s="28" t="str">
        <f>Q63/E17*100000</f>
        <v>#DIV/0!</v>
      </c>
      <c r="S63" s="61"/>
      <c r="T63" s="28" t="str">
        <f>S63/F17*100000</f>
        <v>#DIV/0!</v>
      </c>
      <c r="U63" s="61"/>
      <c r="V63" s="28" t="str">
        <f>U63/G17*100000</f>
        <v>#DIV/0!</v>
      </c>
      <c r="W63" s="61"/>
      <c r="X63" s="28" t="str">
        <f>W63/H17*100000</f>
        <v>#DIV/0!</v>
      </c>
      <c r="Y63" s="40">
        <f t="shared" ref="Y63:Z63" si="69">((M63+O63+Q63+S63)/1)</f>
        <v>0</v>
      </c>
      <c r="Z63" s="40" t="str">
        <f t="shared" si="69"/>
        <v>#DIV/0!</v>
      </c>
      <c r="AA63" s="13">
        <f t="shared" si="3"/>
        <v>0</v>
      </c>
      <c r="AB63" s="13" t="str">
        <f t="shared" si="4"/>
        <v>#DIV/0!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 t="str">
        <f>M64/C17*100000</f>
        <v>#DIV/0!</v>
      </c>
      <c r="O64" s="71"/>
      <c r="P64" s="28" t="str">
        <f>O64/D17*100000</f>
        <v>#DIV/0!</v>
      </c>
      <c r="Q64" s="71"/>
      <c r="R64" s="28" t="str">
        <f>Q64/E17*100000</f>
        <v>#DIV/0!</v>
      </c>
      <c r="S64" s="61"/>
      <c r="T64" s="28" t="str">
        <f>S64/F17*100000</f>
        <v>#DIV/0!</v>
      </c>
      <c r="U64" s="28"/>
      <c r="V64" s="28" t="str">
        <f>U64/G17*100000</f>
        <v>#DIV/0!</v>
      </c>
      <c r="W64" s="61"/>
      <c r="X64" s="28" t="str">
        <f>W64/H17*100000</f>
        <v>#DIV/0!</v>
      </c>
      <c r="Y64" s="40">
        <f t="shared" ref="Y64:Z64" si="70">((M64+O64+Q64+S64)/1)</f>
        <v>0</v>
      </c>
      <c r="Z64" s="40" t="str">
        <f t="shared" si="70"/>
        <v>#DIV/0!</v>
      </c>
      <c r="AA64" s="13">
        <f t="shared" si="3"/>
        <v>0</v>
      </c>
      <c r="AB64" s="13" t="str">
        <f t="shared" si="4"/>
        <v>#DIV/0!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 t="str">
        <f>M65/C17*100000</f>
        <v>#DIV/0!</v>
      </c>
      <c r="O65" s="71"/>
      <c r="P65" s="28" t="str">
        <f>O65/D17*100000</f>
        <v>#DIV/0!</v>
      </c>
      <c r="Q65" s="71"/>
      <c r="R65" s="28" t="str">
        <f>Q65/E17*100000</f>
        <v>#DIV/0!</v>
      </c>
      <c r="S65" s="71"/>
      <c r="T65" s="28" t="str">
        <f>S65/F17*100000</f>
        <v>#DIV/0!</v>
      </c>
      <c r="U65" s="71"/>
      <c r="V65" s="28" t="str">
        <f>U65/G17*100000</f>
        <v>#DIV/0!</v>
      </c>
      <c r="W65" s="61"/>
      <c r="X65" s="28" t="str">
        <f>W65/H17*100000</f>
        <v>#DIV/0!</v>
      </c>
      <c r="Y65" s="40">
        <f t="shared" ref="Y65:Z65" si="71">((M65+O65+Q65+S65)/1)</f>
        <v>0</v>
      </c>
      <c r="Z65" s="40" t="str">
        <f t="shared" si="71"/>
        <v>#DIV/0!</v>
      </c>
      <c r="AA65" s="13">
        <f t="shared" si="3"/>
        <v>0</v>
      </c>
      <c r="AB65" s="13" t="str">
        <f t="shared" si="4"/>
        <v>#DIV/0!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 t="str">
        <f>M66/C17*100000</f>
        <v>#DIV/0!</v>
      </c>
      <c r="O66" s="71"/>
      <c r="P66" s="28" t="str">
        <f>O66/D17*100000</f>
        <v>#DIV/0!</v>
      </c>
      <c r="Q66" s="71"/>
      <c r="R66" s="28" t="str">
        <f>Q66/E17*100000</f>
        <v>#DIV/0!</v>
      </c>
      <c r="S66" s="71"/>
      <c r="T66" s="28" t="str">
        <f>S66/F17*100000</f>
        <v>#DIV/0!</v>
      </c>
      <c r="U66" s="71"/>
      <c r="V66" s="28" t="str">
        <f>U66/G17*100000</f>
        <v>#DIV/0!</v>
      </c>
      <c r="W66" s="61"/>
      <c r="X66" s="28" t="str">
        <f>W66/H17*100000</f>
        <v>#DIV/0!</v>
      </c>
      <c r="Y66" s="40">
        <f t="shared" ref="Y66:Z66" si="72">((M66+O66+Q66+S66)/1)</f>
        <v>0</v>
      </c>
      <c r="Z66" s="40" t="str">
        <f t="shared" si="72"/>
        <v>#DIV/0!</v>
      </c>
      <c r="AA66" s="13">
        <f t="shared" si="3"/>
        <v>0</v>
      </c>
      <c r="AB66" s="13" t="str">
        <f t="shared" si="4"/>
        <v>#DIV/0!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 t="str">
        <f>M67/C17*100000</f>
        <v>#DIV/0!</v>
      </c>
      <c r="O67" s="71"/>
      <c r="P67" s="28" t="str">
        <f>O67/D17*100000</f>
        <v>#DIV/0!</v>
      </c>
      <c r="Q67" s="71"/>
      <c r="R67" s="28" t="str">
        <f>Q67/E17*100000</f>
        <v>#DIV/0!</v>
      </c>
      <c r="S67" s="71"/>
      <c r="T67" s="28" t="str">
        <f>S67/F17*100000</f>
        <v>#DIV/0!</v>
      </c>
      <c r="U67" s="71"/>
      <c r="V67" s="28" t="str">
        <f>U67/G17*100000</f>
        <v>#DIV/0!</v>
      </c>
      <c r="W67" s="61"/>
      <c r="X67" s="28" t="str">
        <f>W67/H17*100000</f>
        <v>#DIV/0!</v>
      </c>
      <c r="Y67" s="40">
        <f t="shared" ref="Y67:Z67" si="73">((M67+O67+Q67+S67)/1)</f>
        <v>0</v>
      </c>
      <c r="Z67" s="40" t="str">
        <f t="shared" si="73"/>
        <v>#DIV/0!</v>
      </c>
      <c r="AA67" s="13">
        <f t="shared" si="3"/>
        <v>0</v>
      </c>
      <c r="AB67" s="13" t="str">
        <f t="shared" si="4"/>
        <v>#DIV/0!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 t="str">
        <f>M68/C11*100000</f>
        <v>#DIV/0!</v>
      </c>
      <c r="O68" s="71"/>
      <c r="P68" s="28" t="str">
        <f>O68/D11*100000</f>
        <v>#DIV/0!</v>
      </c>
      <c r="Q68" s="71"/>
      <c r="R68" s="28" t="str">
        <f>Q68/E11*100000</f>
        <v>#DIV/0!</v>
      </c>
      <c r="S68" s="71"/>
      <c r="T68" s="28" t="str">
        <f>S68/F11*100000</f>
        <v>#DIV/0!</v>
      </c>
      <c r="U68" s="71"/>
      <c r="V68" s="28" t="str">
        <f>U68/G11*100000</f>
        <v>#DIV/0!</v>
      </c>
      <c r="W68" s="61"/>
      <c r="X68" s="28" t="str">
        <f>W68/H11*100000</f>
        <v>#DIV/0!</v>
      </c>
      <c r="Y68" s="40">
        <f t="shared" ref="Y68:Z68" si="74">((M68+O68+Q68+S68)/2)</f>
        <v>0</v>
      </c>
      <c r="Z68" s="40" t="str">
        <f t="shared" si="74"/>
        <v>#DIV/0!</v>
      </c>
      <c r="AA68" s="13">
        <f t="shared" si="3"/>
        <v>0</v>
      </c>
      <c r="AB68" s="13" t="str">
        <f t="shared" si="4"/>
        <v>#DIV/0!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 t="str">
        <f>M69/C11*100000</f>
        <v>#DIV/0!</v>
      </c>
      <c r="O69" s="71"/>
      <c r="P69" s="28" t="str">
        <f>O69/D11*100000</f>
        <v>#DIV/0!</v>
      </c>
      <c r="Q69" s="71"/>
      <c r="R69" s="28" t="str">
        <f>Q69/E11*100000</f>
        <v>#DIV/0!</v>
      </c>
      <c r="S69" s="71"/>
      <c r="T69" s="28" t="str">
        <f>S69/F11*100000</f>
        <v>#DIV/0!</v>
      </c>
      <c r="U69" s="71"/>
      <c r="V69" s="28" t="str">
        <f>U69/G11*100000</f>
        <v>#DIV/0!</v>
      </c>
      <c r="W69" s="61"/>
      <c r="X69" s="28" t="str">
        <f>W69/H11*100000</f>
        <v>#DIV/0!</v>
      </c>
      <c r="Y69" s="13">
        <f t="shared" ref="Y69:Z69" si="75">((M69+O69+Q69+S69)/2)</f>
        <v>0</v>
      </c>
      <c r="Z69" s="13" t="str">
        <f t="shared" si="75"/>
        <v>#DIV/0!</v>
      </c>
      <c r="AA69" s="13">
        <f t="shared" si="3"/>
        <v>0</v>
      </c>
      <c r="AB69" s="13" t="str">
        <f t="shared" si="4"/>
        <v>#DIV/0!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 t="str">
        <f>M70/C7*100000</f>
        <v>#DIV/0!</v>
      </c>
      <c r="O70" s="77"/>
      <c r="P70" s="39" t="str">
        <f>O70/D7*100000</f>
        <v>#DIV/0!</v>
      </c>
      <c r="Q70" s="77"/>
      <c r="R70" s="39" t="str">
        <f>Q70/E7*100000</f>
        <v>#DIV/0!</v>
      </c>
      <c r="S70" s="77"/>
      <c r="T70" s="39" t="str">
        <f>S70/F7*100000</f>
        <v>#DIV/0!</v>
      </c>
      <c r="U70" s="77"/>
      <c r="V70" s="39" t="str">
        <f>U70/G7*100000</f>
        <v>#DIV/0!</v>
      </c>
      <c r="W70" s="76"/>
      <c r="X70" s="39" t="str">
        <f>W70/H7*100000</f>
        <v>#DIV/0!</v>
      </c>
      <c r="Y70" s="40">
        <f t="shared" ref="Y70:Z70" si="76">((M70+O70+Q70+S70)/1)</f>
        <v>0</v>
      </c>
      <c r="Z70" s="40" t="str">
        <f t="shared" si="76"/>
        <v>#DIV/0!</v>
      </c>
      <c r="AA70" s="40">
        <f t="shared" si="3"/>
        <v>0</v>
      </c>
      <c r="AB70" s="40" t="str">
        <f t="shared" si="4"/>
        <v>#DIV/0!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3.0" customHeight="1">
      <c r="B1" s="1"/>
      <c r="C1" s="2" t="s">
        <v>132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144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/>
      <c r="N3" s="13" t="str">
        <f>M3/C7*1000</f>
        <v>#DIV/0!</v>
      </c>
      <c r="O3" s="12"/>
      <c r="P3" s="13" t="str">
        <f>O3/D7*1000</f>
        <v>#DIV/0!</v>
      </c>
      <c r="Q3" s="47"/>
      <c r="R3" s="13" t="str">
        <f>Q3/E7*1000</f>
        <v>#DIV/0!</v>
      </c>
      <c r="S3" s="12"/>
      <c r="T3" s="13" t="str">
        <f>S3/F7*1000</f>
        <v>#DIV/0!</v>
      </c>
      <c r="U3" s="12"/>
      <c r="V3" s="13" t="str">
        <f>U3/G7*1000</f>
        <v>#DIV/0!</v>
      </c>
      <c r="W3" s="12"/>
      <c r="X3" s="13" t="str">
        <f>W3/H7*1000</f>
        <v>#DIV/0!</v>
      </c>
      <c r="Y3" s="13">
        <f t="shared" ref="Y3:Z3" si="1">((M3+O3+Q3+S3)/4)</f>
        <v>0</v>
      </c>
      <c r="Z3" s="13" t="str">
        <f t="shared" si="1"/>
        <v>#DIV/0!</v>
      </c>
      <c r="AA3" s="13">
        <f t="shared" ref="AA3:AA70" si="3">((S3+U3)/2)</f>
        <v>0</v>
      </c>
      <c r="AB3" s="13" t="str">
        <f t="shared" ref="AB3:AB70" si="4">(V3+X3)/2</f>
        <v>#DIV/0!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/>
      <c r="N4" s="13" t="str">
        <f>M4/C7*1000</f>
        <v>#DIV/0!</v>
      </c>
      <c r="O4" s="12"/>
      <c r="P4" s="13" t="str">
        <f>O4/D7*1000</f>
        <v>#DIV/0!</v>
      </c>
      <c r="Q4" s="47"/>
      <c r="R4" s="13" t="str">
        <f>Q4/E7*1000</f>
        <v>#DIV/0!</v>
      </c>
      <c r="S4" s="12"/>
      <c r="T4" s="13" t="str">
        <f>S4/F7*1000</f>
        <v>#DIV/0!</v>
      </c>
      <c r="U4" s="12"/>
      <c r="V4" s="13" t="str">
        <f>U4/G7*1000</f>
        <v>#DIV/0!</v>
      </c>
      <c r="W4" s="12"/>
      <c r="X4" s="13" t="str">
        <f>W4/H7*1000</f>
        <v>#DIV/0!</v>
      </c>
      <c r="Y4" s="13">
        <f t="shared" ref="Y4:Z4" si="2">((M4+O4+Q4+S4)/4)</f>
        <v>0</v>
      </c>
      <c r="Z4" s="13" t="str">
        <f t="shared" si="2"/>
        <v>#DIV/0!</v>
      </c>
      <c r="AA4" s="13">
        <f t="shared" si="3"/>
        <v>0</v>
      </c>
      <c r="AB4" s="13" t="str">
        <f t="shared" si="4"/>
        <v>#DIV/0!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/>
      <c r="N5" s="13" t="str">
        <f>M5/C12*100000</f>
        <v>#DIV/0!</v>
      </c>
      <c r="O5" s="12"/>
      <c r="P5" s="13" t="str">
        <f>O5/D12*100000</f>
        <v>#DIV/0!</v>
      </c>
      <c r="Q5" s="47"/>
      <c r="R5" s="13" t="str">
        <f>Q5/E12*100000</f>
        <v>#DIV/0!</v>
      </c>
      <c r="S5" s="12"/>
      <c r="T5" s="13" t="str">
        <f>S5/F12*100000</f>
        <v>#DIV/0!</v>
      </c>
      <c r="U5" s="12"/>
      <c r="V5" s="13" t="str">
        <f>U5/G12*100000</f>
        <v>#DIV/0!</v>
      </c>
      <c r="W5" s="12"/>
      <c r="X5" s="13" t="str">
        <f>W5/H12*100000</f>
        <v>#DIV/0!</v>
      </c>
      <c r="Y5" s="13">
        <f t="shared" ref="Y5:Z5" si="5">((M5+O5+Q5+S5)/4)</f>
        <v>0</v>
      </c>
      <c r="Z5" s="13" t="str">
        <f t="shared" si="5"/>
        <v>#DIV/0!</v>
      </c>
      <c r="AA5" s="13">
        <f t="shared" si="3"/>
        <v>0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 t="str">
        <f>M6/M4*1000</f>
        <v>#DIV/0!</v>
      </c>
      <c r="O6" s="12"/>
      <c r="P6" s="13" t="str">
        <f>O6/O4*1000</f>
        <v>#DIV/0!</v>
      </c>
      <c r="Q6" s="47"/>
      <c r="R6" s="13" t="str">
        <f>Q6/Q4*1000</f>
        <v>#DIV/0!</v>
      </c>
      <c r="S6" s="12"/>
      <c r="T6" s="13" t="str">
        <f>S6/S4*1000</f>
        <v>#DIV/0!</v>
      </c>
      <c r="U6" s="12"/>
      <c r="V6" s="13" t="str">
        <f>U6/U4*1000</f>
        <v>#DIV/0!</v>
      </c>
      <c r="W6" s="12"/>
      <c r="X6" s="13" t="str">
        <f>W6/W4*1000</f>
        <v>#DIV/0!</v>
      </c>
      <c r="Y6" s="13">
        <f t="shared" ref="Y6:Z6" si="6">((M6+O6+Q6+S6)/4)</f>
        <v>0</v>
      </c>
      <c r="Z6" s="13" t="str">
        <f t="shared" si="6"/>
        <v>#DIV/0!</v>
      </c>
      <c r="AA6" s="13">
        <f t="shared" si="3"/>
        <v>0</v>
      </c>
      <c r="AB6" s="13" t="str">
        <f t="shared" si="4"/>
        <v>#DIV/0!</v>
      </c>
      <c r="AC6" s="14" t="s">
        <v>22</v>
      </c>
    </row>
    <row r="7" ht="14.25" customHeight="1">
      <c r="A7" s="5"/>
      <c r="B7" s="55" t="s">
        <v>35</v>
      </c>
      <c r="C7" s="106"/>
      <c r="D7" s="56"/>
      <c r="E7" s="106"/>
      <c r="F7" s="57"/>
      <c r="G7" s="57"/>
      <c r="H7" s="58"/>
      <c r="I7" s="5"/>
      <c r="J7" s="5"/>
      <c r="K7" s="5"/>
      <c r="L7" s="11" t="s">
        <v>36</v>
      </c>
      <c r="M7" s="12"/>
      <c r="N7" s="59"/>
      <c r="O7" s="12"/>
      <c r="P7" s="59"/>
      <c r="Q7" s="47"/>
      <c r="R7" s="59"/>
      <c r="S7" s="12"/>
      <c r="T7" s="59"/>
      <c r="U7" s="12"/>
      <c r="V7" s="59"/>
      <c r="W7" s="12"/>
      <c r="X7" s="59"/>
      <c r="Y7" s="59">
        <f t="shared" ref="Y7:Z7" si="7">((M7+O7+Q7+S7)/4)</f>
        <v>0</v>
      </c>
      <c r="Z7" s="59">
        <f t="shared" si="7"/>
        <v>0</v>
      </c>
      <c r="AA7" s="59">
        <f t="shared" si="3"/>
        <v>0</v>
      </c>
      <c r="AB7" s="59">
        <f t="shared" si="4"/>
        <v>0</v>
      </c>
      <c r="AC7" s="14" t="s">
        <v>37</v>
      </c>
    </row>
    <row r="8" ht="14.25" customHeight="1">
      <c r="A8" s="5"/>
      <c r="B8" s="55" t="s">
        <v>38</v>
      </c>
      <c r="C8" s="57"/>
      <c r="D8" s="53"/>
      <c r="E8" s="57"/>
      <c r="F8" s="57"/>
      <c r="G8" s="57"/>
      <c r="H8" s="58"/>
      <c r="I8" s="5"/>
      <c r="J8" s="5"/>
      <c r="K8" s="5"/>
      <c r="L8" s="11" t="s">
        <v>39</v>
      </c>
      <c r="M8" s="12"/>
      <c r="N8" s="13" t="str">
        <f>M8/C15*1000</f>
        <v>#DIV/0!</v>
      </c>
      <c r="O8" s="12"/>
      <c r="P8" s="13" t="str">
        <f>O8/D15*1000</f>
        <v>#DIV/0!</v>
      </c>
      <c r="Q8" s="47"/>
      <c r="R8" s="13" t="str">
        <f>Q8/E15*1000</f>
        <v>#DIV/0!</v>
      </c>
      <c r="S8" s="12"/>
      <c r="T8" s="13" t="str">
        <f>S8/F15*1000</f>
        <v>#DIV/0!</v>
      </c>
      <c r="U8" s="12"/>
      <c r="V8" s="13" t="str">
        <f>U8/G15*1000</f>
        <v>#DIV/0!</v>
      </c>
      <c r="W8" s="12"/>
      <c r="X8" s="13" t="str">
        <f>W8/H15*1000</f>
        <v>#DIV/0!</v>
      </c>
      <c r="Y8" s="13">
        <f t="shared" ref="Y8:Z8" si="8">((M8+O8+Q8+S8)/4)</f>
        <v>0</v>
      </c>
      <c r="Z8" s="13" t="str">
        <f t="shared" si="8"/>
        <v>#DIV/0!</v>
      </c>
      <c r="AA8" s="13">
        <f t="shared" si="3"/>
        <v>0</v>
      </c>
      <c r="AB8" s="13" t="str">
        <f t="shared" si="4"/>
        <v>#DIV/0!</v>
      </c>
      <c r="AC8" s="14" t="s">
        <v>37</v>
      </c>
    </row>
    <row r="9" ht="14.25" customHeight="1">
      <c r="A9" s="5"/>
      <c r="B9" s="55" t="s">
        <v>40</v>
      </c>
      <c r="C9" s="57"/>
      <c r="D9" s="53"/>
      <c r="E9" s="57"/>
      <c r="F9" s="57"/>
      <c r="G9" s="57"/>
      <c r="H9" s="58"/>
      <c r="I9" s="5"/>
      <c r="J9" s="5"/>
      <c r="K9" s="5"/>
      <c r="L9" s="11" t="s">
        <v>41</v>
      </c>
      <c r="M9" s="12"/>
      <c r="N9" s="13" t="str">
        <f>M9/C7*100000</f>
        <v>#DIV/0!</v>
      </c>
      <c r="O9" s="12"/>
      <c r="P9" s="13" t="str">
        <f>O9/D7*100000</f>
        <v>#DIV/0!</v>
      </c>
      <c r="Q9" s="47"/>
      <c r="R9" s="13" t="str">
        <f>Q9/E7*100000</f>
        <v>#DIV/0!</v>
      </c>
      <c r="S9" s="12"/>
      <c r="T9" s="13" t="str">
        <f>S9/F7*100000</f>
        <v>#DIV/0!</v>
      </c>
      <c r="U9" s="12"/>
      <c r="V9" s="13" t="str">
        <f>U9/G7*100000</f>
        <v>#DIV/0!</v>
      </c>
      <c r="W9" s="12"/>
      <c r="X9" s="13" t="str">
        <f>W9/H7*100000</f>
        <v>#DIV/0!</v>
      </c>
      <c r="Y9" s="13">
        <f t="shared" ref="Y9:Z9" si="9">((M9+O9+Q9+S9)/4)</f>
        <v>0</v>
      </c>
      <c r="Z9" s="13" t="str">
        <f t="shared" si="9"/>
        <v>#DIV/0!</v>
      </c>
      <c r="AA9" s="13">
        <f t="shared" si="3"/>
        <v>0</v>
      </c>
      <c r="AB9" s="13" t="str">
        <f t="shared" si="4"/>
        <v>#DIV/0!</v>
      </c>
      <c r="AC9" s="14" t="s">
        <v>22</v>
      </c>
    </row>
    <row r="10" ht="14.25" customHeight="1">
      <c r="A10" s="5"/>
      <c r="B10" s="55" t="s">
        <v>42</v>
      </c>
      <c r="C10" s="57"/>
      <c r="D10" s="57"/>
      <c r="E10" s="57"/>
      <c r="F10" s="107"/>
      <c r="G10" s="53"/>
      <c r="H10" s="58"/>
      <c r="I10" s="5"/>
      <c r="J10" s="5"/>
      <c r="K10" s="5"/>
      <c r="L10" s="11" t="s">
        <v>43</v>
      </c>
      <c r="M10" s="12"/>
      <c r="N10" s="13" t="str">
        <f>M10/C15*100000</f>
        <v>#DIV/0!</v>
      </c>
      <c r="O10" s="12"/>
      <c r="P10" s="13" t="str">
        <f t="shared" ref="P10:P11" si="11">O10/D15*100000</f>
        <v>#DIV/0!</v>
      </c>
      <c r="Q10" s="47"/>
      <c r="R10" s="13" t="str">
        <f>Q10/E15*100000</f>
        <v>#DIV/0!</v>
      </c>
      <c r="S10" s="12"/>
      <c r="T10" s="13" t="str">
        <f>S10/F15*100000</f>
        <v>#DIV/0!</v>
      </c>
      <c r="U10" s="12"/>
      <c r="V10" s="13" t="str">
        <f>U10/G15*100000</f>
        <v>#DIV/0!</v>
      </c>
      <c r="W10" s="12"/>
      <c r="X10" s="13" t="str">
        <f>W10/H15*100000</f>
        <v>#DIV/0!</v>
      </c>
      <c r="Y10" s="13">
        <f t="shared" ref="Y10:Z10" si="10">((M10+O10+Q10+S10)/4)</f>
        <v>0</v>
      </c>
      <c r="Z10" s="13" t="str">
        <f t="shared" si="10"/>
        <v>#DIV/0!</v>
      </c>
      <c r="AA10" s="13">
        <f t="shared" si="3"/>
        <v>0</v>
      </c>
      <c r="AB10" s="13" t="str">
        <f t="shared" si="4"/>
        <v>#DIV/0!</v>
      </c>
      <c r="AC10" s="14" t="s">
        <v>22</v>
      </c>
    </row>
    <row r="11" ht="14.25" customHeight="1">
      <c r="A11" s="5"/>
      <c r="B11" s="55" t="s">
        <v>44</v>
      </c>
      <c r="C11" s="57"/>
      <c r="D11" s="57"/>
      <c r="E11" s="57"/>
      <c r="F11" s="107"/>
      <c r="G11" s="53"/>
      <c r="H11" s="58"/>
      <c r="I11" s="5"/>
      <c r="J11" s="5"/>
      <c r="K11" s="5"/>
      <c r="L11" s="11" t="s">
        <v>45</v>
      </c>
      <c r="M11" s="12"/>
      <c r="N11" s="13" t="str">
        <f>M11/C15*100000</f>
        <v>#DIV/0!</v>
      </c>
      <c r="O11" s="12"/>
      <c r="P11" s="13" t="str">
        <f t="shared" si="11"/>
        <v>#DIV/0!</v>
      </c>
      <c r="Q11" s="47"/>
      <c r="R11" s="13" t="str">
        <f>Q11/F16*100000</f>
        <v>#DIV/0!</v>
      </c>
      <c r="S11" s="12"/>
      <c r="T11" s="13" t="str">
        <f>S11/F15*100000</f>
        <v>#DIV/0!</v>
      </c>
      <c r="U11" s="12"/>
      <c r="V11" s="13" t="str">
        <f>U11/G15*100000</f>
        <v>#DIV/0!</v>
      </c>
      <c r="W11" s="12"/>
      <c r="X11" s="13" t="str">
        <f>W11/H15*100000</f>
        <v>#DIV/0!</v>
      </c>
      <c r="Y11" s="13">
        <f t="shared" ref="Y11:Z11" si="12">((M11+O11+Q11+S11)/4)</f>
        <v>0</v>
      </c>
      <c r="Z11" s="13" t="str">
        <f t="shared" si="12"/>
        <v>#DIV/0!</v>
      </c>
      <c r="AA11" s="13">
        <f t="shared" si="3"/>
        <v>0</v>
      </c>
      <c r="AB11" s="13" t="str">
        <f t="shared" si="4"/>
        <v>#DIV/0!</v>
      </c>
      <c r="AC11" s="14" t="s">
        <v>22</v>
      </c>
    </row>
    <row r="12" ht="14.25" customHeight="1">
      <c r="A12" s="5"/>
      <c r="B12" s="55" t="s">
        <v>46</v>
      </c>
      <c r="C12" s="53"/>
      <c r="D12" s="57"/>
      <c r="E12" s="53"/>
      <c r="F12" s="53"/>
      <c r="G12" s="57"/>
      <c r="H12" s="58"/>
      <c r="I12" s="5"/>
      <c r="J12" s="5"/>
      <c r="K12" s="5"/>
      <c r="L12" s="11" t="s">
        <v>47</v>
      </c>
      <c r="M12" s="12"/>
      <c r="N12" s="13" t="str">
        <f>M12/C7*100000</f>
        <v>#DIV/0!</v>
      </c>
      <c r="O12" s="12"/>
      <c r="P12" s="13" t="str">
        <f>O12/D7*100000</f>
        <v>#DIV/0!</v>
      </c>
      <c r="Q12" s="47"/>
      <c r="R12" s="13" t="str">
        <f>Q12/E7*100000</f>
        <v>#DIV/0!</v>
      </c>
      <c r="S12" s="12"/>
      <c r="T12" s="13" t="str">
        <f>S12/F7*100000</f>
        <v>#DIV/0!</v>
      </c>
      <c r="U12" s="12"/>
      <c r="V12" s="13" t="str">
        <f>U12/G7*100000</f>
        <v>#DIV/0!</v>
      </c>
      <c r="W12" s="12"/>
      <c r="X12" s="13" t="str">
        <f>W12/H7*100000</f>
        <v>#DIV/0!</v>
      </c>
      <c r="Y12" s="13">
        <f t="shared" ref="Y12:Z12" si="13">((M12+O12+Q12+S12)/4)</f>
        <v>0</v>
      </c>
      <c r="Z12" s="13" t="str">
        <f t="shared" si="13"/>
        <v>#DIV/0!</v>
      </c>
      <c r="AA12" s="13">
        <f t="shared" si="3"/>
        <v>0</v>
      </c>
      <c r="AB12" s="13" t="str">
        <f t="shared" si="4"/>
        <v>#DIV/0!</v>
      </c>
      <c r="AC12" s="14" t="s">
        <v>48</v>
      </c>
    </row>
    <row r="13" ht="14.25" customHeight="1">
      <c r="A13" s="5"/>
      <c r="B13" s="55" t="s">
        <v>49</v>
      </c>
      <c r="C13" s="53"/>
      <c r="D13" s="57"/>
      <c r="E13" s="53"/>
      <c r="F13" s="53"/>
      <c r="G13" s="57"/>
      <c r="H13" s="58"/>
      <c r="I13" s="5"/>
      <c r="J13" s="5"/>
      <c r="K13" s="5"/>
      <c r="L13" s="11" t="s">
        <v>50</v>
      </c>
      <c r="M13" s="12"/>
      <c r="N13" s="13" t="str">
        <f>M13/C11*100000</f>
        <v>#DIV/0!</v>
      </c>
      <c r="O13" s="12"/>
      <c r="P13" s="13" t="str">
        <f>O13/D11*100000</f>
        <v>#DIV/0!</v>
      </c>
      <c r="Q13" s="47"/>
      <c r="R13" s="13" t="str">
        <f>Q13/E11*100000</f>
        <v>#DIV/0!</v>
      </c>
      <c r="S13" s="12"/>
      <c r="T13" s="13" t="str">
        <f>S13/F11*100000</f>
        <v>#DIV/0!</v>
      </c>
      <c r="U13" s="12"/>
      <c r="V13" s="13" t="str">
        <f>U13/G11*100000</f>
        <v>#DIV/0!</v>
      </c>
      <c r="W13" s="12"/>
      <c r="X13" s="13" t="str">
        <f>W13/H11*100000</f>
        <v>#DIV/0!</v>
      </c>
      <c r="Y13" s="13">
        <f t="shared" ref="Y13:Z13" si="14">((M13+O13+Q13+S13)/4)</f>
        <v>0</v>
      </c>
      <c r="Z13" s="13" t="str">
        <f t="shared" si="14"/>
        <v>#DIV/0!</v>
      </c>
      <c r="AA13" s="13">
        <f t="shared" si="3"/>
        <v>0</v>
      </c>
      <c r="AB13" s="13" t="str">
        <f t="shared" si="4"/>
        <v>#DIV/0!</v>
      </c>
      <c r="AC13" s="14" t="s">
        <v>48</v>
      </c>
    </row>
    <row r="14" ht="14.25" customHeight="1">
      <c r="A14" s="5"/>
      <c r="B14" s="55" t="s">
        <v>51</v>
      </c>
      <c r="C14" s="53"/>
      <c r="D14" s="53"/>
      <c r="E14" s="53"/>
      <c r="F14" s="53"/>
      <c r="G14" s="53"/>
      <c r="H14" s="58"/>
      <c r="I14" s="5"/>
      <c r="J14" s="5"/>
      <c r="K14" s="5"/>
      <c r="L14" s="11" t="s">
        <v>52</v>
      </c>
      <c r="M14" s="12"/>
      <c r="N14" s="13" t="str">
        <f>M14/M4*1000</f>
        <v>#DIV/0!</v>
      </c>
      <c r="O14" s="12"/>
      <c r="P14" s="13" t="str">
        <f>O14/O4*1000</f>
        <v>#DIV/0!</v>
      </c>
      <c r="Q14" s="47"/>
      <c r="R14" s="13" t="str">
        <f>Q14/Q4*1000</f>
        <v>#DIV/0!</v>
      </c>
      <c r="S14" s="12"/>
      <c r="T14" s="13" t="str">
        <f>S14/S4*1000</f>
        <v>#DIV/0!</v>
      </c>
      <c r="U14" s="12"/>
      <c r="V14" s="13" t="str">
        <f>U14/U4*1000</f>
        <v>#DIV/0!</v>
      </c>
      <c r="W14" s="12"/>
      <c r="X14" s="13" t="str">
        <f>W14/W4*1000</f>
        <v>#DIV/0!</v>
      </c>
      <c r="Y14" s="13">
        <f t="shared" ref="Y14:Z14" si="15">((M14+O14+Q14+S14)/4)</f>
        <v>0</v>
      </c>
      <c r="Z14" s="13" t="str">
        <f t="shared" si="15"/>
        <v>#DIV/0!</v>
      </c>
      <c r="AA14" s="13">
        <f t="shared" si="3"/>
        <v>0</v>
      </c>
      <c r="AB14" s="13" t="str">
        <f t="shared" si="4"/>
        <v>#DIV/0!</v>
      </c>
      <c r="AC14" s="14" t="s">
        <v>22</v>
      </c>
    </row>
    <row r="15" ht="14.25" customHeight="1">
      <c r="A15" s="5"/>
      <c r="B15" s="55" t="s">
        <v>53</v>
      </c>
      <c r="C15" s="53"/>
      <c r="D15" s="53"/>
      <c r="E15" s="53"/>
      <c r="F15" s="53"/>
      <c r="G15" s="53"/>
      <c r="H15" s="58"/>
      <c r="I15" s="5"/>
      <c r="J15" s="5"/>
      <c r="K15" s="5"/>
      <c r="L15" s="11" t="s">
        <v>54</v>
      </c>
      <c r="M15" s="12"/>
      <c r="N15" s="13" t="str">
        <f>M15/C15*100000</f>
        <v>#DIV/0!</v>
      </c>
      <c r="O15" s="12"/>
      <c r="P15" s="13" t="str">
        <f>O15/D15*100000</f>
        <v>#DIV/0!</v>
      </c>
      <c r="Q15" s="47"/>
      <c r="R15" s="13" t="str">
        <f>Q15/E15*100000</f>
        <v>#DIV/0!</v>
      </c>
      <c r="S15" s="12"/>
      <c r="T15" s="13" t="str">
        <f>S15/F15*100000</f>
        <v>#DIV/0!</v>
      </c>
      <c r="U15" s="12"/>
      <c r="V15" s="13" t="str">
        <f>U15/G15*100000</f>
        <v>#DIV/0!</v>
      </c>
      <c r="W15" s="12"/>
      <c r="X15" s="13" t="str">
        <f>W15/H15*100000</f>
        <v>#DIV/0!</v>
      </c>
      <c r="Y15" s="13">
        <f t="shared" ref="Y15:Z15" si="16">((M15+O15+Q15+S15)/4)</f>
        <v>0</v>
      </c>
      <c r="Z15" s="13" t="str">
        <f t="shared" si="16"/>
        <v>#DIV/0!</v>
      </c>
      <c r="AA15" s="13">
        <f t="shared" si="3"/>
        <v>0</v>
      </c>
      <c r="AB15" s="13" t="str">
        <f t="shared" si="4"/>
        <v>#DIV/0!</v>
      </c>
      <c r="AC15" s="14" t="s">
        <v>22</v>
      </c>
    </row>
    <row r="16" ht="14.25" customHeight="1">
      <c r="A16" s="5"/>
      <c r="B16" s="55" t="s">
        <v>55</v>
      </c>
      <c r="C16" s="53"/>
      <c r="D16" s="53"/>
      <c r="E16" s="53"/>
      <c r="F16" s="53"/>
      <c r="G16" s="53"/>
      <c r="H16" s="58"/>
      <c r="I16" s="5"/>
      <c r="J16" s="5"/>
      <c r="K16" s="5"/>
      <c r="L16" s="11" t="s">
        <v>56</v>
      </c>
      <c r="M16" s="12"/>
      <c r="N16" s="13" t="str">
        <f>M16/M4*100</f>
        <v>#DIV/0!</v>
      </c>
      <c r="O16" s="12"/>
      <c r="P16" s="13" t="str">
        <f>O16/O4*100</f>
        <v>#DIV/0!</v>
      </c>
      <c r="Q16" s="47"/>
      <c r="R16" s="13" t="str">
        <f>Q16/Q4*100</f>
        <v>#DIV/0!</v>
      </c>
      <c r="S16" s="12"/>
      <c r="T16" s="13" t="str">
        <f>S16/S4*100</f>
        <v>#DIV/0!</v>
      </c>
      <c r="U16" s="12"/>
      <c r="V16" s="13" t="str">
        <f>U16/U4*100</f>
        <v>#DIV/0!</v>
      </c>
      <c r="W16" s="12"/>
      <c r="X16" s="13" t="str">
        <f>W16/W4*100</f>
        <v>#DIV/0!</v>
      </c>
      <c r="Y16" s="13">
        <f t="shared" ref="Y16:Z16" si="17">((M16+O16+Q16+S16)/4)</f>
        <v>0</v>
      </c>
      <c r="Z16" s="13" t="str">
        <f t="shared" si="17"/>
        <v>#DIV/0!</v>
      </c>
      <c r="AA16" s="13">
        <f t="shared" si="3"/>
        <v>0</v>
      </c>
      <c r="AB16" s="13" t="str">
        <f t="shared" si="4"/>
        <v>#DIV/0!</v>
      </c>
      <c r="AC16" s="14" t="s">
        <v>24</v>
      </c>
    </row>
    <row r="17" ht="14.25" customHeight="1">
      <c r="A17" s="5"/>
      <c r="B17" s="55" t="s">
        <v>57</v>
      </c>
      <c r="C17" s="53"/>
      <c r="D17" s="53"/>
      <c r="E17" s="53"/>
      <c r="F17" s="53"/>
      <c r="G17" s="53"/>
      <c r="H17" s="58"/>
      <c r="I17" s="5"/>
      <c r="J17" s="5"/>
      <c r="K17" s="5"/>
      <c r="L17" s="11" t="s">
        <v>58</v>
      </c>
      <c r="M17" s="12"/>
      <c r="N17" s="13" t="str">
        <f>M17/M4*100</f>
        <v>#DIV/0!</v>
      </c>
      <c r="O17" s="12"/>
      <c r="P17" s="13" t="str">
        <f>O17/O4*100</f>
        <v>#DIV/0!</v>
      </c>
      <c r="Q17" s="47"/>
      <c r="R17" s="13" t="str">
        <f>Q17/Q4*100</f>
        <v>#DIV/0!</v>
      </c>
      <c r="S17" s="12"/>
      <c r="T17" s="13" t="str">
        <f>S17/S4*100</f>
        <v>#DIV/0!</v>
      </c>
      <c r="U17" s="12"/>
      <c r="V17" s="13" t="str">
        <f>U17/U4*100</f>
        <v>#DIV/0!</v>
      </c>
      <c r="W17" s="12"/>
      <c r="X17" s="13" t="str">
        <f>W17/W4*100</f>
        <v>#DIV/0!</v>
      </c>
      <c r="Y17" s="13">
        <f t="shared" ref="Y17:Z17" si="18">((M17+O17+Q17+S17)/4)</f>
        <v>0</v>
      </c>
      <c r="Z17" s="13" t="str">
        <f t="shared" si="18"/>
        <v>#DIV/0!</v>
      </c>
      <c r="AA17" s="13">
        <f t="shared" si="3"/>
        <v>0</v>
      </c>
      <c r="AB17" s="13" t="str">
        <f t="shared" si="4"/>
        <v>#DIV/0!</v>
      </c>
      <c r="AC17" s="14" t="s">
        <v>24</v>
      </c>
    </row>
    <row r="18" ht="14.25" customHeight="1">
      <c r="A18" s="5"/>
      <c r="B18" s="55" t="s">
        <v>59</v>
      </c>
      <c r="C18" s="53"/>
      <c r="D18" s="53"/>
      <c r="E18" s="53"/>
      <c r="F18" s="53"/>
      <c r="G18" s="53"/>
      <c r="H18" s="58"/>
      <c r="I18" s="5"/>
      <c r="J18" s="5"/>
      <c r="K18" s="5"/>
      <c r="L18" s="11" t="s">
        <v>60</v>
      </c>
      <c r="M18" s="61"/>
      <c r="N18" s="28" t="str">
        <f>M18/C15*1000</f>
        <v>#DIV/0!</v>
      </c>
      <c r="O18" s="12"/>
      <c r="P18" s="28" t="str">
        <f>O18/D15*1000</f>
        <v>#DIV/0!</v>
      </c>
      <c r="Q18" s="47"/>
      <c r="R18" s="28" t="str">
        <f>Q18/E15*1000</f>
        <v>#DIV/0!</v>
      </c>
      <c r="S18" s="61"/>
      <c r="T18" s="28" t="str">
        <f>S18/F15*1000</f>
        <v>#DIV/0!</v>
      </c>
      <c r="U18" s="61"/>
      <c r="V18" s="28" t="str">
        <f>U18/G15*1000</f>
        <v>#DIV/0!</v>
      </c>
      <c r="W18" s="61"/>
      <c r="X18" s="28" t="str">
        <f>W18/H15*1000</f>
        <v>#DIV/0!</v>
      </c>
      <c r="Y18" s="13">
        <f t="shared" ref="Y18:Z18" si="19">((M18+O18+Q18+S18)/4)</f>
        <v>0</v>
      </c>
      <c r="Z18" s="13" t="str">
        <f t="shared" si="19"/>
        <v>#DIV/0!</v>
      </c>
      <c r="AA18" s="13">
        <f t="shared" si="3"/>
        <v>0</v>
      </c>
      <c r="AB18" s="13" t="str">
        <f t="shared" si="4"/>
        <v>#DIV/0!</v>
      </c>
      <c r="AC18" s="14" t="s">
        <v>48</v>
      </c>
    </row>
    <row r="19" ht="14.25" customHeight="1">
      <c r="A19" s="5"/>
      <c r="B19" s="55" t="s">
        <v>61</v>
      </c>
      <c r="C19" s="53"/>
      <c r="D19" s="53"/>
      <c r="E19" s="53"/>
      <c r="F19" s="53"/>
      <c r="G19" s="53"/>
      <c r="H19" s="58"/>
      <c r="I19" s="5"/>
      <c r="J19" s="5"/>
      <c r="K19" s="5"/>
      <c r="L19" s="11" t="s">
        <v>62</v>
      </c>
      <c r="M19" s="12"/>
      <c r="N19" s="13" t="str">
        <f>M19/M4*100</f>
        <v>#DIV/0!</v>
      </c>
      <c r="O19" s="12"/>
      <c r="P19" s="13" t="str">
        <f>O19/O4*100</f>
        <v>#DIV/0!</v>
      </c>
      <c r="Q19" s="47"/>
      <c r="R19" s="13" t="str">
        <f>Q19/Q4*100</f>
        <v>#DIV/0!</v>
      </c>
      <c r="S19" s="12"/>
      <c r="T19" s="13" t="str">
        <f>S19/S4*100</f>
        <v>#DIV/0!</v>
      </c>
      <c r="U19" s="12"/>
      <c r="V19" s="13" t="str">
        <f>U19/U4*100</f>
        <v>#DIV/0!</v>
      </c>
      <c r="W19" s="12"/>
      <c r="X19" s="13" t="str">
        <f>W19/W4*100</f>
        <v>#DIV/0!</v>
      </c>
      <c r="Y19" s="13">
        <f t="shared" ref="Y19:Z19" si="20">((M19+O19+Q19+S19)/4)</f>
        <v>0</v>
      </c>
      <c r="Z19" s="13" t="str">
        <f t="shared" si="20"/>
        <v>#DIV/0!</v>
      </c>
      <c r="AA19" s="13">
        <f t="shared" si="3"/>
        <v>0</v>
      </c>
      <c r="AB19" s="13" t="str">
        <f t="shared" si="4"/>
        <v>#DIV/0!</v>
      </c>
      <c r="AC19" s="14" t="s">
        <v>63</v>
      </c>
    </row>
    <row r="20" ht="14.25" customHeight="1">
      <c r="A20" s="5"/>
      <c r="B20" s="55" t="s">
        <v>64</v>
      </c>
      <c r="C20" s="53"/>
      <c r="D20" s="57"/>
      <c r="E20" s="53"/>
      <c r="F20" s="53"/>
      <c r="G20" s="53"/>
      <c r="H20" s="58"/>
      <c r="I20" s="5"/>
      <c r="J20" s="5"/>
      <c r="K20" s="5"/>
      <c r="L20" s="11" t="s">
        <v>65</v>
      </c>
      <c r="M20" s="12"/>
      <c r="N20" s="13" t="str">
        <f t="shared" ref="N20:N21" si="22">M20/C20*1000</f>
        <v>#DIV/0!</v>
      </c>
      <c r="O20" s="12"/>
      <c r="P20" s="13" t="str">
        <f t="shared" ref="P20:P21" si="23">O20/D20*1000</f>
        <v>#DIV/0!</v>
      </c>
      <c r="Q20" s="47"/>
      <c r="R20" s="13" t="str">
        <f t="shared" ref="R20:R21" si="24">Q20/E20*1000</f>
        <v>#DIV/0!</v>
      </c>
      <c r="S20" s="12"/>
      <c r="T20" s="13" t="str">
        <f t="shared" ref="T20:T21" si="25">S20/F20*1000</f>
        <v>#DIV/0!</v>
      </c>
      <c r="U20" s="12"/>
      <c r="V20" s="13" t="str">
        <f t="shared" ref="V20:V21" si="26">U20/G20*1000</f>
        <v>#DIV/0!</v>
      </c>
      <c r="W20" s="12"/>
      <c r="X20" s="13" t="str">
        <f t="shared" ref="X20:X21" si="27">W20/H20*1000</f>
        <v>#DIV/0!</v>
      </c>
      <c r="Y20" s="13">
        <f t="shared" ref="Y20:Z20" si="21">((M20+O20+Q20+S20)/4)</f>
        <v>0</v>
      </c>
      <c r="Z20" s="13" t="str">
        <f t="shared" si="21"/>
        <v>#DIV/0!</v>
      </c>
      <c r="AA20" s="13">
        <f t="shared" si="3"/>
        <v>0</v>
      </c>
      <c r="AB20" s="13" t="str">
        <f t="shared" si="4"/>
        <v>#DIV/0!</v>
      </c>
      <c r="AC20" s="14" t="s">
        <v>63</v>
      </c>
    </row>
    <row r="21" ht="14.25" customHeight="1">
      <c r="A21" s="5"/>
      <c r="B21" s="55" t="s">
        <v>66</v>
      </c>
      <c r="C21" s="53"/>
      <c r="D21" s="57"/>
      <c r="E21" s="53"/>
      <c r="F21" s="53"/>
      <c r="G21" s="53"/>
      <c r="H21" s="58"/>
      <c r="I21" s="5"/>
      <c r="J21" s="5"/>
      <c r="K21" s="5"/>
      <c r="L21" s="11" t="s">
        <v>67</v>
      </c>
      <c r="M21" s="12"/>
      <c r="N21" s="13" t="str">
        <f t="shared" si="22"/>
        <v>#DIV/0!</v>
      </c>
      <c r="O21" s="12"/>
      <c r="P21" s="13" t="str">
        <f t="shared" si="23"/>
        <v>#DIV/0!</v>
      </c>
      <c r="Q21" s="47"/>
      <c r="R21" s="13" t="str">
        <f t="shared" si="24"/>
        <v>#DIV/0!</v>
      </c>
      <c r="S21" s="12"/>
      <c r="T21" s="13" t="str">
        <f t="shared" si="25"/>
        <v>#DIV/0!</v>
      </c>
      <c r="U21" s="12"/>
      <c r="V21" s="13" t="str">
        <f t="shared" si="26"/>
        <v>#DIV/0!</v>
      </c>
      <c r="W21" s="12"/>
      <c r="X21" s="13" t="str">
        <f t="shared" si="27"/>
        <v>#DIV/0!</v>
      </c>
      <c r="Y21" s="13">
        <f t="shared" ref="Y21:Z21" si="28">((M21+O21+Q21+S21)/4)</f>
        <v>0</v>
      </c>
      <c r="Z21" s="13" t="str">
        <f t="shared" si="28"/>
        <v>#DIV/0!</v>
      </c>
      <c r="AA21" s="13">
        <f t="shared" si="3"/>
        <v>0</v>
      </c>
      <c r="AB21" s="13" t="str">
        <f t="shared" si="4"/>
        <v>#DIV/0!</v>
      </c>
      <c r="AC21" s="14" t="s">
        <v>63</v>
      </c>
    </row>
    <row r="22" ht="14.25" customHeight="1">
      <c r="A22" s="5"/>
      <c r="B22" s="55" t="s">
        <v>68</v>
      </c>
      <c r="C22" s="53"/>
      <c r="D22" s="53"/>
      <c r="E22" s="53"/>
      <c r="F22" s="53"/>
      <c r="G22" s="53"/>
      <c r="H22" s="58"/>
      <c r="I22" s="5"/>
      <c r="J22" s="5"/>
      <c r="K22" s="5"/>
      <c r="L22" s="11" t="s">
        <v>69</v>
      </c>
      <c r="M22" s="61"/>
      <c r="N22" s="28" t="str">
        <f>M22/C7*100000</f>
        <v>#DIV/0!</v>
      </c>
      <c r="O22" s="12"/>
      <c r="P22" s="28" t="str">
        <f>O22/D7*100000</f>
        <v>#DIV/0!</v>
      </c>
      <c r="Q22" s="47"/>
      <c r="R22" s="28" t="str">
        <f>Q22/E7*100000</f>
        <v>#DIV/0!</v>
      </c>
      <c r="S22" s="61"/>
      <c r="T22" s="28" t="str">
        <f>S22/F7*100000</f>
        <v>#DIV/0!</v>
      </c>
      <c r="U22" s="61"/>
      <c r="V22" s="28" t="str">
        <f>U22/G7*100000</f>
        <v>#DIV/0!</v>
      </c>
      <c r="W22" s="61"/>
      <c r="X22" s="28" t="str">
        <f>W22/H7*100000</f>
        <v>#DIV/0!</v>
      </c>
      <c r="Y22" s="13">
        <f t="shared" ref="Y22:Z22" si="29">((M22+O22+Q22+S22)/4)</f>
        <v>0</v>
      </c>
      <c r="Z22" s="13" t="str">
        <f t="shared" si="29"/>
        <v>#DIV/0!</v>
      </c>
      <c r="AA22" s="13">
        <f t="shared" si="3"/>
        <v>0</v>
      </c>
      <c r="AB22" s="13" t="str">
        <f t="shared" si="4"/>
        <v>#DIV/0!</v>
      </c>
      <c r="AC22" s="14" t="s">
        <v>22</v>
      </c>
    </row>
    <row r="23" ht="14.25" customHeight="1">
      <c r="A23" s="5"/>
      <c r="B23" s="55" t="s">
        <v>70</v>
      </c>
      <c r="C23" s="53"/>
      <c r="D23" s="53"/>
      <c r="E23" s="53"/>
      <c r="F23" s="53"/>
      <c r="G23" s="53"/>
      <c r="H23" s="58"/>
      <c r="I23" s="5"/>
      <c r="J23" s="5"/>
      <c r="K23" s="5"/>
      <c r="L23" s="11" t="s">
        <v>71</v>
      </c>
      <c r="M23" s="61"/>
      <c r="N23" s="28" t="str">
        <f>M23/C7*100000</f>
        <v>#DIV/0!</v>
      </c>
      <c r="O23" s="12"/>
      <c r="P23" s="28" t="str">
        <f>O23/D7*100000</f>
        <v>#DIV/0!</v>
      </c>
      <c r="Q23" s="47"/>
      <c r="R23" s="28" t="str">
        <f>Q23/E7*100000</f>
        <v>#DIV/0!</v>
      </c>
      <c r="S23" s="61"/>
      <c r="T23" s="28" t="str">
        <f>S23/F7*100000</f>
        <v>#DIV/0!</v>
      </c>
      <c r="U23" s="61"/>
      <c r="V23" s="28" t="str">
        <f>U23/G7*100000</f>
        <v>#DIV/0!</v>
      </c>
      <c r="W23" s="61"/>
      <c r="X23" s="28" t="str">
        <f>W23/H7*100000</f>
        <v>#DIV/0!</v>
      </c>
      <c r="Y23" s="13">
        <f t="shared" ref="Y23:Z23" si="30">((M23+O23+Q23+S23)/4)</f>
        <v>0</v>
      </c>
      <c r="Z23" s="13" t="str">
        <f t="shared" si="30"/>
        <v>#DIV/0!</v>
      </c>
      <c r="AA23" s="13">
        <f t="shared" si="3"/>
        <v>0</v>
      </c>
      <c r="AB23" s="13" t="str">
        <f t="shared" si="4"/>
        <v>#DIV/0!</v>
      </c>
      <c r="AC23" s="14" t="s">
        <v>22</v>
      </c>
    </row>
    <row r="24" ht="14.25" customHeight="1">
      <c r="A24" s="5"/>
      <c r="B24" s="55" t="s">
        <v>72</v>
      </c>
      <c r="C24" s="53"/>
      <c r="D24" s="53"/>
      <c r="E24" s="53"/>
      <c r="F24" s="53"/>
      <c r="G24" s="53"/>
      <c r="H24" s="58"/>
      <c r="I24" s="5"/>
      <c r="J24" s="5"/>
      <c r="K24" s="5"/>
      <c r="L24" s="11" t="s">
        <v>73</v>
      </c>
      <c r="M24" s="61"/>
      <c r="N24" s="28" t="str">
        <f>M24/C7*100000</f>
        <v>#DIV/0!</v>
      </c>
      <c r="O24" s="12"/>
      <c r="P24" s="28" t="str">
        <f>O24/D7*100000</f>
        <v>#DIV/0!</v>
      </c>
      <c r="Q24" s="47"/>
      <c r="R24" s="28" t="str">
        <f>Q24/E7*100000</f>
        <v>#DIV/0!</v>
      </c>
      <c r="S24" s="61"/>
      <c r="T24" s="28" t="str">
        <f>S24/F7*100000</f>
        <v>#DIV/0!</v>
      </c>
      <c r="U24" s="61"/>
      <c r="V24" s="28" t="str">
        <f>U24/G7*100000</f>
        <v>#DIV/0!</v>
      </c>
      <c r="W24" s="61"/>
      <c r="X24" s="28" t="str">
        <f>W24/H7*100000</f>
        <v>#DIV/0!</v>
      </c>
      <c r="Y24" s="13">
        <f t="shared" ref="Y24:Z24" si="31">((M24+O24+Q24+S24)/4)</f>
        <v>0</v>
      </c>
      <c r="Z24" s="13" t="str">
        <f t="shared" si="31"/>
        <v>#DIV/0!</v>
      </c>
      <c r="AA24" s="13">
        <f t="shared" si="3"/>
        <v>0</v>
      </c>
      <c r="AB24" s="13" t="str">
        <f t="shared" si="4"/>
        <v>#DIV/0!</v>
      </c>
      <c r="AC24" s="14" t="s">
        <v>22</v>
      </c>
    </row>
    <row r="25" ht="14.25" customHeight="1">
      <c r="A25" s="5"/>
      <c r="B25" s="55" t="s">
        <v>74</v>
      </c>
      <c r="C25" s="53"/>
      <c r="D25" s="53"/>
      <c r="E25" s="53"/>
      <c r="F25" s="53"/>
      <c r="G25" s="53"/>
      <c r="H25" s="58"/>
      <c r="I25" s="5"/>
      <c r="J25" s="5"/>
      <c r="K25" s="5"/>
      <c r="L25" s="11" t="s">
        <v>75</v>
      </c>
      <c r="M25" s="61"/>
      <c r="N25" s="28" t="str">
        <f>M25/C7*100000</f>
        <v>#DIV/0!</v>
      </c>
      <c r="O25" s="12"/>
      <c r="P25" s="28" t="str">
        <f>O25/D7*100000</f>
        <v>#DIV/0!</v>
      </c>
      <c r="Q25" s="47"/>
      <c r="R25" s="28" t="str">
        <f>Q25/E7*100000</f>
        <v>#DIV/0!</v>
      </c>
      <c r="S25" s="61"/>
      <c r="T25" s="28" t="str">
        <f>S25/F7*100000</f>
        <v>#DIV/0!</v>
      </c>
      <c r="U25" s="61"/>
      <c r="V25" s="28" t="str">
        <f>U25/G7*100000</f>
        <v>#DIV/0!</v>
      </c>
      <c r="W25" s="61"/>
      <c r="X25" s="28" t="str">
        <f>W25/H7*100000</f>
        <v>#DIV/0!</v>
      </c>
      <c r="Y25" s="13">
        <f t="shared" ref="Y25:Z25" si="32">((M25+O25+Q25+S25)/4)</f>
        <v>0</v>
      </c>
      <c r="Z25" s="13" t="str">
        <f t="shared" si="32"/>
        <v>#DIV/0!</v>
      </c>
      <c r="AA25" s="13">
        <f t="shared" si="3"/>
        <v>0</v>
      </c>
      <c r="AB25" s="13" t="str">
        <f t="shared" si="4"/>
        <v>#DIV/0!</v>
      </c>
      <c r="AC25" s="14" t="s">
        <v>48</v>
      </c>
    </row>
    <row r="26" ht="14.25" customHeight="1">
      <c r="A26" s="5"/>
      <c r="B26" s="55" t="s">
        <v>76</v>
      </c>
      <c r="C26" s="62"/>
      <c r="D26" s="62"/>
      <c r="E26" s="62"/>
      <c r="F26" s="62"/>
      <c r="G26" s="62"/>
      <c r="H26" s="58"/>
      <c r="I26" s="5"/>
      <c r="J26" s="5"/>
      <c r="K26" s="5"/>
      <c r="L26" s="11" t="s">
        <v>77</v>
      </c>
      <c r="M26" s="12"/>
      <c r="N26" s="13" t="str">
        <f>M26/C7*100000</f>
        <v>#DIV/0!</v>
      </c>
      <c r="O26" s="12"/>
      <c r="P26" s="13" t="str">
        <f>O26/D7*100000</f>
        <v>#DIV/0!</v>
      </c>
      <c r="Q26" s="47"/>
      <c r="R26" s="13" t="str">
        <f>Q26/E7*100000</f>
        <v>#DIV/0!</v>
      </c>
      <c r="S26" s="12"/>
      <c r="T26" s="13" t="str">
        <f>S26/F7*100000</f>
        <v>#DIV/0!</v>
      </c>
      <c r="U26" s="12"/>
      <c r="V26" s="13" t="str">
        <f>U26/G7*100000</f>
        <v>#DIV/0!</v>
      </c>
      <c r="W26" s="12"/>
      <c r="X26" s="13" t="str">
        <f>W26/H7*100000</f>
        <v>#DIV/0!</v>
      </c>
      <c r="Y26" s="13">
        <f t="shared" ref="Y26:Z26" si="33">((M26+O26+Q26+S26)/4)</f>
        <v>0</v>
      </c>
      <c r="Z26" s="13" t="str">
        <f t="shared" si="33"/>
        <v>#DIV/0!</v>
      </c>
      <c r="AA26" s="13">
        <f t="shared" si="3"/>
        <v>0</v>
      </c>
      <c r="AB26" s="13" t="str">
        <f t="shared" si="4"/>
        <v>#DIV/0!</v>
      </c>
      <c r="AC26" s="14" t="s">
        <v>22</v>
      </c>
    </row>
    <row r="27" ht="14.25" customHeight="1">
      <c r="A27" s="5"/>
      <c r="B27" s="63" t="s">
        <v>78</v>
      </c>
      <c r="C27" s="64"/>
      <c r="D27" s="64"/>
      <c r="E27" s="65"/>
      <c r="F27" s="65"/>
      <c r="G27" s="65"/>
      <c r="H27" s="66"/>
      <c r="I27" s="5"/>
      <c r="J27" s="5"/>
      <c r="K27" s="5"/>
      <c r="L27" s="11" t="s">
        <v>79</v>
      </c>
      <c r="M27" s="12"/>
      <c r="N27" s="13" t="str">
        <f>M27/C11*100000</f>
        <v>#DIV/0!</v>
      </c>
      <c r="O27" s="12"/>
      <c r="P27" s="13" t="str">
        <f>O27/D11*100000</f>
        <v>#DIV/0!</v>
      </c>
      <c r="Q27" s="47"/>
      <c r="R27" s="13" t="str">
        <f>Q27/E11*100000</f>
        <v>#DIV/0!</v>
      </c>
      <c r="S27" s="12"/>
      <c r="T27" s="13" t="str">
        <f>S27/F11*100000</f>
        <v>#DIV/0!</v>
      </c>
      <c r="U27" s="12"/>
      <c r="V27" s="13" t="str">
        <f>U27/G11*100000</f>
        <v>#DIV/0!</v>
      </c>
      <c r="W27" s="12"/>
      <c r="X27" s="13" t="str">
        <f>W27/H11*100000</f>
        <v>#DIV/0!</v>
      </c>
      <c r="Y27" s="13">
        <f t="shared" ref="Y27:Z27" si="34">((M27+O27+Q27+S27)/4)</f>
        <v>0</v>
      </c>
      <c r="Z27" s="13" t="str">
        <f t="shared" si="34"/>
        <v>#DIV/0!</v>
      </c>
      <c r="AA27" s="13">
        <f t="shared" si="3"/>
        <v>0</v>
      </c>
      <c r="AB27" s="13" t="str">
        <f t="shared" si="4"/>
        <v>#DIV/0!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 t="str">
        <f>M28/C11*100000</f>
        <v>#DIV/0!</v>
      </c>
      <c r="O28" s="12"/>
      <c r="P28" s="13" t="str">
        <f>O28/D11*100000</f>
        <v>#DIV/0!</v>
      </c>
      <c r="Q28" s="47"/>
      <c r="R28" s="13" t="str">
        <f>Q28/E11*100000</f>
        <v>#DIV/0!</v>
      </c>
      <c r="S28" s="12"/>
      <c r="T28" s="13" t="str">
        <f>S28/F11*100000</f>
        <v>#DIV/0!</v>
      </c>
      <c r="U28" s="12"/>
      <c r="V28" s="13" t="str">
        <f>U28/G11*100000</f>
        <v>#DIV/0!</v>
      </c>
      <c r="W28" s="12"/>
      <c r="X28" s="13" t="str">
        <f>W28/H11*100000</f>
        <v>#DIV/0!</v>
      </c>
      <c r="Y28" s="13">
        <f t="shared" ref="Y28:Z28" si="35">((M28+O28+Q28+S28)/4)</f>
        <v>0</v>
      </c>
      <c r="Z28" s="13" t="str">
        <f t="shared" si="35"/>
        <v>#DIV/0!</v>
      </c>
      <c r="AA28" s="13">
        <f t="shared" si="3"/>
        <v>0</v>
      </c>
      <c r="AB28" s="13" t="str">
        <f t="shared" si="4"/>
        <v>#DIV/0!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 t="str">
        <f>M29/C10*100000</f>
        <v>#DIV/0!</v>
      </c>
      <c r="O29" s="12"/>
      <c r="P29" s="13" t="str">
        <f>O29/D10*100000</f>
        <v>#DIV/0!</v>
      </c>
      <c r="Q29" s="47"/>
      <c r="R29" s="13" t="str">
        <f>Q29/E10*100000</f>
        <v>#DIV/0!</v>
      </c>
      <c r="S29" s="12"/>
      <c r="T29" s="13" t="str">
        <f>S29/F10*100000</f>
        <v>#DIV/0!</v>
      </c>
      <c r="U29" s="12"/>
      <c r="V29" s="13" t="str">
        <f>U29/G10*100000</f>
        <v>#DIV/0!</v>
      </c>
      <c r="W29" s="12"/>
      <c r="X29" s="13" t="str">
        <f>W29/H10*100000</f>
        <v>#DIV/0!</v>
      </c>
      <c r="Y29" s="13">
        <f t="shared" ref="Y29:Z29" si="36">((M29+O29+Q29+S29)/4)</f>
        <v>0</v>
      </c>
      <c r="Z29" s="13" t="str">
        <f t="shared" si="36"/>
        <v>#DIV/0!</v>
      </c>
      <c r="AA29" s="13">
        <f t="shared" si="3"/>
        <v>0</v>
      </c>
      <c r="AB29" s="13" t="str">
        <f t="shared" si="4"/>
        <v>#DIV/0!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 t="str">
        <f>M30/C7*100000</f>
        <v>#DIV/0!</v>
      </c>
      <c r="O30" s="12"/>
      <c r="P30" s="13" t="str">
        <f>O30/D7*100000</f>
        <v>#DIV/0!</v>
      </c>
      <c r="Q30" s="47"/>
      <c r="R30" s="13" t="str">
        <f>Q30/E7*100000</f>
        <v>#DIV/0!</v>
      </c>
      <c r="S30" s="12"/>
      <c r="T30" s="13" t="str">
        <f>S30/F7*100000</f>
        <v>#DIV/0!</v>
      </c>
      <c r="U30" s="12"/>
      <c r="V30" s="13" t="str">
        <f>U30/G7*100000</f>
        <v>#DIV/0!</v>
      </c>
      <c r="W30" s="12"/>
      <c r="X30" s="13" t="str">
        <f>W30/H7*100000</f>
        <v>#DIV/0!</v>
      </c>
      <c r="Y30" s="13">
        <f t="shared" ref="Y30:Z30" si="37">((M30+O30+Q30+S30)/4)</f>
        <v>0</v>
      </c>
      <c r="Z30" s="13" t="str">
        <f t="shared" si="37"/>
        <v>#DIV/0!</v>
      </c>
      <c r="AA30" s="13">
        <f t="shared" si="3"/>
        <v>0</v>
      </c>
      <c r="AB30" s="13" t="str">
        <f t="shared" si="4"/>
        <v>#DIV/0!</v>
      </c>
      <c r="AC30" s="14" t="s">
        <v>22</v>
      </c>
    </row>
    <row r="31" ht="14.25" customHeight="1">
      <c r="A31" s="5"/>
      <c r="B31" s="32" t="s">
        <v>84</v>
      </c>
      <c r="C31" s="31"/>
      <c r="D31" s="31"/>
      <c r="E31" s="31"/>
      <c r="F31" s="31"/>
      <c r="G31" s="31"/>
      <c r="H31" s="31"/>
      <c r="I31" s="5"/>
      <c r="J31" s="5"/>
      <c r="K31" s="5"/>
      <c r="L31" s="11" t="s">
        <v>85</v>
      </c>
      <c r="M31" s="12"/>
      <c r="N31" s="13" t="str">
        <f>M31/C7*100000</f>
        <v>#DIV/0!</v>
      </c>
      <c r="O31" s="12"/>
      <c r="P31" s="13" t="str">
        <f>O31/D7*100000</f>
        <v>#DIV/0!</v>
      </c>
      <c r="Q31" s="47"/>
      <c r="R31" s="13" t="str">
        <f>Q31/E7*100000</f>
        <v>#DIV/0!</v>
      </c>
      <c r="S31" s="12"/>
      <c r="T31" s="13" t="str">
        <f>S31/F7*100000</f>
        <v>#DIV/0!</v>
      </c>
      <c r="U31" s="12"/>
      <c r="V31" s="13" t="str">
        <f>U31/G7*100000</f>
        <v>#DIV/0!</v>
      </c>
      <c r="W31" s="12"/>
      <c r="X31" s="13" t="str">
        <f>W31/H7*100000</f>
        <v>#DIV/0!</v>
      </c>
      <c r="Y31" s="13">
        <f t="shared" ref="Y31:Z31" si="38">((M31+O31+Q31+S31)/4)</f>
        <v>0</v>
      </c>
      <c r="Z31" s="13" t="str">
        <f t="shared" si="38"/>
        <v>#DIV/0!</v>
      </c>
      <c r="AA31" s="13">
        <f t="shared" si="3"/>
        <v>0</v>
      </c>
      <c r="AB31" s="13" t="str">
        <f t="shared" si="4"/>
        <v>#DIV/0!</v>
      </c>
      <c r="AC31" s="14" t="s">
        <v>22</v>
      </c>
    </row>
    <row r="32" ht="14.25" customHeight="1">
      <c r="A32" s="5"/>
      <c r="B32" s="32" t="s">
        <v>86</v>
      </c>
      <c r="C32" s="31"/>
      <c r="D32" s="31"/>
      <c r="E32" s="31"/>
      <c r="F32" s="31"/>
      <c r="G32" s="31"/>
      <c r="H32" s="31"/>
      <c r="I32" s="5"/>
      <c r="J32" s="5"/>
      <c r="K32" s="5"/>
      <c r="L32" s="11" t="s">
        <v>87</v>
      </c>
      <c r="M32" s="61"/>
      <c r="N32" s="34" t="str">
        <f>M32/C7*100</f>
        <v>#DIV/0!</v>
      </c>
      <c r="O32" s="12"/>
      <c r="P32" s="34" t="str">
        <f>O32/D7*100</f>
        <v>#DIV/0!</v>
      </c>
      <c r="Q32" s="47"/>
      <c r="R32" s="34" t="str">
        <f>Q32/E7*100</f>
        <v>#DIV/0!</v>
      </c>
      <c r="S32" s="61"/>
      <c r="T32" s="34" t="str">
        <f>S32/F7*100</f>
        <v>#DIV/0!</v>
      </c>
      <c r="U32" s="61"/>
      <c r="V32" s="34" t="str">
        <f>U32/G7*100</f>
        <v>#DIV/0!</v>
      </c>
      <c r="W32" s="61"/>
      <c r="X32" s="34" t="str">
        <f>W32/H7*100</f>
        <v>#DIV/0!</v>
      </c>
      <c r="Y32" s="13">
        <f t="shared" ref="Y32:Z32" si="39">((M32+O32+Q32+S32)/4)</f>
        <v>0</v>
      </c>
      <c r="Z32" s="35" t="str">
        <f t="shared" si="39"/>
        <v>#DIV/0!</v>
      </c>
      <c r="AA32" s="13">
        <f t="shared" si="3"/>
        <v>0</v>
      </c>
      <c r="AB32" s="13" t="str">
        <f t="shared" si="4"/>
        <v>#DIV/0!</v>
      </c>
      <c r="AC32" s="14" t="s">
        <v>48</v>
      </c>
    </row>
    <row r="33" ht="14.25" customHeight="1">
      <c r="A33" s="5"/>
      <c r="B33" s="32" t="s">
        <v>88</v>
      </c>
      <c r="C33" s="31"/>
      <c r="D33" s="31"/>
      <c r="E33" s="31"/>
      <c r="F33" s="31"/>
      <c r="G33" s="31"/>
      <c r="H33" s="31"/>
      <c r="I33" s="5"/>
      <c r="J33" s="5"/>
      <c r="K33" s="5"/>
      <c r="L33" s="11" t="s">
        <v>89</v>
      </c>
      <c r="M33" s="12"/>
      <c r="N33" s="13" t="str">
        <f>M33/C7*10000</f>
        <v>#DIV/0!</v>
      </c>
      <c r="O33" s="12"/>
      <c r="P33" s="13" t="str">
        <f>O33/D7*10000</f>
        <v>#DIV/0!</v>
      </c>
      <c r="Q33" s="47"/>
      <c r="R33" s="13" t="str">
        <f>Q33/E7*10000</f>
        <v>#DIV/0!</v>
      </c>
      <c r="S33" s="12"/>
      <c r="T33" s="13" t="str">
        <f>S33/F7*10000</f>
        <v>#DIV/0!</v>
      </c>
      <c r="U33" s="12"/>
      <c r="V33" s="13" t="str">
        <f>U33/G7*10000</f>
        <v>#DIV/0!</v>
      </c>
      <c r="W33" s="12"/>
      <c r="X33" s="13" t="str">
        <f>W33/H7*10000</f>
        <v>#DIV/0!</v>
      </c>
      <c r="Y33" s="13">
        <f t="shared" ref="Y33:Z33" si="40">((M33+O33+Q33+S33)/4)</f>
        <v>0</v>
      </c>
      <c r="Z33" s="13" t="str">
        <f t="shared" si="40"/>
        <v>#DIV/0!</v>
      </c>
      <c r="AA33" s="13">
        <f t="shared" si="3"/>
        <v>0</v>
      </c>
      <c r="AB33" s="13" t="str">
        <f t="shared" si="4"/>
        <v>#DIV/0!</v>
      </c>
      <c r="AC33" s="14" t="s">
        <v>48</v>
      </c>
    </row>
    <row r="34" ht="14.25" customHeight="1">
      <c r="A34" s="5"/>
      <c r="B34" s="32" t="s">
        <v>90</v>
      </c>
      <c r="C34" s="31"/>
      <c r="D34" s="31"/>
      <c r="E34" s="31"/>
      <c r="F34" s="31"/>
      <c r="G34" s="31"/>
      <c r="H34" s="31"/>
      <c r="I34" s="5"/>
      <c r="J34" s="5"/>
      <c r="K34" s="5"/>
      <c r="L34" s="11" t="s">
        <v>91</v>
      </c>
      <c r="M34" s="12"/>
      <c r="N34" s="13" t="str">
        <f>M34/C7*10000</f>
        <v>#DIV/0!</v>
      </c>
      <c r="O34" s="12"/>
      <c r="P34" s="13" t="str">
        <f>O34/D7*10000</f>
        <v>#DIV/0!</v>
      </c>
      <c r="Q34" s="47"/>
      <c r="R34" s="13" t="str">
        <f>Q34/E7*10000</f>
        <v>#DIV/0!</v>
      </c>
      <c r="S34" s="12"/>
      <c r="T34" s="13" t="str">
        <f>S34/F7*10000</f>
        <v>#DIV/0!</v>
      </c>
      <c r="U34" s="12"/>
      <c r="V34" s="13" t="str">
        <f>U34/G7*10000</f>
        <v>#DIV/0!</v>
      </c>
      <c r="W34" s="12"/>
      <c r="X34" s="13" t="str">
        <f>W34/H7*10000</f>
        <v>#DIV/0!</v>
      </c>
      <c r="Y34" s="13">
        <f t="shared" ref="Y34:Z34" si="41">((M34+O34+Q34+S34)/4)</f>
        <v>0</v>
      </c>
      <c r="Z34" s="13" t="str">
        <f t="shared" si="41"/>
        <v>#DIV/0!</v>
      </c>
      <c r="AA34" s="13">
        <f t="shared" si="3"/>
        <v>0</v>
      </c>
      <c r="AB34" s="13" t="str">
        <f t="shared" si="4"/>
        <v>#DIV/0!</v>
      </c>
      <c r="AC34" s="14" t="s">
        <v>48</v>
      </c>
    </row>
    <row r="35" ht="14.25" customHeight="1">
      <c r="A35" s="5"/>
      <c r="B35" s="32" t="s">
        <v>92</v>
      </c>
      <c r="C35" s="31"/>
      <c r="D35" s="31"/>
      <c r="E35" s="31"/>
      <c r="F35" s="31"/>
      <c r="G35" s="31"/>
      <c r="H35" s="31"/>
      <c r="I35" s="5"/>
      <c r="J35" s="5"/>
      <c r="K35" s="5"/>
      <c r="L35" s="11" t="s">
        <v>93</v>
      </c>
      <c r="M35" s="12"/>
      <c r="N35" s="13" t="str">
        <f>M35/M4*1000</f>
        <v>#DIV/0!</v>
      </c>
      <c r="O35" s="12"/>
      <c r="P35" s="13" t="str">
        <f>O35/O4*1000</f>
        <v>#DIV/0!</v>
      </c>
      <c r="Q35" s="47"/>
      <c r="R35" s="13" t="str">
        <f>Q35/Q4*1000</f>
        <v>#DIV/0!</v>
      </c>
      <c r="S35" s="12"/>
      <c r="T35" s="13" t="str">
        <f>S35/S4*1000</f>
        <v>#DIV/0!</v>
      </c>
      <c r="U35" s="12"/>
      <c r="V35" s="13" t="str">
        <f>U35/U4*1000</f>
        <v>#DIV/0!</v>
      </c>
      <c r="W35" s="12"/>
      <c r="X35" s="13" t="str">
        <f>W35/W4*1000</f>
        <v>#DIV/0!</v>
      </c>
      <c r="Y35" s="13">
        <f t="shared" ref="Y35:Z35" si="42">((M35+O35+Q35+S35)/4)</f>
        <v>0</v>
      </c>
      <c r="Z35" s="13" t="str">
        <f t="shared" si="42"/>
        <v>#DIV/0!</v>
      </c>
      <c r="AA35" s="13">
        <f t="shared" si="3"/>
        <v>0</v>
      </c>
      <c r="AB35" s="13" t="str">
        <f t="shared" si="4"/>
        <v>#DIV/0!</v>
      </c>
      <c r="AC35" s="14" t="s">
        <v>48</v>
      </c>
    </row>
    <row r="36" ht="14.25" customHeight="1">
      <c r="A36" s="5"/>
      <c r="B36" s="32" t="s">
        <v>94</v>
      </c>
      <c r="C36" s="31"/>
      <c r="D36" s="31"/>
      <c r="E36" s="31"/>
      <c r="F36" s="31"/>
      <c r="G36" s="31"/>
      <c r="H36" s="31"/>
      <c r="I36" s="5"/>
      <c r="J36" s="5"/>
      <c r="K36" s="5"/>
      <c r="L36" s="11" t="s">
        <v>95</v>
      </c>
      <c r="M36" s="12"/>
      <c r="N36" s="13" t="str">
        <f>M36/M4*1000</f>
        <v>#DIV/0!</v>
      </c>
      <c r="O36" s="12"/>
      <c r="P36" s="13" t="str">
        <f>O36/O4*1000</f>
        <v>#DIV/0!</v>
      </c>
      <c r="Q36" s="47"/>
      <c r="R36" s="13" t="str">
        <f>Q36/Q4*1000</f>
        <v>#DIV/0!</v>
      </c>
      <c r="S36" s="12"/>
      <c r="T36" s="13" t="str">
        <f>S36/S4*1000</f>
        <v>#DIV/0!</v>
      </c>
      <c r="U36" s="12"/>
      <c r="V36" s="13" t="str">
        <f>U36/U4*1000</f>
        <v>#DIV/0!</v>
      </c>
      <c r="W36" s="12"/>
      <c r="X36" s="13" t="str">
        <f>W36/W4*1000</f>
        <v>#DIV/0!</v>
      </c>
      <c r="Y36" s="13">
        <f t="shared" ref="Y36:Z36" si="43">((M36+O36+Q36+S36)/4)</f>
        <v>0</v>
      </c>
      <c r="Z36" s="13" t="str">
        <f t="shared" si="43"/>
        <v>#DIV/0!</v>
      </c>
      <c r="AA36" s="13">
        <f t="shared" si="3"/>
        <v>0</v>
      </c>
      <c r="AB36" s="13" t="str">
        <f t="shared" si="4"/>
        <v>#DIV/0!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59">
        <f t="shared" ref="Y37:Z37" si="44">((M37+O37+Q37+S37)/4)</f>
        <v>0</v>
      </c>
      <c r="Z37" s="59">
        <f t="shared" si="44"/>
        <v>0</v>
      </c>
      <c r="AA37" s="59">
        <f t="shared" si="3"/>
        <v>0</v>
      </c>
      <c r="AB37" s="59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 t="str">
        <f>M38/C7*10000</f>
        <v>#DIV/0!</v>
      </c>
      <c r="O38" s="12"/>
      <c r="P38" s="13" t="str">
        <f>O38/E7*10000</f>
        <v>#DIV/0!</v>
      </c>
      <c r="Q38" s="47"/>
      <c r="R38" s="13" t="str">
        <f>Q38/E7*10000</f>
        <v>#DIV/0!</v>
      </c>
      <c r="S38" s="12"/>
      <c r="T38" s="13" t="str">
        <f>S38/F7*10000</f>
        <v>#DIV/0!</v>
      </c>
      <c r="U38" s="12"/>
      <c r="V38" s="13" t="str">
        <f>U38/G7*10000</f>
        <v>#DIV/0!</v>
      </c>
      <c r="W38" s="12"/>
      <c r="X38" s="13" t="str">
        <f>W38/H7*10000</f>
        <v>#DIV/0!</v>
      </c>
      <c r="Y38" s="13">
        <f t="shared" ref="Y38:Z38" si="45">((M38+O38+Q38+S38)/4)</f>
        <v>0</v>
      </c>
      <c r="Z38" s="13" t="str">
        <f t="shared" si="45"/>
        <v>#DIV/0!</v>
      </c>
      <c r="AA38" s="13">
        <f t="shared" si="3"/>
        <v>0</v>
      </c>
      <c r="AB38" s="13" t="str">
        <f t="shared" si="4"/>
        <v>#DIV/0!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 t="str">
        <f>M39/C17*10000</f>
        <v>#DIV/0!</v>
      </c>
      <c r="O39" s="12"/>
      <c r="P39" s="13" t="str">
        <f>O39/D17*10000</f>
        <v>#DIV/0!</v>
      </c>
      <c r="Q39" s="47"/>
      <c r="R39" s="13" t="str">
        <f>Q39/E17*100000</f>
        <v>#DIV/0!</v>
      </c>
      <c r="S39" s="12"/>
      <c r="T39" s="13" t="str">
        <f>S39/F17*100000</f>
        <v>#DIV/0!</v>
      </c>
      <c r="U39" s="12"/>
      <c r="V39" s="13" t="str">
        <f>U39/G17*100000</f>
        <v>#DIV/0!</v>
      </c>
      <c r="W39" s="12"/>
      <c r="X39" s="13" t="str">
        <f>W39/H17*100000</f>
        <v>#DIV/0!</v>
      </c>
      <c r="Y39" s="13">
        <f t="shared" ref="Y39:Z39" si="46">((M39+O39+Q39+S39)/4)</f>
        <v>0</v>
      </c>
      <c r="Z39" s="13" t="str">
        <f t="shared" si="46"/>
        <v>#DIV/0!</v>
      </c>
      <c r="AA39" s="13">
        <f t="shared" si="3"/>
        <v>0</v>
      </c>
      <c r="AB39" s="13" t="str">
        <f t="shared" si="4"/>
        <v>#DIV/0!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 t="str">
        <f>M40/C7*100000</f>
        <v>#DIV/0!</v>
      </c>
      <c r="O40" s="12"/>
      <c r="P40" s="13" t="str">
        <f>O40/D7*100000</f>
        <v>#DIV/0!</v>
      </c>
      <c r="Q40" s="47"/>
      <c r="R40" s="13" t="str">
        <f>Q40/E7*100000</f>
        <v>#DIV/0!</v>
      </c>
      <c r="S40" s="12"/>
      <c r="T40" s="13" t="str">
        <f>S40/F7*100000</f>
        <v>#DIV/0!</v>
      </c>
      <c r="U40" s="12"/>
      <c r="V40" s="13" t="str">
        <f>U40/G7*100000</f>
        <v>#DIV/0!</v>
      </c>
      <c r="W40" s="12"/>
      <c r="X40" s="13" t="str">
        <f>W40/H7*100000</f>
        <v>#DIV/0!</v>
      </c>
      <c r="Y40" s="13">
        <f t="shared" ref="Y40:Z40" si="47">((M40+O40+Q40+S40)/4)</f>
        <v>0</v>
      </c>
      <c r="Z40" s="13" t="str">
        <f t="shared" si="47"/>
        <v>#DIV/0!</v>
      </c>
      <c r="AA40" s="13">
        <f t="shared" si="3"/>
        <v>0</v>
      </c>
      <c r="AB40" s="13" t="str">
        <f t="shared" si="4"/>
        <v>#DIV/0!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 t="str">
        <f>M41/C7*10000</f>
        <v>#DIV/0!</v>
      </c>
      <c r="O41" s="12"/>
      <c r="P41" s="28" t="str">
        <f>O41/D7*10000</f>
        <v>#DIV/0!</v>
      </c>
      <c r="Q41" s="47"/>
      <c r="R41" s="28" t="str">
        <f>Q41/E7*10000</f>
        <v>#DIV/0!</v>
      </c>
      <c r="S41" s="61"/>
      <c r="T41" s="28" t="str">
        <f>S41/F7*10000</f>
        <v>#DIV/0!</v>
      </c>
      <c r="U41" s="61"/>
      <c r="V41" s="28" t="str">
        <f>U41/G7*10000</f>
        <v>#DIV/0!</v>
      </c>
      <c r="W41" s="61"/>
      <c r="X41" s="28" t="str">
        <f>W41/H7*10000</f>
        <v>#DIV/0!</v>
      </c>
      <c r="Y41" s="13">
        <f t="shared" ref="Y41:Z41" si="48">((M41+O41+Q41+S41)/4)</f>
        <v>0</v>
      </c>
      <c r="Z41" s="13" t="str">
        <f t="shared" si="48"/>
        <v>#DIV/0!</v>
      </c>
      <c r="AA41" s="13">
        <f t="shared" si="3"/>
        <v>0</v>
      </c>
      <c r="AB41" s="13" t="str">
        <f t="shared" si="4"/>
        <v>#DIV/0!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 t="str">
        <f>M42/C7*10000</f>
        <v>#DIV/0!</v>
      </c>
      <c r="O42" s="12"/>
      <c r="P42" s="28" t="str">
        <f>O42/D7*10000</f>
        <v>#DIV/0!</v>
      </c>
      <c r="Q42" s="47"/>
      <c r="R42" s="28" t="str">
        <f>Q42/E7*10000</f>
        <v>#DIV/0!</v>
      </c>
      <c r="S42" s="61"/>
      <c r="T42" s="28" t="str">
        <f>S42/F7*10000</f>
        <v>#DIV/0!</v>
      </c>
      <c r="U42" s="61"/>
      <c r="V42" s="28" t="str">
        <f>U42/G7*10000</f>
        <v>#DIV/0!</v>
      </c>
      <c r="W42" s="61"/>
      <c r="X42" s="28" t="str">
        <f>W42/H7*10000</f>
        <v>#DIV/0!</v>
      </c>
      <c r="Y42" s="13">
        <f t="shared" ref="Y42:Z42" si="49">((M42+O42+Q42+S42)/4)</f>
        <v>0</v>
      </c>
      <c r="Z42" s="13" t="str">
        <f t="shared" si="49"/>
        <v>#DIV/0!</v>
      </c>
      <c r="AA42" s="13">
        <f t="shared" si="3"/>
        <v>0</v>
      </c>
      <c r="AB42" s="13" t="str">
        <f t="shared" si="4"/>
        <v>#DIV/0!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 t="str">
        <f>M43/C16*10000</f>
        <v>#DIV/0!</v>
      </c>
      <c r="O43" s="12"/>
      <c r="P43" s="28" t="str">
        <f>O43/D16*10000</f>
        <v>#DIV/0!</v>
      </c>
      <c r="Q43" s="47"/>
      <c r="R43" s="28" t="str">
        <f>Q43/E16*100000</f>
        <v>#DIV/0!</v>
      </c>
      <c r="S43" s="61"/>
      <c r="T43" s="28" t="str">
        <f>S43/F16*100000</f>
        <v>#DIV/0!</v>
      </c>
      <c r="U43" s="61"/>
      <c r="V43" s="28" t="str">
        <f>U43/G16*100000</f>
        <v>#DIV/0!</v>
      </c>
      <c r="W43" s="61"/>
      <c r="X43" s="28" t="str">
        <f>W43/H16*100000</f>
        <v>#DIV/0!</v>
      </c>
      <c r="Y43" s="13">
        <f t="shared" ref="Y43:Z43" si="50">((M43+O43+Q43+S43)/4)</f>
        <v>0</v>
      </c>
      <c r="Z43" s="13" t="str">
        <f t="shared" si="50"/>
        <v>#DIV/0!</v>
      </c>
      <c r="AA43" s="13">
        <f t="shared" si="3"/>
        <v>0</v>
      </c>
      <c r="AB43" s="13" t="str">
        <f t="shared" si="4"/>
        <v>#DIV/0!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 t="str">
        <f>M44/C7*100000</f>
        <v>#DIV/0!</v>
      </c>
      <c r="O44" s="12"/>
      <c r="P44" s="28" t="str">
        <f>O44/D7*100000</f>
        <v>#DIV/0!</v>
      </c>
      <c r="Q44" s="12"/>
      <c r="R44" s="13" t="str">
        <f>Q44/E7*100000</f>
        <v>#DIV/0!</v>
      </c>
      <c r="S44" s="12"/>
      <c r="T44" s="13" t="str">
        <f>S44/F7*100000</f>
        <v>#DIV/0!</v>
      </c>
      <c r="U44" s="12"/>
      <c r="V44" s="13" t="str">
        <f>U44/G7*100000</f>
        <v>#DIV/0!</v>
      </c>
      <c r="W44" s="12"/>
      <c r="X44" s="13" t="str">
        <f>W44/H7*100000</f>
        <v>#DIV/0!</v>
      </c>
      <c r="Y44" s="13">
        <f t="shared" ref="Y44:Z44" si="51">((M44+O44+Q44+S44)/4)</f>
        <v>0</v>
      </c>
      <c r="Z44" s="13" t="str">
        <f t="shared" si="51"/>
        <v>#DIV/0!</v>
      </c>
      <c r="AA44" s="13">
        <f t="shared" si="3"/>
        <v>0</v>
      </c>
      <c r="AB44" s="13" t="str">
        <f t="shared" si="4"/>
        <v>#DIV/0!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 t="str">
        <f>M45/M4*100</f>
        <v>#DIV/0!</v>
      </c>
      <c r="O45" s="12"/>
      <c r="P45" s="28" t="str">
        <f>O45/O4*100</f>
        <v>#DIV/0!</v>
      </c>
      <c r="Q45" s="12"/>
      <c r="R45" s="13" t="str">
        <f>Q45/Q4*100</f>
        <v>#DIV/0!</v>
      </c>
      <c r="S45" s="12"/>
      <c r="T45" s="13" t="str">
        <f>S45/S4*100</f>
        <v>#DIV/0!</v>
      </c>
      <c r="U45" s="12"/>
      <c r="V45" s="13" t="str">
        <f>U45/U4*100</f>
        <v>#DIV/0!</v>
      </c>
      <c r="W45" s="12"/>
      <c r="X45" s="13" t="str">
        <f>W45/W4*100</f>
        <v>#DIV/0!</v>
      </c>
      <c r="Y45" s="13">
        <f t="shared" ref="Y45:Z45" si="52">((M45+O45+Q45+S45)/4)</f>
        <v>0</v>
      </c>
      <c r="Z45" s="13" t="str">
        <f t="shared" si="52"/>
        <v>#DIV/0!</v>
      </c>
      <c r="AA45" s="13">
        <f t="shared" si="3"/>
        <v>0</v>
      </c>
      <c r="AB45" s="13" t="str">
        <f t="shared" si="4"/>
        <v>#DIV/0!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 t="str">
        <f>M46/M4*100</f>
        <v>#DIV/0!</v>
      </c>
      <c r="O46" s="12"/>
      <c r="P46" s="28" t="str">
        <f>O46/O4*100</f>
        <v>#DIV/0!</v>
      </c>
      <c r="Q46" s="12"/>
      <c r="R46" s="13" t="str">
        <f>Q46/Q4*100</f>
        <v>#DIV/0!</v>
      </c>
      <c r="S46" s="12"/>
      <c r="T46" s="13" t="str">
        <f>S46/S4*100</f>
        <v>#DIV/0!</v>
      </c>
      <c r="U46" s="12"/>
      <c r="V46" s="13" t="str">
        <f>U46/U4*100</f>
        <v>#DIV/0!</v>
      </c>
      <c r="W46" s="12"/>
      <c r="X46" s="13" t="str">
        <f>W46/W4*100</f>
        <v>#DIV/0!</v>
      </c>
      <c r="Y46" s="13">
        <f t="shared" ref="Y46:Z46" si="53">((M46+O46+Q46+S46)/4)</f>
        <v>0</v>
      </c>
      <c r="Z46" s="13" t="str">
        <f t="shared" si="53"/>
        <v>#DIV/0!</v>
      </c>
      <c r="AA46" s="13">
        <f t="shared" si="3"/>
        <v>0</v>
      </c>
      <c r="AB46" s="13" t="str">
        <f t="shared" si="4"/>
        <v>#DIV/0!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 t="str">
        <f>M47/C7*100000</f>
        <v>#DIV/0!</v>
      </c>
      <c r="O47" s="47"/>
      <c r="P47" s="13" t="str">
        <f>O47/D7*100000</f>
        <v>#DIV/0!</v>
      </c>
      <c r="Q47" s="47"/>
      <c r="R47" s="13" t="str">
        <f>Q47/E7*100000</f>
        <v>#DIV/0!</v>
      </c>
      <c r="S47" s="12"/>
      <c r="T47" s="13" t="str">
        <f>S47/F7*100000</f>
        <v>#DIV/0!</v>
      </c>
      <c r="U47" s="12"/>
      <c r="V47" s="13" t="str">
        <f>U47/G7*100000</f>
        <v>#DIV/0!</v>
      </c>
      <c r="W47" s="12"/>
      <c r="X47" s="13" t="str">
        <f>W47/H7*100000</f>
        <v>#DIV/0!</v>
      </c>
      <c r="Y47" s="13">
        <f t="shared" ref="Y47:Z47" si="54">((M47+O47+Q47+S47)/4)</f>
        <v>0</v>
      </c>
      <c r="Z47" s="13" t="str">
        <f t="shared" si="54"/>
        <v>#DIV/0!</v>
      </c>
      <c r="AA47" s="13">
        <f t="shared" si="3"/>
        <v>0</v>
      </c>
      <c r="AB47" s="13" t="str">
        <f t="shared" si="4"/>
        <v>#DIV/0!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 t="str">
        <f>M48/C7*100000</f>
        <v>#DIV/0!</v>
      </c>
      <c r="O48" s="12"/>
      <c r="P48" s="13" t="str">
        <f>O48/D7*100000</f>
        <v>#DIV/0!</v>
      </c>
      <c r="Q48" s="47"/>
      <c r="R48" s="13" t="str">
        <f>Q48/E7*100000</f>
        <v>#DIV/0!</v>
      </c>
      <c r="S48" s="12"/>
      <c r="T48" s="13" t="str">
        <f>S48/F7*100000</f>
        <v>#DIV/0!</v>
      </c>
      <c r="U48" s="12"/>
      <c r="V48" s="13" t="str">
        <f>U48/G7*100000</f>
        <v>#DIV/0!</v>
      </c>
      <c r="W48" s="12"/>
      <c r="X48" s="13" t="str">
        <f>W48/H7*100000</f>
        <v>#DIV/0!</v>
      </c>
      <c r="Y48" s="13">
        <f t="shared" ref="Y48:Z48" si="55">((M48+O48+Q48+S48)/4)</f>
        <v>0</v>
      </c>
      <c r="Z48" s="13" t="str">
        <f t="shared" si="55"/>
        <v>#DIV/0!</v>
      </c>
      <c r="AA48" s="13">
        <f t="shared" si="3"/>
        <v>0</v>
      </c>
      <c r="AB48" s="13" t="str">
        <f t="shared" si="4"/>
        <v>#DIV/0!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 t="str">
        <f>M49/C7*100000</f>
        <v>#DIV/0!</v>
      </c>
      <c r="O49" s="12"/>
      <c r="P49" s="13" t="str">
        <f>O49/D7*100000</f>
        <v>#DIV/0!</v>
      </c>
      <c r="Q49" s="47"/>
      <c r="R49" s="13" t="str">
        <f>Q49/E7*100000</f>
        <v>#DIV/0!</v>
      </c>
      <c r="S49" s="12"/>
      <c r="T49" s="13" t="str">
        <f>S49/F7*100000</f>
        <v>#DIV/0!</v>
      </c>
      <c r="U49" s="12"/>
      <c r="V49" s="13" t="str">
        <f>U49/G7*100000</f>
        <v>#DIV/0!</v>
      </c>
      <c r="W49" s="12"/>
      <c r="X49" s="13" t="str">
        <f>W49/H7*100000</f>
        <v>#DIV/0!</v>
      </c>
      <c r="Y49" s="13">
        <f t="shared" ref="Y49:Z49" si="56">((M49+O49+Q49+S49)/4)</f>
        <v>0</v>
      </c>
      <c r="Z49" s="13" t="str">
        <f t="shared" si="56"/>
        <v>#DIV/0!</v>
      </c>
      <c r="AA49" s="13">
        <f t="shared" si="3"/>
        <v>0</v>
      </c>
      <c r="AB49" s="13" t="str">
        <f t="shared" si="4"/>
        <v>#DIV/0!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 t="str">
        <f>M50/C7*100000</f>
        <v>#DIV/0!</v>
      </c>
      <c r="O50" s="47"/>
      <c r="P50" s="13" t="str">
        <f>O50/D7*100000</f>
        <v>#DIV/0!</v>
      </c>
      <c r="Q50" s="47"/>
      <c r="R50" s="13" t="str">
        <f>Q50/E7*100000</f>
        <v>#DIV/0!</v>
      </c>
      <c r="S50" s="12"/>
      <c r="T50" s="13" t="str">
        <f>S50/F7*100000</f>
        <v>#DIV/0!</v>
      </c>
      <c r="U50" s="12"/>
      <c r="V50" s="13" t="str">
        <f>U50/G7*100000</f>
        <v>#DIV/0!</v>
      </c>
      <c r="W50" s="12"/>
      <c r="X50" s="13" t="str">
        <f>W50/H7*100000</f>
        <v>#DIV/0!</v>
      </c>
      <c r="Y50" s="13">
        <f t="shared" ref="Y50:Z50" si="57">((M50+O50+Q50+S50)/4)</f>
        <v>0</v>
      </c>
      <c r="Z50" s="13" t="str">
        <f t="shared" si="57"/>
        <v>#DIV/0!</v>
      </c>
      <c r="AA50" s="13">
        <f t="shared" si="3"/>
        <v>0</v>
      </c>
      <c r="AB50" s="13" t="str">
        <f t="shared" si="4"/>
        <v>#DIV/0!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 t="str">
        <f>M51/C7*100000</f>
        <v>#DIV/0!</v>
      </c>
      <c r="O51" s="47"/>
      <c r="P51" s="13" t="str">
        <f>O51/D7*100000</f>
        <v>#DIV/0!</v>
      </c>
      <c r="Q51" s="47"/>
      <c r="R51" s="13" t="str">
        <f>Q51/E7*100000</f>
        <v>#DIV/0!</v>
      </c>
      <c r="S51" s="12"/>
      <c r="T51" s="13" t="str">
        <f>S51/F7*100000</f>
        <v>#DIV/0!</v>
      </c>
      <c r="U51" s="12"/>
      <c r="V51" s="13" t="str">
        <f>U51/G7*100000</f>
        <v>#DIV/0!</v>
      </c>
      <c r="W51" s="12"/>
      <c r="X51" s="13" t="str">
        <f>W51/H7*100000</f>
        <v>#DIV/0!</v>
      </c>
      <c r="Y51" s="13">
        <f t="shared" ref="Y51:Z51" si="58">((M51+O51+Q51+S51)/4)</f>
        <v>0</v>
      </c>
      <c r="Z51" s="13" t="str">
        <f t="shared" si="58"/>
        <v>#DIV/0!</v>
      </c>
      <c r="AA51" s="13">
        <f t="shared" si="3"/>
        <v>0</v>
      </c>
      <c r="AB51" s="13" t="str">
        <f t="shared" si="4"/>
        <v>#DIV/0!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 t="str">
        <f>M52/C7*100000</f>
        <v>#DIV/0!</v>
      </c>
      <c r="O52" s="47"/>
      <c r="P52" s="13" t="str">
        <f>O52/D7*100000</f>
        <v>#DIV/0!</v>
      </c>
      <c r="Q52" s="47"/>
      <c r="R52" s="13" t="str">
        <f>Q52/E7*100000</f>
        <v>#DIV/0!</v>
      </c>
      <c r="S52" s="12"/>
      <c r="T52" s="13" t="str">
        <f>S52/F7*100000</f>
        <v>#DIV/0!</v>
      </c>
      <c r="U52" s="12"/>
      <c r="V52" s="13" t="str">
        <f>U52/G7*100000</f>
        <v>#DIV/0!</v>
      </c>
      <c r="W52" s="12"/>
      <c r="X52" s="13" t="str">
        <f>W52/H7*100000</f>
        <v>#DIV/0!</v>
      </c>
      <c r="Y52" s="13">
        <f t="shared" ref="Y52:Z52" si="59">((M52+O52+Q52+S52)/4)</f>
        <v>0</v>
      </c>
      <c r="Z52" s="13" t="str">
        <f t="shared" si="59"/>
        <v>#DIV/0!</v>
      </c>
      <c r="AA52" s="13">
        <f t="shared" si="3"/>
        <v>0</v>
      </c>
      <c r="AB52" s="13" t="str">
        <f t="shared" si="4"/>
        <v>#DIV/0!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 t="str">
        <f>M53/C17*100000</f>
        <v>#DIV/0!</v>
      </c>
      <c r="O53" s="47"/>
      <c r="P53" s="13" t="str">
        <f>O53/D17*100000</f>
        <v>#DIV/0!</v>
      </c>
      <c r="Q53" s="47"/>
      <c r="R53" s="13" t="str">
        <f>Q53/E17*100000</f>
        <v>#DIV/0!</v>
      </c>
      <c r="S53" s="12"/>
      <c r="T53" s="13" t="str">
        <f>S53/F17*100000</f>
        <v>#DIV/0!</v>
      </c>
      <c r="U53" s="12"/>
      <c r="V53" s="13" t="str">
        <f>U53/G17*100000</f>
        <v>#DIV/0!</v>
      </c>
      <c r="W53" s="12"/>
      <c r="X53" s="13" t="str">
        <f>W53/H17*100000</f>
        <v>#DIV/0!</v>
      </c>
      <c r="Y53" s="13">
        <f t="shared" ref="Y53:Z53" si="60">((M53+O53+Q53+S53)/4)</f>
        <v>0</v>
      </c>
      <c r="Z53" s="13" t="str">
        <f t="shared" si="60"/>
        <v>#DIV/0!</v>
      </c>
      <c r="AA53" s="13">
        <f t="shared" si="3"/>
        <v>0</v>
      </c>
      <c r="AB53" s="13" t="str">
        <f t="shared" si="4"/>
        <v>#DIV/0!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 t="str">
        <f>M54/C19*100000</f>
        <v>#DIV/0!</v>
      </c>
      <c r="O54" s="47"/>
      <c r="P54" s="13" t="str">
        <f>O54/D19*100000</f>
        <v>#DIV/0!</v>
      </c>
      <c r="Q54" s="47"/>
      <c r="R54" s="13" t="str">
        <f>Q54/E19*100000</f>
        <v>#DIV/0!</v>
      </c>
      <c r="S54" s="12"/>
      <c r="T54" s="13" t="str">
        <f>S54/F19*100000</f>
        <v>#DIV/0!</v>
      </c>
      <c r="U54" s="12"/>
      <c r="V54" s="13" t="str">
        <f>U54/G19*100000</f>
        <v>#DIV/0!</v>
      </c>
      <c r="W54" s="12"/>
      <c r="X54" s="13" t="str">
        <f>W54/H19*100000</f>
        <v>#DIV/0!</v>
      </c>
      <c r="Y54" s="13">
        <f t="shared" ref="Y54:Z54" si="61">((M54+O54+Q54+S54)/4)</f>
        <v>0</v>
      </c>
      <c r="Z54" s="13" t="str">
        <f t="shared" si="61"/>
        <v>#DIV/0!</v>
      </c>
      <c r="AA54" s="13">
        <f t="shared" si="3"/>
        <v>0</v>
      </c>
      <c r="AB54" s="13" t="str">
        <f t="shared" si="4"/>
        <v>#DIV/0!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 t="str">
        <f>M55/C19*100000</f>
        <v>#DIV/0!</v>
      </c>
      <c r="O55" s="47"/>
      <c r="P55" s="13" t="str">
        <f>O55/D19*100000</f>
        <v>#DIV/0!</v>
      </c>
      <c r="Q55" s="47"/>
      <c r="R55" s="13" t="str">
        <f>Q55/E19*100000</f>
        <v>#DIV/0!</v>
      </c>
      <c r="S55" s="12"/>
      <c r="T55" s="13" t="str">
        <f>S55/F19*100000</f>
        <v>#DIV/0!</v>
      </c>
      <c r="U55" s="12"/>
      <c r="V55" s="13" t="str">
        <f>U55/G19*100000</f>
        <v>#DIV/0!</v>
      </c>
      <c r="W55" s="12"/>
      <c r="X55" s="13" t="str">
        <f>W55/H19*100000</f>
        <v>#DIV/0!</v>
      </c>
      <c r="Y55" s="13">
        <f t="shared" ref="Y55:Z55" si="62">((M55+O55+Q55+S55)/4)</f>
        <v>0</v>
      </c>
      <c r="Z55" s="13" t="str">
        <f t="shared" si="62"/>
        <v>#DIV/0!</v>
      </c>
      <c r="AA55" s="13">
        <f t="shared" si="3"/>
        <v>0</v>
      </c>
      <c r="AB55" s="13" t="str">
        <f t="shared" si="4"/>
        <v>#DIV/0!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 t="str">
        <f>M56/C7*100000</f>
        <v>#DIV/0!</v>
      </c>
      <c r="O56" s="47"/>
      <c r="P56" s="13" t="str">
        <f>O56/D7*100000</f>
        <v>#DIV/0!</v>
      </c>
      <c r="Q56" s="47"/>
      <c r="R56" s="13" t="str">
        <f>Q56/E7*100000</f>
        <v>#DIV/0!</v>
      </c>
      <c r="S56" s="12"/>
      <c r="T56" s="13" t="str">
        <f>S56/F7*100000</f>
        <v>#DIV/0!</v>
      </c>
      <c r="U56" s="12"/>
      <c r="V56" s="13" t="str">
        <f>U56/G7*100000</f>
        <v>#DIV/0!</v>
      </c>
      <c r="W56" s="12"/>
      <c r="X56" s="13" t="str">
        <f>W56/H7*100000</f>
        <v>#DIV/0!</v>
      </c>
      <c r="Y56" s="13">
        <f t="shared" ref="Y56:Z56" si="63">((M56+O56+Q56+S56)/4)</f>
        <v>0</v>
      </c>
      <c r="Z56" s="13" t="str">
        <f t="shared" si="63"/>
        <v>#DIV/0!</v>
      </c>
      <c r="AA56" s="13">
        <f t="shared" si="3"/>
        <v>0</v>
      </c>
      <c r="AB56" s="13" t="str">
        <f t="shared" si="4"/>
        <v>#DIV/0!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 t="str">
        <f>M57/M4*100000</f>
        <v>#DIV/0!</v>
      </c>
      <c r="O57" s="47"/>
      <c r="P57" s="13" t="str">
        <f>O57/O4*100000</f>
        <v>#DIV/0!</v>
      </c>
      <c r="Q57" s="47"/>
      <c r="R57" s="13" t="str">
        <f>Q57/Q4*100000</f>
        <v>#DIV/0!</v>
      </c>
      <c r="S57" s="12"/>
      <c r="T57" s="13" t="str">
        <f>S57/S4*100000</f>
        <v>#DIV/0!</v>
      </c>
      <c r="U57" s="12"/>
      <c r="V57" s="13" t="str">
        <f>U57/U4*100000</f>
        <v>#DIV/0!</v>
      </c>
      <c r="W57" s="12"/>
      <c r="X57" s="13" t="str">
        <f>W57/W4*100000</f>
        <v>#DIV/0!</v>
      </c>
      <c r="Y57" s="13">
        <f t="shared" ref="Y57:Z57" si="64">((M57+O57+Q57+S57)/4)</f>
        <v>0</v>
      </c>
      <c r="Z57" s="13" t="str">
        <f t="shared" si="64"/>
        <v>#DIV/0!</v>
      </c>
      <c r="AA57" s="13">
        <f t="shared" si="3"/>
        <v>0</v>
      </c>
      <c r="AB57" s="13" t="str">
        <f t="shared" si="4"/>
        <v>#DIV/0!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 t="str">
        <f>M58/C7*100000</f>
        <v>#DIV/0!</v>
      </c>
      <c r="O58" s="71"/>
      <c r="P58" s="28" t="str">
        <f>O58/D7*100000</f>
        <v>#DIV/0!</v>
      </c>
      <c r="Q58" s="71"/>
      <c r="R58" s="28" t="str">
        <f>Q58/E7*100000</f>
        <v>#DIV/0!</v>
      </c>
      <c r="S58" s="61"/>
      <c r="T58" s="28" t="str">
        <f>S58/F7*100000</f>
        <v>#DIV/0!</v>
      </c>
      <c r="U58" s="61"/>
      <c r="V58" s="28" t="str">
        <f>U58/G7*100000</f>
        <v>#DIV/0!</v>
      </c>
      <c r="W58" s="61"/>
      <c r="X58" s="28" t="str">
        <f>W58/H7*100000</f>
        <v>#DIV/0!</v>
      </c>
      <c r="Y58" s="13">
        <f t="shared" ref="Y58:Z58" si="65">((M58+O58+Q58+S58)/4)</f>
        <v>0</v>
      </c>
      <c r="Z58" s="13" t="str">
        <f t="shared" si="65"/>
        <v>#DIV/0!</v>
      </c>
      <c r="AA58" s="13">
        <f t="shared" si="3"/>
        <v>0</v>
      </c>
      <c r="AB58" s="13" t="str">
        <f t="shared" si="4"/>
        <v>#DIV/0!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 t="str">
        <f>M59/C7*100000</f>
        <v>#DIV/0!</v>
      </c>
      <c r="O59" s="71"/>
      <c r="P59" s="28" t="str">
        <f>O59/D7*100000</f>
        <v>#DIV/0!</v>
      </c>
      <c r="Q59" s="71"/>
      <c r="R59" s="28" t="str">
        <f>Q59/E7*100000</f>
        <v>#DIV/0!</v>
      </c>
      <c r="S59" s="76"/>
      <c r="T59" s="39" t="str">
        <f>S59/F7*100000</f>
        <v>#DIV/0!</v>
      </c>
      <c r="U59" s="76"/>
      <c r="V59" s="39" t="str">
        <f>U59/G7*100000</f>
        <v>#DIV/0!</v>
      </c>
      <c r="W59" s="76"/>
      <c r="X59" s="39" t="str">
        <f>W59/H7*100000</f>
        <v>#DIV/0!</v>
      </c>
      <c r="Y59" s="40">
        <f t="shared" ref="Y59:Z59" si="66">((M59+O59+Q59+S59)/4)</f>
        <v>0</v>
      </c>
      <c r="Z59" s="40" t="str">
        <f t="shared" si="66"/>
        <v>#DIV/0!</v>
      </c>
      <c r="AA59" s="13">
        <f t="shared" si="3"/>
        <v>0</v>
      </c>
      <c r="AB59" s="13" t="str">
        <f t="shared" si="4"/>
        <v>#DIV/0!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 t="str">
        <f>M60/C17*100000</f>
        <v>#DIV/0!</v>
      </c>
      <c r="O60" s="71"/>
      <c r="P60" s="28" t="str">
        <f>O60/D17*100000</f>
        <v>#DIV/0!</v>
      </c>
      <c r="Q60" s="71"/>
      <c r="R60" s="28" t="str">
        <f>Q60/E17*100000</f>
        <v>#DIV/0!</v>
      </c>
      <c r="S60" s="61"/>
      <c r="T60" s="28" t="str">
        <f>S60/F17*100000</f>
        <v>#DIV/0!</v>
      </c>
      <c r="U60" s="61"/>
      <c r="V60" s="28" t="str">
        <f>U60/G17*100000</f>
        <v>#DIV/0!</v>
      </c>
      <c r="W60" s="61"/>
      <c r="X60" s="28" t="str">
        <f>W60/H17*100000</f>
        <v>#DIV/0!</v>
      </c>
      <c r="Y60" s="40">
        <f>((M60+O60+Q60+S60)/4)</f>
        <v>0</v>
      </c>
      <c r="Z60" s="40" t="str">
        <f>((N60+P60+R60+T60)/1)</f>
        <v>#DIV/0!</v>
      </c>
      <c r="AA60" s="13">
        <f t="shared" si="3"/>
        <v>0</v>
      </c>
      <c r="AB60" s="13" t="str">
        <f t="shared" si="4"/>
        <v>#DIV/0!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 t="str">
        <f>M61/C15*1000</f>
        <v>#DIV/0!</v>
      </c>
      <c r="O61" s="71"/>
      <c r="P61" s="28" t="str">
        <f>O61/D15*1000</f>
        <v>#DIV/0!</v>
      </c>
      <c r="Q61" s="71"/>
      <c r="R61" s="28" t="str">
        <f>Q61/E15*1000</f>
        <v>#DIV/0!</v>
      </c>
      <c r="S61" s="61"/>
      <c r="T61" s="28" t="str">
        <f>S61/F15*1000</f>
        <v>#DIV/0!</v>
      </c>
      <c r="U61" s="61"/>
      <c r="V61" s="28" t="str">
        <f>U61/G15*1000</f>
        <v>#DIV/0!</v>
      </c>
      <c r="W61" s="61"/>
      <c r="X61" s="28" t="str">
        <f>W61/H23*1000</f>
        <v>#DIV/0!</v>
      </c>
      <c r="Y61" s="40">
        <f t="shared" ref="Y61:Z61" si="67">((M61+O61+Q61+S61)/1)</f>
        <v>0</v>
      </c>
      <c r="Z61" s="40" t="str">
        <f t="shared" si="67"/>
        <v>#DIV/0!</v>
      </c>
      <c r="AA61" s="13">
        <f t="shared" si="3"/>
        <v>0</v>
      </c>
      <c r="AB61" s="13" t="str">
        <f t="shared" si="4"/>
        <v>#DIV/0!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 t="str">
        <f>M62/C15*1000</f>
        <v>#DIV/0!</v>
      </c>
      <c r="O62" s="71"/>
      <c r="P62" s="28" t="str">
        <f>O62/D15*1000</f>
        <v>#DIV/0!</v>
      </c>
      <c r="Q62" s="71"/>
      <c r="R62" s="28" t="str">
        <f>Q62/E15*1000</f>
        <v>#DIV/0!</v>
      </c>
      <c r="S62" s="61"/>
      <c r="T62" s="28" t="str">
        <f>S62/F15*1000</f>
        <v>#DIV/0!</v>
      </c>
      <c r="U62" s="61"/>
      <c r="V62" s="28" t="str">
        <f>U62/G15*1000</f>
        <v>#DIV/0!</v>
      </c>
      <c r="W62" s="61"/>
      <c r="X62" s="28" t="str">
        <f>W62/H15*1000</f>
        <v>#DIV/0!</v>
      </c>
      <c r="Y62" s="40">
        <f t="shared" ref="Y62:Z62" si="68">((M62+O62+Q62+S62)/1)</f>
        <v>0</v>
      </c>
      <c r="Z62" s="40" t="str">
        <f t="shared" si="68"/>
        <v>#DIV/0!</v>
      </c>
      <c r="AA62" s="13">
        <f t="shared" si="3"/>
        <v>0</v>
      </c>
      <c r="AB62" s="13" t="str">
        <f t="shared" si="4"/>
        <v>#DIV/0!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 t="str">
        <f>M63/C17*100000</f>
        <v>#DIV/0!</v>
      </c>
      <c r="O63" s="71"/>
      <c r="P63" s="28" t="str">
        <f>O63/D17*100000</f>
        <v>#DIV/0!</v>
      </c>
      <c r="Q63" s="71"/>
      <c r="R63" s="28" t="str">
        <f>Q63/E17*100000</f>
        <v>#DIV/0!</v>
      </c>
      <c r="S63" s="61"/>
      <c r="T63" s="28" t="str">
        <f>S63/F17*100000</f>
        <v>#DIV/0!</v>
      </c>
      <c r="U63" s="61"/>
      <c r="V63" s="28" t="str">
        <f>U63/G17*100000</f>
        <v>#DIV/0!</v>
      </c>
      <c r="W63" s="61"/>
      <c r="X63" s="28" t="str">
        <f>W63/H17*100000</f>
        <v>#DIV/0!</v>
      </c>
      <c r="Y63" s="40">
        <f t="shared" ref="Y63:Z63" si="69">((M63+O63+Q63+S63)/1)</f>
        <v>0</v>
      </c>
      <c r="Z63" s="40" t="str">
        <f t="shared" si="69"/>
        <v>#DIV/0!</v>
      </c>
      <c r="AA63" s="13">
        <f t="shared" si="3"/>
        <v>0</v>
      </c>
      <c r="AB63" s="13" t="str">
        <f t="shared" si="4"/>
        <v>#DIV/0!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 t="str">
        <f>M64/C17*100000</f>
        <v>#DIV/0!</v>
      </c>
      <c r="O64" s="71"/>
      <c r="P64" s="28" t="str">
        <f>O64/D17*100000</f>
        <v>#DIV/0!</v>
      </c>
      <c r="Q64" s="71"/>
      <c r="R64" s="28" t="str">
        <f>Q64/E17*100000</f>
        <v>#DIV/0!</v>
      </c>
      <c r="S64" s="61"/>
      <c r="T64" s="28" t="str">
        <f>S64/F17*100000</f>
        <v>#DIV/0!</v>
      </c>
      <c r="U64" s="28"/>
      <c r="V64" s="28" t="str">
        <f>U64/G17*100000</f>
        <v>#DIV/0!</v>
      </c>
      <c r="W64" s="61"/>
      <c r="X64" s="28" t="str">
        <f>W64/H17*100000</f>
        <v>#DIV/0!</v>
      </c>
      <c r="Y64" s="40">
        <f t="shared" ref="Y64:Z64" si="70">((M64+O64+Q64+S64)/1)</f>
        <v>0</v>
      </c>
      <c r="Z64" s="40" t="str">
        <f t="shared" si="70"/>
        <v>#DIV/0!</v>
      </c>
      <c r="AA64" s="13">
        <f t="shared" si="3"/>
        <v>0</v>
      </c>
      <c r="AB64" s="13" t="str">
        <f t="shared" si="4"/>
        <v>#DIV/0!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 t="str">
        <f>M65/C17*100000</f>
        <v>#DIV/0!</v>
      </c>
      <c r="O65" s="71"/>
      <c r="P65" s="28" t="str">
        <f>O65/D17*100000</f>
        <v>#DIV/0!</v>
      </c>
      <c r="Q65" s="71"/>
      <c r="R65" s="28" t="str">
        <f>Q65/E17*100000</f>
        <v>#DIV/0!</v>
      </c>
      <c r="S65" s="71"/>
      <c r="T65" s="28" t="str">
        <f>S65/F17*100000</f>
        <v>#DIV/0!</v>
      </c>
      <c r="U65" s="71"/>
      <c r="V65" s="28" t="str">
        <f>U65/G17*100000</f>
        <v>#DIV/0!</v>
      </c>
      <c r="W65" s="61"/>
      <c r="X65" s="28" t="str">
        <f>W65/H17*100000</f>
        <v>#DIV/0!</v>
      </c>
      <c r="Y65" s="40">
        <f t="shared" ref="Y65:Z65" si="71">((M65+O65+Q65+S65)/1)</f>
        <v>0</v>
      </c>
      <c r="Z65" s="40" t="str">
        <f t="shared" si="71"/>
        <v>#DIV/0!</v>
      </c>
      <c r="AA65" s="13">
        <f t="shared" si="3"/>
        <v>0</v>
      </c>
      <c r="AB65" s="13" t="str">
        <f t="shared" si="4"/>
        <v>#DIV/0!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 t="str">
        <f>M66/C17*100000</f>
        <v>#DIV/0!</v>
      </c>
      <c r="O66" s="71"/>
      <c r="P66" s="28" t="str">
        <f>O66/D17*100000</f>
        <v>#DIV/0!</v>
      </c>
      <c r="Q66" s="71"/>
      <c r="R66" s="28" t="str">
        <f>Q66/E17*100000</f>
        <v>#DIV/0!</v>
      </c>
      <c r="S66" s="71"/>
      <c r="T66" s="28" t="str">
        <f>S66/F17*100000</f>
        <v>#DIV/0!</v>
      </c>
      <c r="U66" s="71"/>
      <c r="V66" s="28" t="str">
        <f>U66/G17*100000</f>
        <v>#DIV/0!</v>
      </c>
      <c r="W66" s="61"/>
      <c r="X66" s="28" t="str">
        <f>W66/H17*100000</f>
        <v>#DIV/0!</v>
      </c>
      <c r="Y66" s="40">
        <f t="shared" ref="Y66:Z66" si="72">((M66+O66+Q66+S66)/1)</f>
        <v>0</v>
      </c>
      <c r="Z66" s="40" t="str">
        <f t="shared" si="72"/>
        <v>#DIV/0!</v>
      </c>
      <c r="AA66" s="13">
        <f t="shared" si="3"/>
        <v>0</v>
      </c>
      <c r="AB66" s="13" t="str">
        <f t="shared" si="4"/>
        <v>#DIV/0!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 t="str">
        <f>M67/C17*100000</f>
        <v>#DIV/0!</v>
      </c>
      <c r="O67" s="71"/>
      <c r="P67" s="28" t="str">
        <f>O67/D17*100000</f>
        <v>#DIV/0!</v>
      </c>
      <c r="Q67" s="71"/>
      <c r="R67" s="28" t="str">
        <f>Q67/E17*100000</f>
        <v>#DIV/0!</v>
      </c>
      <c r="S67" s="71"/>
      <c r="T67" s="28" t="str">
        <f>S67/F17*100000</f>
        <v>#DIV/0!</v>
      </c>
      <c r="U67" s="71"/>
      <c r="V67" s="28" t="str">
        <f>U67/G17*100000</f>
        <v>#DIV/0!</v>
      </c>
      <c r="W67" s="61"/>
      <c r="X67" s="28" t="str">
        <f>W67/H17*100000</f>
        <v>#DIV/0!</v>
      </c>
      <c r="Y67" s="40">
        <f t="shared" ref="Y67:Z67" si="73">((M67+O67+Q67+S67)/1)</f>
        <v>0</v>
      </c>
      <c r="Z67" s="40" t="str">
        <f t="shared" si="73"/>
        <v>#DIV/0!</v>
      </c>
      <c r="AA67" s="13">
        <f t="shared" si="3"/>
        <v>0</v>
      </c>
      <c r="AB67" s="13" t="str">
        <f t="shared" si="4"/>
        <v>#DIV/0!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 t="str">
        <f>M68/C11*100000</f>
        <v>#DIV/0!</v>
      </c>
      <c r="O68" s="71"/>
      <c r="P68" s="28" t="str">
        <f>O68/D11*100000</f>
        <v>#DIV/0!</v>
      </c>
      <c r="Q68" s="71"/>
      <c r="R68" s="28" t="str">
        <f>Q68/E11*100000</f>
        <v>#DIV/0!</v>
      </c>
      <c r="S68" s="71"/>
      <c r="T68" s="28" t="str">
        <f>S68/F11*100000</f>
        <v>#DIV/0!</v>
      </c>
      <c r="U68" s="71"/>
      <c r="V68" s="28" t="str">
        <f>U68/G11*100000</f>
        <v>#DIV/0!</v>
      </c>
      <c r="W68" s="61"/>
      <c r="X68" s="28" t="str">
        <f>W68/H11*100000</f>
        <v>#DIV/0!</v>
      </c>
      <c r="Y68" s="40">
        <f t="shared" ref="Y68:Z68" si="74">((M68+O68+Q68+S68)/2)</f>
        <v>0</v>
      </c>
      <c r="Z68" s="40" t="str">
        <f t="shared" si="74"/>
        <v>#DIV/0!</v>
      </c>
      <c r="AA68" s="13">
        <f t="shared" si="3"/>
        <v>0</v>
      </c>
      <c r="AB68" s="13" t="str">
        <f t="shared" si="4"/>
        <v>#DIV/0!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 t="str">
        <f>M69/C11*100000</f>
        <v>#DIV/0!</v>
      </c>
      <c r="O69" s="71"/>
      <c r="P69" s="28" t="str">
        <f>O69/D11*100000</f>
        <v>#DIV/0!</v>
      </c>
      <c r="Q69" s="71"/>
      <c r="R69" s="28" t="str">
        <f>Q69/E11*100000</f>
        <v>#DIV/0!</v>
      </c>
      <c r="S69" s="71"/>
      <c r="T69" s="28" t="str">
        <f>S69/F11*100000</f>
        <v>#DIV/0!</v>
      </c>
      <c r="U69" s="71"/>
      <c r="V69" s="28" t="str">
        <f>U69/G11*100000</f>
        <v>#DIV/0!</v>
      </c>
      <c r="W69" s="61"/>
      <c r="X69" s="28" t="str">
        <f>W69/H11*100000</f>
        <v>#DIV/0!</v>
      </c>
      <c r="Y69" s="13">
        <f t="shared" ref="Y69:Z69" si="75">((M69+O69+Q69+S69)/2)</f>
        <v>0</v>
      </c>
      <c r="Z69" s="13" t="str">
        <f t="shared" si="75"/>
        <v>#DIV/0!</v>
      </c>
      <c r="AA69" s="13">
        <f t="shared" si="3"/>
        <v>0</v>
      </c>
      <c r="AB69" s="13" t="str">
        <f t="shared" si="4"/>
        <v>#DIV/0!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 t="str">
        <f>M70/C7*100000</f>
        <v>#DIV/0!</v>
      </c>
      <c r="O70" s="77"/>
      <c r="P70" s="39" t="str">
        <f>O70/D7*100000</f>
        <v>#DIV/0!</v>
      </c>
      <c r="Q70" s="77"/>
      <c r="R70" s="39" t="str">
        <f>Q70/E7*100000</f>
        <v>#DIV/0!</v>
      </c>
      <c r="S70" s="77"/>
      <c r="T70" s="39" t="str">
        <f>S70/F7*100000</f>
        <v>#DIV/0!</v>
      </c>
      <c r="U70" s="77"/>
      <c r="V70" s="39" t="str">
        <f>U70/G7*100000</f>
        <v>#DIV/0!</v>
      </c>
      <c r="W70" s="76"/>
      <c r="X70" s="39" t="str">
        <f>W70/H7*100000</f>
        <v>#DIV/0!</v>
      </c>
      <c r="Y70" s="40">
        <f t="shared" ref="Y70:Z70" si="76">((M70+O70+Q70+S70)/1)</f>
        <v>0</v>
      </c>
      <c r="Z70" s="40" t="str">
        <f t="shared" si="76"/>
        <v>#DIV/0!</v>
      </c>
      <c r="AA70" s="40">
        <f t="shared" si="3"/>
        <v>0</v>
      </c>
      <c r="AB70" s="40" t="str">
        <f t="shared" si="4"/>
        <v>#DIV/0!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0.43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5.25" customHeight="1">
      <c r="B1" s="1"/>
      <c r="C1" s="2" t="s">
        <v>141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145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>
        <v>72.0</v>
      </c>
      <c r="N3" s="13">
        <f>M3/C7*1000</f>
        <v>4.954582989</v>
      </c>
      <c r="O3" s="12">
        <v>102.0</v>
      </c>
      <c r="P3" s="13">
        <f>O3/D7*1000</f>
        <v>6.750943146</v>
      </c>
      <c r="Q3" s="47">
        <v>75.0</v>
      </c>
      <c r="R3" s="13">
        <f>Q3/E7*1000</f>
        <v>4.812319538</v>
      </c>
      <c r="S3" s="12">
        <v>72.0</v>
      </c>
      <c r="T3" s="13">
        <f>S3/F7*1000</f>
        <v>4.492419043</v>
      </c>
      <c r="U3" s="12">
        <v>76.0</v>
      </c>
      <c r="V3" s="13">
        <f>U3/G7*1000</f>
        <v>4.644341237</v>
      </c>
      <c r="W3" s="12">
        <v>41.0</v>
      </c>
      <c r="X3" s="13">
        <f>W3/H7*1000</f>
        <v>2.460393663</v>
      </c>
      <c r="Y3" s="13">
        <f t="shared" ref="Y3:Z3" si="1">((M3+O3+Q3+S3)/4)</f>
        <v>80.25</v>
      </c>
      <c r="Z3" s="13">
        <f t="shared" si="1"/>
        <v>5.252566179</v>
      </c>
      <c r="AA3" s="13">
        <f t="shared" ref="AA3:AA70" si="3">((S3+U3)/2)</f>
        <v>74</v>
      </c>
      <c r="AB3" s="13">
        <f t="shared" ref="AB3:AB70" si="4">(V3+X3)/2</f>
        <v>3.55236745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J4" s="5"/>
      <c r="K4" s="5"/>
      <c r="L4" s="11" t="s">
        <v>23</v>
      </c>
      <c r="M4" s="12">
        <v>225.0</v>
      </c>
      <c r="N4" s="13">
        <f>M4/C7*1000</f>
        <v>15.48307184</v>
      </c>
      <c r="O4" s="12">
        <v>229.0</v>
      </c>
      <c r="P4" s="13">
        <f>O4/D7*1000</f>
        <v>15.15652922</v>
      </c>
      <c r="Q4" s="47">
        <v>272.0</v>
      </c>
      <c r="R4" s="13">
        <f>Q4/E7*1000</f>
        <v>17.45267886</v>
      </c>
      <c r="S4" s="12">
        <v>237.0</v>
      </c>
      <c r="T4" s="13">
        <f>S4/F7*1000</f>
        <v>14.78754602</v>
      </c>
      <c r="U4" s="12">
        <v>199.0</v>
      </c>
      <c r="V4" s="13">
        <f>U4/G7*1000</f>
        <v>12.16084087</v>
      </c>
      <c r="W4" s="12">
        <v>96.0</v>
      </c>
      <c r="X4" s="13">
        <f>W4/H7*1000</f>
        <v>5.760921747</v>
      </c>
      <c r="Y4" s="13">
        <f t="shared" ref="Y4:Z4" si="2">((M4+O4+Q4+S4)/4)</f>
        <v>240.75</v>
      </c>
      <c r="Z4" s="13">
        <f t="shared" si="2"/>
        <v>15.71995648</v>
      </c>
      <c r="AA4" s="13">
        <f t="shared" si="3"/>
        <v>218</v>
      </c>
      <c r="AB4" s="13">
        <f t="shared" si="4"/>
        <v>8.960881309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>
        <v>0.0</v>
      </c>
      <c r="N5" s="13">
        <f>M5/C12*100000</f>
        <v>0</v>
      </c>
      <c r="O5" s="12">
        <v>0.0</v>
      </c>
      <c r="P5" s="13">
        <f>O5/D12*100000</f>
        <v>0</v>
      </c>
      <c r="Q5" s="47">
        <v>0.0</v>
      </c>
      <c r="R5" s="13">
        <f>Q5/E12*100000</f>
        <v>0</v>
      </c>
      <c r="S5" s="12">
        <v>1.0</v>
      </c>
      <c r="T5" s="13">
        <f>S5/F12*100000</f>
        <v>421.9409283</v>
      </c>
      <c r="U5" s="12">
        <v>0.0</v>
      </c>
      <c r="V5" s="13">
        <f>U5/G12*100000</f>
        <v>0</v>
      </c>
      <c r="W5" s="12">
        <v>0.0</v>
      </c>
      <c r="X5" s="13">
        <f>W5/H12*100000</f>
        <v>0</v>
      </c>
      <c r="Y5" s="13">
        <f t="shared" ref="Y5:Z5" si="5">((M5+O5+Q5+S5)/4)</f>
        <v>0.25</v>
      </c>
      <c r="Z5" s="13">
        <f t="shared" si="5"/>
        <v>105.4852321</v>
      </c>
      <c r="AA5" s="13">
        <f t="shared" si="3"/>
        <v>0.5</v>
      </c>
      <c r="AB5" s="13">
        <f t="shared" si="4"/>
        <v>0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>
        <v>4.0</v>
      </c>
      <c r="N6" s="13">
        <f>M6/M4*1000</f>
        <v>17.77777778</v>
      </c>
      <c r="O6" s="12">
        <v>9.0</v>
      </c>
      <c r="P6" s="13">
        <f>O6/O4*1000</f>
        <v>39.30131004</v>
      </c>
      <c r="Q6" s="47">
        <v>7.0</v>
      </c>
      <c r="R6" s="13">
        <f>Q6/Q4*1000</f>
        <v>25.73529412</v>
      </c>
      <c r="S6" s="12">
        <v>5.0</v>
      </c>
      <c r="T6" s="13">
        <f>S6/S4*1000</f>
        <v>21.09704641</v>
      </c>
      <c r="U6" s="12">
        <v>1.0</v>
      </c>
      <c r="V6" s="13">
        <f>U6/U4*1000</f>
        <v>5.025125628</v>
      </c>
      <c r="W6" s="12">
        <v>1.0</v>
      </c>
      <c r="X6" s="13">
        <f>W6/W4*1000</f>
        <v>10.41666667</v>
      </c>
      <c r="Y6" s="13">
        <f t="shared" ref="Y6:Z6" si="6">((M6+O6+Q6+S6)/4)</f>
        <v>6.25</v>
      </c>
      <c r="Z6" s="13">
        <f t="shared" si="6"/>
        <v>25.97785709</v>
      </c>
      <c r="AA6" s="13">
        <f t="shared" si="3"/>
        <v>3</v>
      </c>
      <c r="AB6" s="13">
        <f t="shared" si="4"/>
        <v>7.720896147</v>
      </c>
      <c r="AC6" s="14" t="s">
        <v>22</v>
      </c>
    </row>
    <row r="7" ht="14.25" customHeight="1">
      <c r="A7" s="5"/>
      <c r="B7" s="55" t="s">
        <v>35</v>
      </c>
      <c r="C7" s="57">
        <v>14532.0</v>
      </c>
      <c r="D7" s="57">
        <v>15109.0</v>
      </c>
      <c r="E7" s="57">
        <v>15585.0</v>
      </c>
      <c r="F7" s="57">
        <v>16027.0</v>
      </c>
      <c r="G7" s="57">
        <v>16364.0</v>
      </c>
      <c r="H7" s="57">
        <v>16664.0</v>
      </c>
      <c r="I7" s="5"/>
      <c r="J7" s="5"/>
      <c r="K7" s="5"/>
      <c r="L7" s="11" t="s">
        <v>36</v>
      </c>
      <c r="M7" s="12">
        <v>2.0</v>
      </c>
      <c r="N7" s="59"/>
      <c r="O7" s="12">
        <v>6.0</v>
      </c>
      <c r="P7" s="59"/>
      <c r="Q7" s="47">
        <v>4.0</v>
      </c>
      <c r="R7" s="59"/>
      <c r="S7" s="12">
        <v>0.0</v>
      </c>
      <c r="T7" s="59"/>
      <c r="U7" s="12">
        <v>4.0</v>
      </c>
      <c r="V7" s="59"/>
      <c r="W7" s="12">
        <v>2.0</v>
      </c>
      <c r="X7" s="59"/>
      <c r="Y7" s="13">
        <f t="shared" ref="Y7:Z7" si="7">((M7+O7+Q7+S7)/4)</f>
        <v>3</v>
      </c>
      <c r="Z7" s="13">
        <f t="shared" si="7"/>
        <v>0</v>
      </c>
      <c r="AA7" s="13">
        <f t="shared" si="3"/>
        <v>2</v>
      </c>
      <c r="AB7" s="13">
        <f t="shared" si="4"/>
        <v>0</v>
      </c>
      <c r="AC7" s="14" t="s">
        <v>37</v>
      </c>
    </row>
    <row r="8" ht="14.25" customHeight="1">
      <c r="A8" s="5"/>
      <c r="B8" s="55" t="s">
        <v>38</v>
      </c>
      <c r="C8" s="57">
        <v>7211.0</v>
      </c>
      <c r="D8" s="57">
        <v>7764.0</v>
      </c>
      <c r="E8" s="57">
        <v>8224.0</v>
      </c>
      <c r="F8" s="57">
        <v>8652.0</v>
      </c>
      <c r="G8" s="57">
        <v>8971.0</v>
      </c>
      <c r="H8" s="57">
        <v>9260.0</v>
      </c>
      <c r="I8" s="5"/>
      <c r="J8" s="5"/>
      <c r="K8" s="5"/>
      <c r="L8" s="11" t="s">
        <v>39</v>
      </c>
      <c r="M8" s="12">
        <v>0.0</v>
      </c>
      <c r="N8" s="13">
        <f>M8/C15*1000</f>
        <v>0</v>
      </c>
      <c r="O8" s="12">
        <v>0.0</v>
      </c>
      <c r="P8" s="13">
        <f>O8/D15*1000</f>
        <v>0</v>
      </c>
      <c r="Q8" s="47">
        <v>0.0</v>
      </c>
      <c r="R8" s="13">
        <f>Q8/E15*1000</f>
        <v>0</v>
      </c>
      <c r="S8" s="12">
        <v>0.0</v>
      </c>
      <c r="T8" s="13">
        <f>S8/F15*1000</f>
        <v>0</v>
      </c>
      <c r="U8" s="12">
        <v>0.0</v>
      </c>
      <c r="V8" s="13">
        <f>U8/G15*1000</f>
        <v>0</v>
      </c>
      <c r="W8" s="12">
        <v>0.0</v>
      </c>
      <c r="X8" s="13">
        <f>W8/H15*1000</f>
        <v>0</v>
      </c>
      <c r="Y8" s="13">
        <f t="shared" ref="Y8:Z8" si="8">((M8+O8+Q8+S8)/4)</f>
        <v>0</v>
      </c>
      <c r="Z8" s="13">
        <f t="shared" si="8"/>
        <v>0</v>
      </c>
      <c r="AA8" s="13">
        <f t="shared" si="3"/>
        <v>0</v>
      </c>
      <c r="AB8" s="13">
        <f t="shared" si="4"/>
        <v>0</v>
      </c>
      <c r="AC8" s="14" t="s">
        <v>37</v>
      </c>
    </row>
    <row r="9" ht="14.25" customHeight="1">
      <c r="A9" s="5"/>
      <c r="B9" s="55" t="s">
        <v>40</v>
      </c>
      <c r="C9" s="57">
        <v>7321.0</v>
      </c>
      <c r="D9" s="53">
        <v>7345.0</v>
      </c>
      <c r="E9" s="57">
        <v>7361.0</v>
      </c>
      <c r="F9" s="57">
        <v>7375.0</v>
      </c>
      <c r="G9" s="57">
        <v>7393.0</v>
      </c>
      <c r="H9" s="58">
        <v>7404.0</v>
      </c>
      <c r="I9" s="5"/>
      <c r="J9" s="5"/>
      <c r="K9" s="5"/>
      <c r="L9" s="11" t="s">
        <v>41</v>
      </c>
      <c r="M9" s="12">
        <v>4.0</v>
      </c>
      <c r="N9" s="13">
        <f>M9/C7*100000</f>
        <v>27.52546105</v>
      </c>
      <c r="O9" s="12">
        <v>12.0</v>
      </c>
      <c r="P9" s="13">
        <f>O9/D7*100000</f>
        <v>79.42286055</v>
      </c>
      <c r="Q9" s="47">
        <v>6.0</v>
      </c>
      <c r="R9" s="13">
        <f>Q9/E7*100000</f>
        <v>38.4985563</v>
      </c>
      <c r="S9" s="12">
        <v>11.0</v>
      </c>
      <c r="T9" s="13">
        <f>S9/F7*100000</f>
        <v>68.63417982</v>
      </c>
      <c r="U9" s="12">
        <v>4.0</v>
      </c>
      <c r="V9" s="13">
        <f>U9/G7*100000</f>
        <v>24.44390125</v>
      </c>
      <c r="W9" s="12">
        <v>6.0</v>
      </c>
      <c r="X9" s="13">
        <f>W9/H7*100000</f>
        <v>36.00576092</v>
      </c>
      <c r="Y9" s="13">
        <f t="shared" ref="Y9:Z9" si="9">((M9+O9+Q9+S9)/4)</f>
        <v>8.25</v>
      </c>
      <c r="Z9" s="13">
        <f t="shared" si="9"/>
        <v>53.52026443</v>
      </c>
      <c r="AA9" s="13">
        <f t="shared" si="3"/>
        <v>7.5</v>
      </c>
      <c r="AB9" s="13">
        <f t="shared" si="4"/>
        <v>30.22483108</v>
      </c>
      <c r="AC9" s="14" t="s">
        <v>22</v>
      </c>
    </row>
    <row r="10" ht="14.25" customHeight="1">
      <c r="A10" s="5"/>
      <c r="B10" s="55" t="s">
        <v>42</v>
      </c>
      <c r="C10" s="57">
        <v>7203.0</v>
      </c>
      <c r="D10" s="57">
        <v>7481.0</v>
      </c>
      <c r="E10" s="57">
        <v>7711.0</v>
      </c>
      <c r="F10" s="107">
        <v>7927.0</v>
      </c>
      <c r="G10" s="53">
        <v>8095.0</v>
      </c>
      <c r="H10" s="58">
        <v>8245.0</v>
      </c>
      <c r="I10" s="5"/>
      <c r="J10" s="5"/>
      <c r="K10" s="5"/>
      <c r="L10" s="11" t="s">
        <v>43</v>
      </c>
      <c r="M10" s="12">
        <v>0.0</v>
      </c>
      <c r="N10" s="13">
        <f>M10/C15*100000</f>
        <v>0</v>
      </c>
      <c r="O10" s="12">
        <v>0.0</v>
      </c>
      <c r="P10" s="13">
        <f t="shared" ref="P10:P11" si="11">O10/D15*100000</f>
        <v>0</v>
      </c>
      <c r="Q10" s="47">
        <v>0.0</v>
      </c>
      <c r="R10" s="13">
        <f>Q10/E15*100000</f>
        <v>0</v>
      </c>
      <c r="S10" s="12">
        <v>0.0</v>
      </c>
      <c r="T10" s="13">
        <f>S10/F15*100000</f>
        <v>0</v>
      </c>
      <c r="U10" s="12">
        <v>0.0</v>
      </c>
      <c r="V10" s="13">
        <f>U10/G15*100000</f>
        <v>0</v>
      </c>
      <c r="W10" s="12">
        <v>0.0</v>
      </c>
      <c r="X10" s="13">
        <f>W10/H15*100000</f>
        <v>0</v>
      </c>
      <c r="Y10" s="13">
        <f t="shared" ref="Y10:Z10" si="10">((M10+O10+Q10+S10)/4)</f>
        <v>0</v>
      </c>
      <c r="Z10" s="13">
        <f t="shared" si="10"/>
        <v>0</v>
      </c>
      <c r="AA10" s="13">
        <f t="shared" si="3"/>
        <v>0</v>
      </c>
      <c r="AB10" s="13">
        <f t="shared" si="4"/>
        <v>0</v>
      </c>
      <c r="AC10" s="14" t="s">
        <v>22</v>
      </c>
    </row>
    <row r="11" ht="14.25" customHeight="1">
      <c r="A11" s="5"/>
      <c r="B11" s="55" t="s">
        <v>44</v>
      </c>
      <c r="C11" s="57">
        <v>7329.0</v>
      </c>
      <c r="D11" s="57">
        <v>7628.0</v>
      </c>
      <c r="E11" s="57">
        <v>7874.0</v>
      </c>
      <c r="F11" s="107">
        <v>8100.0</v>
      </c>
      <c r="G11" s="53">
        <v>8269.0</v>
      </c>
      <c r="H11" s="58">
        <v>8419.0</v>
      </c>
      <c r="I11" s="5"/>
      <c r="J11" s="5"/>
      <c r="K11" s="5"/>
      <c r="L11" s="11" t="s">
        <v>45</v>
      </c>
      <c r="M11" s="12">
        <v>0.0</v>
      </c>
      <c r="N11" s="13">
        <f>M11/C15*100000</f>
        <v>0</v>
      </c>
      <c r="O11" s="12">
        <v>0.0</v>
      </c>
      <c r="P11" s="13">
        <f t="shared" si="11"/>
        <v>0</v>
      </c>
      <c r="Q11" s="47">
        <v>0.0</v>
      </c>
      <c r="R11" s="13">
        <f>Q11/F16*100000</f>
        <v>0</v>
      </c>
      <c r="S11" s="12">
        <v>0.0</v>
      </c>
      <c r="T11" s="13">
        <f>S11/F15*100000</f>
        <v>0</v>
      </c>
      <c r="U11" s="12">
        <v>0.0</v>
      </c>
      <c r="V11" s="13">
        <f>U11/G15*100000</f>
        <v>0</v>
      </c>
      <c r="W11" s="12">
        <v>0.0</v>
      </c>
      <c r="X11" s="13">
        <f>W11/H15*100000</f>
        <v>0</v>
      </c>
      <c r="Y11" s="13">
        <f t="shared" ref="Y11:Z11" si="12">((M11+O11+Q11+S11)/4)</f>
        <v>0</v>
      </c>
      <c r="Z11" s="13">
        <f t="shared" si="12"/>
        <v>0</v>
      </c>
      <c r="AA11" s="13">
        <f t="shared" si="3"/>
        <v>0</v>
      </c>
      <c r="AB11" s="13">
        <f t="shared" si="4"/>
        <v>0</v>
      </c>
      <c r="AC11" s="14" t="s">
        <v>22</v>
      </c>
    </row>
    <row r="12" ht="14.25" customHeight="1">
      <c r="A12" s="5"/>
      <c r="B12" s="55" t="s">
        <v>46</v>
      </c>
      <c r="C12" s="53">
        <v>225.0</v>
      </c>
      <c r="D12" s="57">
        <v>229.0</v>
      </c>
      <c r="E12" s="53">
        <v>272.0</v>
      </c>
      <c r="F12" s="53">
        <v>237.0</v>
      </c>
      <c r="G12" s="57">
        <v>199.0</v>
      </c>
      <c r="H12" s="58">
        <v>96.0</v>
      </c>
      <c r="I12" s="5"/>
      <c r="J12" s="5"/>
      <c r="K12" s="5"/>
      <c r="L12" s="11" t="s">
        <v>47</v>
      </c>
      <c r="M12" s="12"/>
      <c r="N12" s="13">
        <f>M12/C7*100000</f>
        <v>0</v>
      </c>
      <c r="O12" s="12"/>
      <c r="P12" s="13">
        <f>O12/D7*100000</f>
        <v>0</v>
      </c>
      <c r="Q12" s="47"/>
      <c r="R12" s="13">
        <f>Q12/E7*100000</f>
        <v>0</v>
      </c>
      <c r="S12" s="12"/>
      <c r="T12" s="13">
        <f>S12/F7*100000</f>
        <v>0</v>
      </c>
      <c r="U12" s="12"/>
      <c r="V12" s="13">
        <f>U12/G7*100000</f>
        <v>0</v>
      </c>
      <c r="W12" s="12"/>
      <c r="X12" s="13">
        <f>W12/H7*100000</f>
        <v>0</v>
      </c>
      <c r="Y12" s="13">
        <f t="shared" ref="Y12:Z12" si="13">((M12+O12+Q12+S12)/4)</f>
        <v>0</v>
      </c>
      <c r="Z12" s="13">
        <f t="shared" si="13"/>
        <v>0</v>
      </c>
      <c r="AA12" s="13">
        <f t="shared" si="3"/>
        <v>0</v>
      </c>
      <c r="AB12" s="13">
        <f t="shared" si="4"/>
        <v>0</v>
      </c>
      <c r="AC12" s="14" t="s">
        <v>48</v>
      </c>
    </row>
    <row r="13" ht="14.25" customHeight="1">
      <c r="A13" s="5"/>
      <c r="B13" s="55" t="s">
        <v>49</v>
      </c>
      <c r="C13" s="53">
        <v>72.0</v>
      </c>
      <c r="D13" s="57">
        <v>102.0</v>
      </c>
      <c r="E13" s="53">
        <v>75.0</v>
      </c>
      <c r="F13" s="53">
        <v>72.0</v>
      </c>
      <c r="G13" s="57">
        <v>76.0</v>
      </c>
      <c r="H13" s="58">
        <v>41.0</v>
      </c>
      <c r="I13" s="5"/>
      <c r="J13" s="5"/>
      <c r="K13" s="5"/>
      <c r="L13" s="11" t="s">
        <v>50</v>
      </c>
      <c r="M13" s="12"/>
      <c r="N13" s="13">
        <f>M13/C11*100000</f>
        <v>0</v>
      </c>
      <c r="O13" s="12"/>
      <c r="P13" s="13">
        <f>O13/D11*100000</f>
        <v>0</v>
      </c>
      <c r="Q13" s="47"/>
      <c r="R13" s="13">
        <f>Q13/E11*100000</f>
        <v>0</v>
      </c>
      <c r="S13" s="12"/>
      <c r="T13" s="13">
        <f>S13/F11*100000</f>
        <v>0</v>
      </c>
      <c r="U13" s="12"/>
      <c r="V13" s="13">
        <f>U13/G11*100000</f>
        <v>0</v>
      </c>
      <c r="W13" s="12"/>
      <c r="X13" s="13">
        <f>W13/H11*100000</f>
        <v>0</v>
      </c>
      <c r="Y13" s="13">
        <f t="shared" ref="Y13:Z13" si="14">((M13+O13+Q13+S13)/4)</f>
        <v>0</v>
      </c>
      <c r="Z13" s="13">
        <f t="shared" si="14"/>
        <v>0</v>
      </c>
      <c r="AA13" s="13">
        <f t="shared" si="3"/>
        <v>0</v>
      </c>
      <c r="AB13" s="13">
        <f t="shared" si="4"/>
        <v>0</v>
      </c>
      <c r="AC13" s="14" t="s">
        <v>48</v>
      </c>
    </row>
    <row r="14" ht="14.25" customHeight="1">
      <c r="A14" s="5"/>
      <c r="B14" s="55" t="s">
        <v>51</v>
      </c>
      <c r="C14" s="53">
        <v>621.0</v>
      </c>
      <c r="D14" s="53">
        <v>629.0</v>
      </c>
      <c r="E14" s="53">
        <v>639.0</v>
      </c>
      <c r="F14" s="53">
        <v>647.0</v>
      </c>
      <c r="G14" s="53">
        <v>631.0</v>
      </c>
      <c r="H14" s="58">
        <v>637.0</v>
      </c>
      <c r="I14" s="5"/>
      <c r="J14" s="5"/>
      <c r="K14" s="5"/>
      <c r="L14" s="11" t="s">
        <v>52</v>
      </c>
      <c r="M14" s="12"/>
      <c r="N14" s="13">
        <f>M14/M4*1000</f>
        <v>0</v>
      </c>
      <c r="O14" s="12"/>
      <c r="P14" s="13">
        <f>O14/O4*1000</f>
        <v>0</v>
      </c>
      <c r="Q14" s="47"/>
      <c r="R14" s="13">
        <f>Q14/Q4*1000</f>
        <v>0</v>
      </c>
      <c r="S14" s="12"/>
      <c r="T14" s="13">
        <f>S14/S4*1000</f>
        <v>0</v>
      </c>
      <c r="U14" s="12"/>
      <c r="V14" s="13">
        <f>U14/U4*1000</f>
        <v>0</v>
      </c>
      <c r="W14" s="12"/>
      <c r="X14" s="13">
        <f>W14/W4*1000</f>
        <v>0</v>
      </c>
      <c r="Y14" s="13">
        <f t="shared" ref="Y14:Z14" si="15">((M14+O14+Q14+S14)/4)</f>
        <v>0</v>
      </c>
      <c r="Z14" s="13">
        <f t="shared" si="15"/>
        <v>0</v>
      </c>
      <c r="AA14" s="13">
        <f t="shared" si="3"/>
        <v>0</v>
      </c>
      <c r="AB14" s="13">
        <f t="shared" si="4"/>
        <v>0</v>
      </c>
      <c r="AC14" s="14" t="s">
        <v>22</v>
      </c>
    </row>
    <row r="15" ht="14.25" customHeight="1">
      <c r="A15" s="5"/>
      <c r="B15" s="55" t="s">
        <v>53</v>
      </c>
      <c r="C15" s="53">
        <v>1831.0</v>
      </c>
      <c r="D15" s="53">
        <v>1885.0</v>
      </c>
      <c r="E15" s="53">
        <v>1924.0</v>
      </c>
      <c r="F15" s="53">
        <v>1952.0</v>
      </c>
      <c r="G15" s="53">
        <v>1932.0</v>
      </c>
      <c r="H15" s="58">
        <v>1944.0</v>
      </c>
      <c r="I15" s="5"/>
      <c r="J15" s="5"/>
      <c r="K15" s="5"/>
      <c r="L15" s="11" t="s">
        <v>54</v>
      </c>
      <c r="M15" s="12"/>
      <c r="N15" s="13">
        <f>M15/C15*100000</f>
        <v>0</v>
      </c>
      <c r="O15" s="12"/>
      <c r="P15" s="13">
        <f>O15/D15*100000</f>
        <v>0</v>
      </c>
      <c r="Q15" s="47"/>
      <c r="R15" s="13">
        <f>Q15/E15*100000</f>
        <v>0</v>
      </c>
      <c r="S15" s="12"/>
      <c r="T15" s="13">
        <f>S15/F15*100000</f>
        <v>0</v>
      </c>
      <c r="U15" s="12"/>
      <c r="V15" s="13">
        <f>U15/G15*100000</f>
        <v>0</v>
      </c>
      <c r="W15" s="12"/>
      <c r="X15" s="13">
        <f>W15/H15*100000</f>
        <v>0</v>
      </c>
      <c r="Y15" s="13">
        <f t="shared" ref="Y15:Z15" si="16">((M15+O15+Q15+S15)/4)</f>
        <v>0</v>
      </c>
      <c r="Z15" s="13">
        <f t="shared" si="16"/>
        <v>0</v>
      </c>
      <c r="AA15" s="13">
        <f t="shared" si="3"/>
        <v>0</v>
      </c>
      <c r="AB15" s="13">
        <f t="shared" si="4"/>
        <v>0</v>
      </c>
      <c r="AC15" s="14" t="s">
        <v>22</v>
      </c>
    </row>
    <row r="16" ht="14.25" customHeight="1">
      <c r="A16" s="5"/>
      <c r="B16" s="55" t="s">
        <v>55</v>
      </c>
      <c r="C16" s="53">
        <v>10388.0</v>
      </c>
      <c r="D16" s="53">
        <v>10827.0</v>
      </c>
      <c r="E16" s="53">
        <v>11190.0</v>
      </c>
      <c r="F16" s="53">
        <v>11533.0</v>
      </c>
      <c r="G16" s="53">
        <v>11808.0</v>
      </c>
      <c r="H16" s="58">
        <v>12042.0</v>
      </c>
      <c r="I16" s="5"/>
      <c r="J16" s="5"/>
      <c r="K16" s="5"/>
      <c r="L16" s="11" t="s">
        <v>56</v>
      </c>
      <c r="M16" s="12"/>
      <c r="N16" s="13">
        <f>M16/M4*100</f>
        <v>0</v>
      </c>
      <c r="O16" s="12"/>
      <c r="P16" s="13">
        <f>O16/O4*100</f>
        <v>0</v>
      </c>
      <c r="Q16" s="47"/>
      <c r="R16" s="13">
        <f>Q16/Q4*100</f>
        <v>0</v>
      </c>
      <c r="S16" s="12"/>
      <c r="T16" s="13">
        <f>S16/S4*100</f>
        <v>0</v>
      </c>
      <c r="U16" s="12"/>
      <c r="V16" s="13">
        <f>U16/U4*100</f>
        <v>0</v>
      </c>
      <c r="W16" s="12"/>
      <c r="X16" s="13">
        <f>W16/W4*100</f>
        <v>0</v>
      </c>
      <c r="Y16" s="13">
        <f t="shared" ref="Y16:Z16" si="17">((M16+O16+Q16+S16)/4)</f>
        <v>0</v>
      </c>
      <c r="Z16" s="13">
        <f t="shared" si="17"/>
        <v>0</v>
      </c>
      <c r="AA16" s="13">
        <f t="shared" si="3"/>
        <v>0</v>
      </c>
      <c r="AB16" s="13">
        <f t="shared" si="4"/>
        <v>0</v>
      </c>
      <c r="AC16" s="14" t="s">
        <v>24</v>
      </c>
    </row>
    <row r="17" ht="14.25" customHeight="1">
      <c r="A17" s="5"/>
      <c r="B17" s="55" t="s">
        <v>57</v>
      </c>
      <c r="C17" s="53">
        <v>5407.0</v>
      </c>
      <c r="D17" s="53">
        <v>5569.0</v>
      </c>
      <c r="E17" s="53">
        <v>5696.0</v>
      </c>
      <c r="F17" s="53">
        <v>5811.0</v>
      </c>
      <c r="G17" s="53">
        <v>5894.0</v>
      </c>
      <c r="H17" s="58">
        <v>5973.0</v>
      </c>
      <c r="I17" s="5"/>
      <c r="J17" s="5"/>
      <c r="K17" s="5"/>
      <c r="L17" s="11" t="s">
        <v>58</v>
      </c>
      <c r="M17" s="12"/>
      <c r="N17" s="13">
        <f>M17/M4*100</f>
        <v>0</v>
      </c>
      <c r="O17" s="12"/>
      <c r="P17" s="13">
        <f>O17/O4*100</f>
        <v>0</v>
      </c>
      <c r="Q17" s="47"/>
      <c r="R17" s="13">
        <f>Q17/Q4*100</f>
        <v>0</v>
      </c>
      <c r="S17" s="12"/>
      <c r="T17" s="13">
        <f>S17/S4*100</f>
        <v>0</v>
      </c>
      <c r="U17" s="12"/>
      <c r="V17" s="13">
        <f>U17/U4*100</f>
        <v>0</v>
      </c>
      <c r="W17" s="12"/>
      <c r="X17" s="13">
        <f>W17/W4*100</f>
        <v>0</v>
      </c>
      <c r="Y17" s="13">
        <f t="shared" ref="Y17:Z17" si="18">((M17+O17+Q17+S17)/4)</f>
        <v>0</v>
      </c>
      <c r="Z17" s="13">
        <f t="shared" si="18"/>
        <v>0</v>
      </c>
      <c r="AA17" s="13">
        <f t="shared" si="3"/>
        <v>0</v>
      </c>
      <c r="AB17" s="13">
        <f t="shared" si="4"/>
        <v>0</v>
      </c>
      <c r="AC17" s="14" t="s">
        <v>24</v>
      </c>
    </row>
    <row r="18" ht="14.25" customHeight="1">
      <c r="A18" s="5"/>
      <c r="B18" s="55" t="s">
        <v>59</v>
      </c>
      <c r="C18" s="53">
        <v>8270.0</v>
      </c>
      <c r="D18" s="53">
        <v>8631.0</v>
      </c>
      <c r="E18" s="53">
        <v>8925.0</v>
      </c>
      <c r="F18" s="53">
        <v>9197.0</v>
      </c>
      <c r="G18" s="53">
        <v>9419.0</v>
      </c>
      <c r="H18" s="58">
        <v>9596.0</v>
      </c>
      <c r="I18" s="5"/>
      <c r="J18" s="5"/>
      <c r="K18" s="5"/>
      <c r="L18" s="11" t="s">
        <v>60</v>
      </c>
      <c r="M18" s="61"/>
      <c r="N18" s="28">
        <f>M18/C15*1000</f>
        <v>0</v>
      </c>
      <c r="O18" s="12"/>
      <c r="P18" s="28">
        <f>O18/D15*1000</f>
        <v>0</v>
      </c>
      <c r="Q18" s="47"/>
      <c r="R18" s="28">
        <f>Q18/E15*1000</f>
        <v>0</v>
      </c>
      <c r="S18" s="61"/>
      <c r="T18" s="28">
        <f>S18/F15*1000</f>
        <v>0</v>
      </c>
      <c r="U18" s="61"/>
      <c r="V18" s="28">
        <f>U18/G15*1000</f>
        <v>0</v>
      </c>
      <c r="W18" s="61"/>
      <c r="X18" s="28">
        <f>W18/H15*1000</f>
        <v>0</v>
      </c>
      <c r="Y18" s="13">
        <f t="shared" ref="Y18:Z18" si="19">((M18+O18+Q18+S18)/4)</f>
        <v>0</v>
      </c>
      <c r="Z18" s="13">
        <f t="shared" si="19"/>
        <v>0</v>
      </c>
      <c r="AA18" s="13">
        <f t="shared" si="3"/>
        <v>0</v>
      </c>
      <c r="AB18" s="13">
        <f t="shared" si="4"/>
        <v>0</v>
      </c>
      <c r="AC18" s="14" t="s">
        <v>48</v>
      </c>
    </row>
    <row r="19" ht="14.25" customHeight="1">
      <c r="A19" s="5"/>
      <c r="B19" s="55" t="s">
        <v>61</v>
      </c>
      <c r="C19" s="53">
        <v>8270.0</v>
      </c>
      <c r="D19" s="53">
        <v>8631.0</v>
      </c>
      <c r="E19" s="53">
        <v>8925.0</v>
      </c>
      <c r="F19" s="53">
        <v>9197.0</v>
      </c>
      <c r="G19" s="53">
        <v>9419.0</v>
      </c>
      <c r="H19" s="58">
        <v>9596.0</v>
      </c>
      <c r="I19" s="5"/>
      <c r="J19" s="5"/>
      <c r="K19" s="5"/>
      <c r="L19" s="11" t="s">
        <v>62</v>
      </c>
      <c r="M19" s="12"/>
      <c r="N19" s="13">
        <f>M19/M4*100</f>
        <v>0</v>
      </c>
      <c r="O19" s="12"/>
      <c r="P19" s="13">
        <f>O19/O4*100</f>
        <v>0</v>
      </c>
      <c r="Q19" s="47"/>
      <c r="R19" s="13">
        <f>Q19/Q4*100</f>
        <v>0</v>
      </c>
      <c r="S19" s="12"/>
      <c r="T19" s="13">
        <f>S19/S4*100</f>
        <v>0</v>
      </c>
      <c r="U19" s="12"/>
      <c r="V19" s="13">
        <f>U19/U4*100</f>
        <v>0</v>
      </c>
      <c r="W19" s="12"/>
      <c r="X19" s="13">
        <f>W19/W4*100</f>
        <v>0</v>
      </c>
      <c r="Y19" s="13">
        <f t="shared" ref="Y19:Z19" si="20">((M19+O19+Q19+S19)/4)</f>
        <v>0</v>
      </c>
      <c r="Z19" s="13">
        <f t="shared" si="20"/>
        <v>0</v>
      </c>
      <c r="AA19" s="13">
        <f t="shared" si="3"/>
        <v>0</v>
      </c>
      <c r="AB19" s="13">
        <f t="shared" si="4"/>
        <v>0</v>
      </c>
      <c r="AC19" s="14" t="s">
        <v>63</v>
      </c>
    </row>
    <row r="20" ht="14.25" customHeight="1">
      <c r="A20" s="5"/>
      <c r="B20" s="55" t="s">
        <v>64</v>
      </c>
      <c r="C20" s="53">
        <v>615.0</v>
      </c>
      <c r="D20" s="57">
        <v>635.0</v>
      </c>
      <c r="E20" s="53">
        <v>654.0</v>
      </c>
      <c r="F20" s="53">
        <v>672.0</v>
      </c>
      <c r="G20" s="53">
        <v>692.0</v>
      </c>
      <c r="H20" s="58">
        <v>708.0</v>
      </c>
      <c r="I20" s="5"/>
      <c r="J20" s="5"/>
      <c r="K20" s="5"/>
      <c r="L20" s="11" t="s">
        <v>65</v>
      </c>
      <c r="M20" s="12"/>
      <c r="N20" s="13">
        <f t="shared" ref="N20:N21" si="22">M20/C20*1000</f>
        <v>0</v>
      </c>
      <c r="O20" s="12"/>
      <c r="P20" s="13">
        <f t="shared" ref="P20:P21" si="23">O20/D20*1000</f>
        <v>0</v>
      </c>
      <c r="Q20" s="47"/>
      <c r="R20" s="13">
        <f t="shared" ref="R20:R21" si="24">Q20/E20*1000</f>
        <v>0</v>
      </c>
      <c r="S20" s="12"/>
      <c r="T20" s="13">
        <f t="shared" ref="T20:T21" si="25">S20/F20*1000</f>
        <v>0</v>
      </c>
      <c r="U20" s="12"/>
      <c r="V20" s="13">
        <f t="shared" ref="V20:V21" si="26">U20/G20*1000</f>
        <v>0</v>
      </c>
      <c r="W20" s="12"/>
      <c r="X20" s="13">
        <f t="shared" ref="X20:X21" si="27">W20/H20*1000</f>
        <v>0</v>
      </c>
      <c r="Y20" s="13">
        <f t="shared" ref="Y20:Z20" si="21">((M20+O20+Q20+S20)/4)</f>
        <v>0</v>
      </c>
      <c r="Z20" s="13">
        <f t="shared" si="21"/>
        <v>0</v>
      </c>
      <c r="AA20" s="13">
        <f t="shared" si="3"/>
        <v>0</v>
      </c>
      <c r="AB20" s="13">
        <f t="shared" si="4"/>
        <v>0</v>
      </c>
      <c r="AC20" s="14" t="s">
        <v>63</v>
      </c>
    </row>
    <row r="21" ht="14.25" customHeight="1">
      <c r="A21" s="5"/>
      <c r="B21" s="55" t="s">
        <v>66</v>
      </c>
      <c r="C21" s="53">
        <v>646.0</v>
      </c>
      <c r="D21" s="57">
        <v>659.0</v>
      </c>
      <c r="E21" s="53">
        <v>667.0</v>
      </c>
      <c r="F21" s="53">
        <v>675.0</v>
      </c>
      <c r="G21" s="53">
        <v>686.0</v>
      </c>
      <c r="H21" s="58">
        <v>694.0</v>
      </c>
      <c r="I21" s="5"/>
      <c r="J21" s="5"/>
      <c r="K21" s="5"/>
      <c r="L21" s="11" t="s">
        <v>67</v>
      </c>
      <c r="M21" s="12"/>
      <c r="N21" s="13">
        <f t="shared" si="22"/>
        <v>0</v>
      </c>
      <c r="O21" s="12"/>
      <c r="P21" s="13">
        <f t="shared" si="23"/>
        <v>0</v>
      </c>
      <c r="Q21" s="47"/>
      <c r="R21" s="13">
        <f t="shared" si="24"/>
        <v>0</v>
      </c>
      <c r="S21" s="12"/>
      <c r="T21" s="13">
        <f t="shared" si="25"/>
        <v>0</v>
      </c>
      <c r="U21" s="12"/>
      <c r="V21" s="13">
        <f t="shared" si="26"/>
        <v>0</v>
      </c>
      <c r="W21" s="12"/>
      <c r="X21" s="13">
        <f t="shared" si="27"/>
        <v>0</v>
      </c>
      <c r="Y21" s="13">
        <f t="shared" ref="Y21:Z21" si="28">((M21+O21+Q21+S21)/4)</f>
        <v>0</v>
      </c>
      <c r="Z21" s="13">
        <f t="shared" si="28"/>
        <v>0</v>
      </c>
      <c r="AA21" s="13">
        <f t="shared" si="3"/>
        <v>0</v>
      </c>
      <c r="AB21" s="13">
        <f t="shared" si="4"/>
        <v>0</v>
      </c>
      <c r="AC21" s="14" t="s">
        <v>63</v>
      </c>
    </row>
    <row r="22" ht="14.25" customHeight="1">
      <c r="A22" s="5"/>
      <c r="B22" s="55" t="s">
        <v>68</v>
      </c>
      <c r="C22" s="53">
        <v>4499.0</v>
      </c>
      <c r="D22" s="53">
        <v>4668.0</v>
      </c>
      <c r="E22" s="53">
        <v>4803.0</v>
      </c>
      <c r="F22" s="53">
        <v>4928.0</v>
      </c>
      <c r="G22" s="53">
        <v>5036.0</v>
      </c>
      <c r="H22" s="58">
        <v>5118.0</v>
      </c>
      <c r="I22" s="5"/>
      <c r="J22" s="5"/>
      <c r="K22" s="5"/>
      <c r="L22" s="11" t="s">
        <v>69</v>
      </c>
      <c r="M22" s="61"/>
      <c r="N22" s="28">
        <f>M22/C7*100000</f>
        <v>0</v>
      </c>
      <c r="O22" s="12"/>
      <c r="P22" s="28">
        <f>O22/D7*100000</f>
        <v>0</v>
      </c>
      <c r="Q22" s="47"/>
      <c r="R22" s="28">
        <f>Q22/E7*100000</f>
        <v>0</v>
      </c>
      <c r="S22" s="61"/>
      <c r="T22" s="28">
        <f>S22/F7*100000</f>
        <v>0</v>
      </c>
      <c r="U22" s="61"/>
      <c r="V22" s="28">
        <f>U22/G7*100000</f>
        <v>0</v>
      </c>
      <c r="W22" s="61"/>
      <c r="X22" s="28">
        <f>W22/H7*100000</f>
        <v>0</v>
      </c>
      <c r="Y22" s="13">
        <f t="shared" ref="Y22:Z22" si="29">((M22+O22+Q22+S22)/4)</f>
        <v>0</v>
      </c>
      <c r="Z22" s="13">
        <f t="shared" si="29"/>
        <v>0</v>
      </c>
      <c r="AA22" s="13">
        <f t="shared" si="3"/>
        <v>0</v>
      </c>
      <c r="AB22" s="13">
        <f t="shared" si="4"/>
        <v>0</v>
      </c>
      <c r="AC22" s="14" t="s">
        <v>22</v>
      </c>
    </row>
    <row r="23" ht="14.25" customHeight="1">
      <c r="A23" s="5"/>
      <c r="B23" s="55" t="s">
        <v>70</v>
      </c>
      <c r="C23" s="53">
        <v>1831.0</v>
      </c>
      <c r="D23" s="53">
        <v>1885.0</v>
      </c>
      <c r="E23" s="53">
        <v>1924.0</v>
      </c>
      <c r="F23" s="53">
        <v>1952.0</v>
      </c>
      <c r="G23" s="53">
        <v>1932.0</v>
      </c>
      <c r="H23" s="58">
        <v>1944.0</v>
      </c>
      <c r="I23" s="5"/>
      <c r="J23" s="5"/>
      <c r="K23" s="5"/>
      <c r="L23" s="11" t="s">
        <v>71</v>
      </c>
      <c r="M23" s="61"/>
      <c r="N23" s="28">
        <f>M23/C7*100000</f>
        <v>0</v>
      </c>
      <c r="O23" s="12"/>
      <c r="P23" s="28">
        <f>O23/D7*100000</f>
        <v>0</v>
      </c>
      <c r="Q23" s="47"/>
      <c r="R23" s="28">
        <f>Q23/E7*100000</f>
        <v>0</v>
      </c>
      <c r="S23" s="61"/>
      <c r="T23" s="28">
        <f>S23/F7*100000</f>
        <v>0</v>
      </c>
      <c r="U23" s="61"/>
      <c r="V23" s="28">
        <f>U23/G7*100000</f>
        <v>0</v>
      </c>
      <c r="W23" s="61"/>
      <c r="X23" s="28">
        <f>W23/H7*100000</f>
        <v>0</v>
      </c>
      <c r="Y23" s="13">
        <f t="shared" ref="Y23:Z23" si="30">((M23+O23+Q23+S23)/4)</f>
        <v>0</v>
      </c>
      <c r="Z23" s="13">
        <f t="shared" si="30"/>
        <v>0</v>
      </c>
      <c r="AA23" s="13">
        <f t="shared" si="3"/>
        <v>0</v>
      </c>
      <c r="AB23" s="13">
        <f t="shared" si="4"/>
        <v>0</v>
      </c>
      <c r="AC23" s="14" t="s">
        <v>22</v>
      </c>
    </row>
    <row r="24" ht="14.25" customHeight="1">
      <c r="A24" s="5"/>
      <c r="B24" s="55" t="s">
        <v>72</v>
      </c>
      <c r="C24" s="53">
        <v>1580.0</v>
      </c>
      <c r="D24" s="53">
        <v>1643.0</v>
      </c>
      <c r="E24" s="53">
        <v>1698.0</v>
      </c>
      <c r="F24" s="53">
        <v>1750.0</v>
      </c>
      <c r="G24" s="53">
        <v>1809.0</v>
      </c>
      <c r="H24" s="58">
        <v>1847.0</v>
      </c>
      <c r="I24" s="5"/>
      <c r="J24" s="5"/>
      <c r="K24" s="5"/>
      <c r="L24" s="11" t="s">
        <v>73</v>
      </c>
      <c r="M24" s="61"/>
      <c r="N24" s="28">
        <f>M24/C7*100000</f>
        <v>0</v>
      </c>
      <c r="O24" s="12"/>
      <c r="P24" s="28">
        <f>O24/D7*100000</f>
        <v>0</v>
      </c>
      <c r="Q24" s="47"/>
      <c r="R24" s="28">
        <f>Q24/E7*100000</f>
        <v>0</v>
      </c>
      <c r="S24" s="61"/>
      <c r="T24" s="28">
        <f>S24/F7*100000</f>
        <v>0</v>
      </c>
      <c r="U24" s="61"/>
      <c r="V24" s="28">
        <f>U24/G7*100000</f>
        <v>0</v>
      </c>
      <c r="W24" s="61"/>
      <c r="X24" s="28">
        <f>W24/H7*100000</f>
        <v>0</v>
      </c>
      <c r="Y24" s="13">
        <f t="shared" ref="Y24:Z24" si="31">((M24+O24+Q24+S24)/4)</f>
        <v>0</v>
      </c>
      <c r="Z24" s="13">
        <f t="shared" si="31"/>
        <v>0</v>
      </c>
      <c r="AA24" s="13">
        <f t="shared" si="3"/>
        <v>0</v>
      </c>
      <c r="AB24" s="13">
        <f t="shared" si="4"/>
        <v>0</v>
      </c>
      <c r="AC24" s="14" t="s">
        <v>22</v>
      </c>
    </row>
    <row r="25" ht="14.25" customHeight="1">
      <c r="A25" s="5"/>
      <c r="B25" s="55" t="s">
        <v>74</v>
      </c>
      <c r="C25" s="53">
        <v>1483.0</v>
      </c>
      <c r="D25" s="53">
        <v>1519.0</v>
      </c>
      <c r="E25" s="53">
        <v>1549.0</v>
      </c>
      <c r="F25" s="53">
        <v>1582.0</v>
      </c>
      <c r="G25" s="53">
        <v>1615.0</v>
      </c>
      <c r="H25" s="58">
        <v>1642.0</v>
      </c>
      <c r="I25" s="5"/>
      <c r="J25" s="5"/>
      <c r="K25" s="5"/>
      <c r="L25" s="11" t="s">
        <v>75</v>
      </c>
      <c r="M25" s="61"/>
      <c r="N25" s="28">
        <f>M25/C7*100000</f>
        <v>0</v>
      </c>
      <c r="O25" s="12"/>
      <c r="P25" s="28">
        <f>O25/D7*100000</f>
        <v>0</v>
      </c>
      <c r="Q25" s="47"/>
      <c r="R25" s="28">
        <f>Q25/E7*100000</f>
        <v>0</v>
      </c>
      <c r="S25" s="61"/>
      <c r="T25" s="28">
        <f>S25/F7*100000</f>
        <v>0</v>
      </c>
      <c r="U25" s="61"/>
      <c r="V25" s="28">
        <f>U25/G7*100000</f>
        <v>0</v>
      </c>
      <c r="W25" s="61"/>
      <c r="X25" s="28">
        <f>W25/H7*100000</f>
        <v>0</v>
      </c>
      <c r="Y25" s="13">
        <f t="shared" ref="Y25:Z25" si="32">((M25+O25+Q25+S25)/4)</f>
        <v>0</v>
      </c>
      <c r="Z25" s="13">
        <f t="shared" si="32"/>
        <v>0</v>
      </c>
      <c r="AA25" s="13">
        <f t="shared" si="3"/>
        <v>0</v>
      </c>
      <c r="AB25" s="13">
        <f t="shared" si="4"/>
        <v>0</v>
      </c>
      <c r="AC25" s="14" t="s">
        <v>48</v>
      </c>
    </row>
    <row r="26" ht="14.25" customHeight="1">
      <c r="A26" s="5"/>
      <c r="B26" s="55" t="s">
        <v>76</v>
      </c>
      <c r="C26" s="62">
        <v>2864.0</v>
      </c>
      <c r="D26" s="62">
        <v>2955.0</v>
      </c>
      <c r="E26" s="62">
        <v>3008.0</v>
      </c>
      <c r="F26" s="62">
        <v>3044.0</v>
      </c>
      <c r="G26" s="62">
        <v>3058.0</v>
      </c>
      <c r="H26" s="58">
        <v>3071.0</v>
      </c>
      <c r="I26" s="5"/>
      <c r="J26" s="5"/>
      <c r="K26" s="5"/>
      <c r="L26" s="11" t="s">
        <v>77</v>
      </c>
      <c r="M26" s="12"/>
      <c r="N26" s="13">
        <f>M26/C7*100000</f>
        <v>0</v>
      </c>
      <c r="O26" s="12"/>
      <c r="P26" s="13">
        <f>O26/D7*100000</f>
        <v>0</v>
      </c>
      <c r="Q26" s="47"/>
      <c r="R26" s="13">
        <f>Q26/E7*100000</f>
        <v>0</v>
      </c>
      <c r="S26" s="12"/>
      <c r="T26" s="13">
        <f>S26/F7*100000</f>
        <v>0</v>
      </c>
      <c r="U26" s="12"/>
      <c r="V26" s="13">
        <f>U26/G7*100000</f>
        <v>0</v>
      </c>
      <c r="W26" s="12"/>
      <c r="X26" s="13">
        <f>W26/H7*100000</f>
        <v>0</v>
      </c>
      <c r="Y26" s="13">
        <f t="shared" ref="Y26:Z26" si="33">((M26+O26+Q26+S26)/4)</f>
        <v>0</v>
      </c>
      <c r="Z26" s="13">
        <f t="shared" si="33"/>
        <v>0</v>
      </c>
      <c r="AA26" s="13">
        <f t="shared" si="3"/>
        <v>0</v>
      </c>
      <c r="AB26" s="13">
        <f t="shared" si="4"/>
        <v>0</v>
      </c>
      <c r="AC26" s="14" t="s">
        <v>22</v>
      </c>
    </row>
    <row r="27" ht="14.25" customHeight="1">
      <c r="A27" s="5"/>
      <c r="B27" s="63" t="s">
        <v>78</v>
      </c>
      <c r="C27" s="64">
        <v>1399.0</v>
      </c>
      <c r="D27" s="64">
        <v>1488.0</v>
      </c>
      <c r="E27" s="65">
        <v>1575.0</v>
      </c>
      <c r="F27" s="65">
        <v>1661.0</v>
      </c>
      <c r="G27" s="65">
        <v>1723.0</v>
      </c>
      <c r="H27" s="66">
        <v>1793.0</v>
      </c>
      <c r="I27" s="5"/>
      <c r="J27" s="5"/>
      <c r="K27" s="5"/>
      <c r="L27" s="11" t="s">
        <v>79</v>
      </c>
      <c r="M27" s="12"/>
      <c r="N27" s="13">
        <f>M27/C11*100000</f>
        <v>0</v>
      </c>
      <c r="O27" s="12"/>
      <c r="P27" s="13">
        <f>O27/D11*100000</f>
        <v>0</v>
      </c>
      <c r="Q27" s="47"/>
      <c r="R27" s="13">
        <f>Q27/E11*100000</f>
        <v>0</v>
      </c>
      <c r="S27" s="12"/>
      <c r="T27" s="13">
        <f>S27/F11*100000</f>
        <v>0</v>
      </c>
      <c r="U27" s="12"/>
      <c r="V27" s="13">
        <f>U27/G11*100000</f>
        <v>0</v>
      </c>
      <c r="W27" s="12"/>
      <c r="X27" s="13">
        <f>W27/H11*100000</f>
        <v>0</v>
      </c>
      <c r="Y27" s="13">
        <f t="shared" ref="Y27:Z27" si="34">((M27+O27+Q27+S27)/4)</f>
        <v>0</v>
      </c>
      <c r="Z27" s="13">
        <f t="shared" si="34"/>
        <v>0</v>
      </c>
      <c r="AA27" s="13">
        <f t="shared" si="3"/>
        <v>0</v>
      </c>
      <c r="AB27" s="13">
        <f t="shared" si="4"/>
        <v>0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>
        <f>M28/C11*100000</f>
        <v>0</v>
      </c>
      <c r="O28" s="12"/>
      <c r="P28" s="13">
        <f>O28/D11*100000</f>
        <v>0</v>
      </c>
      <c r="Q28" s="47"/>
      <c r="R28" s="13">
        <f>Q28/E11*100000</f>
        <v>0</v>
      </c>
      <c r="S28" s="12"/>
      <c r="T28" s="13">
        <f>S28/F11*100000</f>
        <v>0</v>
      </c>
      <c r="U28" s="12"/>
      <c r="V28" s="13">
        <f>U28/G11*100000</f>
        <v>0</v>
      </c>
      <c r="W28" s="12"/>
      <c r="X28" s="13">
        <f>W28/H11*100000</f>
        <v>0</v>
      </c>
      <c r="Y28" s="13">
        <f t="shared" ref="Y28:Z28" si="35">((M28+O28+Q28+S28)/4)</f>
        <v>0</v>
      </c>
      <c r="Z28" s="13">
        <f t="shared" si="35"/>
        <v>0</v>
      </c>
      <c r="AA28" s="13">
        <f t="shared" si="3"/>
        <v>0</v>
      </c>
      <c r="AB28" s="13">
        <f t="shared" si="4"/>
        <v>0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>
        <f>M29/C10*100000</f>
        <v>0</v>
      </c>
      <c r="O29" s="12"/>
      <c r="P29" s="13">
        <f>O29/D10*100000</f>
        <v>0</v>
      </c>
      <c r="Q29" s="47"/>
      <c r="R29" s="13">
        <f>Q29/E10*100000</f>
        <v>0</v>
      </c>
      <c r="S29" s="12"/>
      <c r="T29" s="13">
        <f>S29/F10*100000</f>
        <v>0</v>
      </c>
      <c r="U29" s="12"/>
      <c r="V29" s="13">
        <f>U29/G10*100000</f>
        <v>0</v>
      </c>
      <c r="W29" s="12"/>
      <c r="X29" s="13">
        <f>W29/H10*100000</f>
        <v>0</v>
      </c>
      <c r="Y29" s="13">
        <f t="shared" ref="Y29:Z29" si="36">((M29+O29+Q29+S29)/4)</f>
        <v>0</v>
      </c>
      <c r="Z29" s="13">
        <f t="shared" si="36"/>
        <v>0</v>
      </c>
      <c r="AA29" s="13">
        <f t="shared" si="3"/>
        <v>0</v>
      </c>
      <c r="AB29" s="13">
        <f t="shared" si="4"/>
        <v>0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>
        <f>M30/C7*100000</f>
        <v>0</v>
      </c>
      <c r="O30" s="12"/>
      <c r="P30" s="13">
        <f>O30/D7*100000</f>
        <v>0</v>
      </c>
      <c r="Q30" s="47"/>
      <c r="R30" s="13">
        <f>Q30/E7*100000</f>
        <v>0</v>
      </c>
      <c r="S30" s="12"/>
      <c r="T30" s="13">
        <f>S30/F7*100000</f>
        <v>0</v>
      </c>
      <c r="U30" s="12"/>
      <c r="V30" s="13">
        <f>U30/G7*100000</f>
        <v>0</v>
      </c>
      <c r="W30" s="12"/>
      <c r="X30" s="13">
        <f>W30/H7*100000</f>
        <v>0</v>
      </c>
      <c r="Y30" s="13">
        <f t="shared" ref="Y30:Z30" si="37">((M30+O30+Q30+S30)/4)</f>
        <v>0</v>
      </c>
      <c r="Z30" s="13">
        <f t="shared" si="37"/>
        <v>0</v>
      </c>
      <c r="AA30" s="13">
        <f t="shared" si="3"/>
        <v>0</v>
      </c>
      <c r="AB30" s="13">
        <f t="shared" si="4"/>
        <v>0</v>
      </c>
      <c r="AC30" s="14" t="s">
        <v>22</v>
      </c>
    </row>
    <row r="31" ht="14.25" customHeight="1">
      <c r="A31" s="5"/>
      <c r="B31" s="32" t="s">
        <v>84</v>
      </c>
      <c r="C31" s="31">
        <v>1831.0</v>
      </c>
      <c r="D31" s="31">
        <v>1885.0</v>
      </c>
      <c r="E31" s="31">
        <v>1924.0</v>
      </c>
      <c r="F31" s="31">
        <v>1952.0</v>
      </c>
      <c r="G31" s="31">
        <v>1932.0</v>
      </c>
      <c r="H31" s="31">
        <v>1944.0</v>
      </c>
      <c r="I31" s="5"/>
      <c r="J31" s="5"/>
      <c r="K31" s="5"/>
      <c r="L31" s="11" t="s">
        <v>85</v>
      </c>
      <c r="M31" s="12"/>
      <c r="N31" s="13">
        <f>M31/C7*100000</f>
        <v>0</v>
      </c>
      <c r="O31" s="12"/>
      <c r="P31" s="13">
        <f>O31/D7*100000</f>
        <v>0</v>
      </c>
      <c r="Q31" s="47"/>
      <c r="R31" s="13">
        <f>Q31/E7*100000</f>
        <v>0</v>
      </c>
      <c r="S31" s="12"/>
      <c r="T31" s="13">
        <f>S31/F7*100000</f>
        <v>0</v>
      </c>
      <c r="U31" s="12"/>
      <c r="V31" s="13">
        <f>U31/G7*100000</f>
        <v>0</v>
      </c>
      <c r="W31" s="12"/>
      <c r="X31" s="13">
        <f>W31/H7*100000</f>
        <v>0</v>
      </c>
      <c r="Y31" s="13">
        <f t="shared" ref="Y31:Z31" si="38">((M31+O31+Q31+S31)/4)</f>
        <v>0</v>
      </c>
      <c r="Z31" s="13">
        <f t="shared" si="38"/>
        <v>0</v>
      </c>
      <c r="AA31" s="13">
        <f t="shared" si="3"/>
        <v>0</v>
      </c>
      <c r="AB31" s="13">
        <f t="shared" si="4"/>
        <v>0</v>
      </c>
      <c r="AC31" s="14" t="s">
        <v>22</v>
      </c>
    </row>
    <row r="32" ht="14.25" customHeight="1">
      <c r="A32" s="5"/>
      <c r="B32" s="32" t="s">
        <v>86</v>
      </c>
      <c r="C32" s="31">
        <v>1580.0</v>
      </c>
      <c r="D32" s="31">
        <v>1643.0</v>
      </c>
      <c r="E32" s="31">
        <v>1698.0</v>
      </c>
      <c r="F32" s="31">
        <v>1750.0</v>
      </c>
      <c r="G32" s="31">
        <v>1809.0</v>
      </c>
      <c r="H32" s="31">
        <v>1847.0</v>
      </c>
      <c r="I32" s="5"/>
      <c r="J32" s="5"/>
      <c r="K32" s="5"/>
      <c r="L32" s="11" t="s">
        <v>87</v>
      </c>
      <c r="M32" s="61"/>
      <c r="N32" s="34">
        <f>M32/C7*100</f>
        <v>0</v>
      </c>
      <c r="O32" s="12"/>
      <c r="P32" s="34">
        <f>O32/D7*100</f>
        <v>0</v>
      </c>
      <c r="Q32" s="47"/>
      <c r="R32" s="34">
        <f>Q32/E7*100</f>
        <v>0</v>
      </c>
      <c r="S32" s="61"/>
      <c r="T32" s="34">
        <f>S32/F7*100</f>
        <v>0</v>
      </c>
      <c r="U32" s="61"/>
      <c r="V32" s="34">
        <f>U32/G7*100</f>
        <v>0</v>
      </c>
      <c r="W32" s="61"/>
      <c r="X32" s="34">
        <f>W32/H7*100</f>
        <v>0</v>
      </c>
      <c r="Y32" s="13">
        <f t="shared" ref="Y32:Z32" si="39">((M32+O32+Q32+S32)/4)</f>
        <v>0</v>
      </c>
      <c r="Z32" s="35">
        <f t="shared" si="39"/>
        <v>0</v>
      </c>
      <c r="AA32" s="13">
        <f t="shared" si="3"/>
        <v>0</v>
      </c>
      <c r="AB32" s="13">
        <f t="shared" si="4"/>
        <v>0</v>
      </c>
      <c r="AC32" s="14" t="s">
        <v>48</v>
      </c>
    </row>
    <row r="33" ht="14.25" customHeight="1">
      <c r="A33" s="5"/>
      <c r="B33" s="32" t="s">
        <v>88</v>
      </c>
      <c r="C33" s="31">
        <v>1483.0</v>
      </c>
      <c r="D33" s="31">
        <v>1519.0</v>
      </c>
      <c r="E33" s="31">
        <v>1549.0</v>
      </c>
      <c r="F33" s="31">
        <v>1582.0</v>
      </c>
      <c r="G33" s="31">
        <v>1615.0</v>
      </c>
      <c r="H33" s="31">
        <v>1642.0</v>
      </c>
      <c r="I33" s="5"/>
      <c r="J33" s="5"/>
      <c r="K33" s="5"/>
      <c r="L33" s="11" t="s">
        <v>89</v>
      </c>
      <c r="M33" s="12"/>
      <c r="N33" s="13">
        <f>M33/C7*10000</f>
        <v>0</v>
      </c>
      <c r="O33" s="12"/>
      <c r="P33" s="13">
        <f>O33/D7*10000</f>
        <v>0</v>
      </c>
      <c r="Q33" s="47"/>
      <c r="R33" s="13">
        <f>Q33/E7*10000</f>
        <v>0</v>
      </c>
      <c r="S33" s="12"/>
      <c r="T33" s="13">
        <f>S33/F7*10000</f>
        <v>0</v>
      </c>
      <c r="U33" s="12"/>
      <c r="V33" s="13">
        <f>U33/G7*10000</f>
        <v>0</v>
      </c>
      <c r="W33" s="12"/>
      <c r="X33" s="13">
        <f>W33/H7*10000</f>
        <v>0</v>
      </c>
      <c r="Y33" s="13">
        <f t="shared" ref="Y33:Z33" si="40">((M33+O33+Q33+S33)/4)</f>
        <v>0</v>
      </c>
      <c r="Z33" s="13">
        <f t="shared" si="40"/>
        <v>0</v>
      </c>
      <c r="AA33" s="13">
        <f t="shared" si="3"/>
        <v>0</v>
      </c>
      <c r="AB33" s="13">
        <f t="shared" si="4"/>
        <v>0</v>
      </c>
      <c r="AC33" s="14" t="s">
        <v>48</v>
      </c>
    </row>
    <row r="34" ht="14.25" customHeight="1">
      <c r="A34" s="5"/>
      <c r="B34" s="32" t="s">
        <v>90</v>
      </c>
      <c r="C34" s="31">
        <v>2864.0</v>
      </c>
      <c r="D34" s="31">
        <v>2955.0</v>
      </c>
      <c r="E34" s="31">
        <v>3008.0</v>
      </c>
      <c r="F34" s="31">
        <v>3044.0</v>
      </c>
      <c r="G34" s="31">
        <v>3058.0</v>
      </c>
      <c r="H34" s="31">
        <v>3071.0</v>
      </c>
      <c r="I34" s="5"/>
      <c r="J34" s="5"/>
      <c r="K34" s="5"/>
      <c r="L34" s="11" t="s">
        <v>91</v>
      </c>
      <c r="M34" s="12"/>
      <c r="N34" s="13">
        <f>M34/C7*10000</f>
        <v>0</v>
      </c>
      <c r="O34" s="12"/>
      <c r="P34" s="13">
        <f>O34/D7*10000</f>
        <v>0</v>
      </c>
      <c r="Q34" s="47"/>
      <c r="R34" s="13">
        <f>Q34/E7*10000</f>
        <v>0</v>
      </c>
      <c r="S34" s="12"/>
      <c r="T34" s="13">
        <f>S34/F7*10000</f>
        <v>0</v>
      </c>
      <c r="U34" s="12"/>
      <c r="V34" s="13">
        <f>U34/G7*10000</f>
        <v>0</v>
      </c>
      <c r="W34" s="12"/>
      <c r="X34" s="13">
        <f>W34/H7*10000</f>
        <v>0</v>
      </c>
      <c r="Y34" s="13">
        <f t="shared" ref="Y34:Z34" si="41">((M34+O34+Q34+S34)/4)</f>
        <v>0</v>
      </c>
      <c r="Z34" s="13">
        <f t="shared" si="41"/>
        <v>0</v>
      </c>
      <c r="AA34" s="13">
        <f t="shared" si="3"/>
        <v>0</v>
      </c>
      <c r="AB34" s="13">
        <f t="shared" si="4"/>
        <v>0</v>
      </c>
      <c r="AC34" s="14" t="s">
        <v>48</v>
      </c>
    </row>
    <row r="35" ht="14.25" customHeight="1">
      <c r="A35" s="5"/>
      <c r="B35" s="32" t="s">
        <v>92</v>
      </c>
      <c r="C35" s="31">
        <v>5375.0</v>
      </c>
      <c r="D35" s="31">
        <v>5619.0</v>
      </c>
      <c r="E35" s="31">
        <v>5831.0</v>
      </c>
      <c r="F35" s="31">
        <v>6038.0</v>
      </c>
      <c r="G35" s="31">
        <v>6227.0</v>
      </c>
      <c r="H35" s="31">
        <v>6367.0</v>
      </c>
      <c r="I35" s="5"/>
      <c r="J35" s="5"/>
      <c r="K35" s="5"/>
      <c r="L35" s="11" t="s">
        <v>93</v>
      </c>
      <c r="M35" s="12"/>
      <c r="N35" s="13">
        <f>M35/M4*1000</f>
        <v>0</v>
      </c>
      <c r="O35" s="12"/>
      <c r="P35" s="13">
        <f>O35/O4*1000</f>
        <v>0</v>
      </c>
      <c r="Q35" s="47"/>
      <c r="R35" s="13">
        <f>Q35/Q4*1000</f>
        <v>0</v>
      </c>
      <c r="S35" s="12"/>
      <c r="T35" s="13">
        <f>S35/S4*1000</f>
        <v>0</v>
      </c>
      <c r="U35" s="12"/>
      <c r="V35" s="13">
        <f>U35/U4*1000</f>
        <v>0</v>
      </c>
      <c r="W35" s="12"/>
      <c r="X35" s="13">
        <f>W35/W4*1000</f>
        <v>0</v>
      </c>
      <c r="Y35" s="13">
        <f t="shared" ref="Y35:Z35" si="42">((M35+O35+Q35+S35)/4)</f>
        <v>0</v>
      </c>
      <c r="Z35" s="13">
        <f t="shared" si="42"/>
        <v>0</v>
      </c>
      <c r="AA35" s="13">
        <f t="shared" si="3"/>
        <v>0</v>
      </c>
      <c r="AB35" s="13">
        <f t="shared" si="4"/>
        <v>0</v>
      </c>
      <c r="AC35" s="14" t="s">
        <v>48</v>
      </c>
    </row>
    <row r="36" ht="14.25" customHeight="1">
      <c r="A36" s="5"/>
      <c r="B36" s="32" t="s">
        <v>94</v>
      </c>
      <c r="C36" s="31">
        <v>1399.0</v>
      </c>
      <c r="D36" s="31">
        <v>1488.0</v>
      </c>
      <c r="E36" s="31">
        <v>1575.0</v>
      </c>
      <c r="F36" s="31">
        <v>1661.0</v>
      </c>
      <c r="G36" s="31">
        <v>1723.0</v>
      </c>
      <c r="H36" s="31">
        <v>1793.0</v>
      </c>
      <c r="I36" s="5"/>
      <c r="J36" s="5"/>
      <c r="K36" s="5"/>
      <c r="L36" s="11" t="s">
        <v>95</v>
      </c>
      <c r="M36" s="12"/>
      <c r="N36" s="13">
        <f>M36/M4*1000</f>
        <v>0</v>
      </c>
      <c r="O36" s="12"/>
      <c r="P36" s="13">
        <f>O36/O4*1000</f>
        <v>0</v>
      </c>
      <c r="Q36" s="47"/>
      <c r="R36" s="13">
        <f>Q36/Q4*1000</f>
        <v>0</v>
      </c>
      <c r="S36" s="12"/>
      <c r="T36" s="13">
        <f>S36/S4*1000</f>
        <v>0</v>
      </c>
      <c r="U36" s="12"/>
      <c r="V36" s="13">
        <f>U36/U4*1000</f>
        <v>0</v>
      </c>
      <c r="W36" s="12"/>
      <c r="X36" s="13">
        <f>W36/W4*1000</f>
        <v>0</v>
      </c>
      <c r="Y36" s="13">
        <f t="shared" ref="Y36:Z36" si="43">((M36+O36+Q36+S36)/4)</f>
        <v>0</v>
      </c>
      <c r="Z36" s="13">
        <f t="shared" si="43"/>
        <v>0</v>
      </c>
      <c r="AA36" s="13">
        <f t="shared" si="3"/>
        <v>0</v>
      </c>
      <c r="AB36" s="13">
        <f t="shared" si="4"/>
        <v>0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13">
        <f t="shared" ref="Y37:Z37" si="44">((M37+O37+Q37+S37)/4)</f>
        <v>0</v>
      </c>
      <c r="Z37" s="13">
        <f t="shared" si="44"/>
        <v>0</v>
      </c>
      <c r="AA37" s="13">
        <f t="shared" si="3"/>
        <v>0</v>
      </c>
      <c r="AB37" s="13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>
        <f>M38/C7*10000</f>
        <v>0</v>
      </c>
      <c r="O38" s="12"/>
      <c r="P38" s="13">
        <f>O38/E7*10000</f>
        <v>0</v>
      </c>
      <c r="Q38" s="47"/>
      <c r="R38" s="13">
        <f>Q38/E7*10000</f>
        <v>0</v>
      </c>
      <c r="S38" s="12"/>
      <c r="T38" s="13">
        <f>S38/F7*10000</f>
        <v>0</v>
      </c>
      <c r="U38" s="12"/>
      <c r="V38" s="13">
        <f>U38/G7*10000</f>
        <v>0</v>
      </c>
      <c r="W38" s="12"/>
      <c r="X38" s="13">
        <f>W38/H7*10000</f>
        <v>0</v>
      </c>
      <c r="Y38" s="13">
        <f t="shared" ref="Y38:Z38" si="45">((M38+O38+Q38+S38)/4)</f>
        <v>0</v>
      </c>
      <c r="Z38" s="13">
        <f t="shared" si="45"/>
        <v>0</v>
      </c>
      <c r="AA38" s="13">
        <f t="shared" si="3"/>
        <v>0</v>
      </c>
      <c r="AB38" s="13">
        <f t="shared" si="4"/>
        <v>0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>
        <f>M39/C17*10000</f>
        <v>0</v>
      </c>
      <c r="O39" s="12"/>
      <c r="P39" s="13">
        <f>O39/D17*10000</f>
        <v>0</v>
      </c>
      <c r="Q39" s="47"/>
      <c r="R39" s="13">
        <f>Q39/E17*100000</f>
        <v>0</v>
      </c>
      <c r="S39" s="12"/>
      <c r="T39" s="13">
        <f>S39/F17*100000</f>
        <v>0</v>
      </c>
      <c r="U39" s="12"/>
      <c r="V39" s="13">
        <f>U39/G17*100000</f>
        <v>0</v>
      </c>
      <c r="W39" s="12"/>
      <c r="X39" s="13">
        <f>W39/H17*100000</f>
        <v>0</v>
      </c>
      <c r="Y39" s="13">
        <f t="shared" ref="Y39:Z39" si="46">((M39+O39+Q39+S39)/4)</f>
        <v>0</v>
      </c>
      <c r="Z39" s="13">
        <f t="shared" si="46"/>
        <v>0</v>
      </c>
      <c r="AA39" s="13">
        <f t="shared" si="3"/>
        <v>0</v>
      </c>
      <c r="AB39" s="13">
        <f t="shared" si="4"/>
        <v>0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>
        <f>M40/C7*100000</f>
        <v>0</v>
      </c>
      <c r="O40" s="12"/>
      <c r="P40" s="13">
        <f>O40/D7*100000</f>
        <v>0</v>
      </c>
      <c r="Q40" s="47"/>
      <c r="R40" s="13">
        <f>Q40/E7*100000</f>
        <v>0</v>
      </c>
      <c r="S40" s="12"/>
      <c r="T40" s="13">
        <f>S40/F7*100000</f>
        <v>0</v>
      </c>
      <c r="U40" s="12"/>
      <c r="V40" s="13">
        <f>U40/G7*100000</f>
        <v>0</v>
      </c>
      <c r="W40" s="12"/>
      <c r="X40" s="13">
        <f>W40/H7*100000</f>
        <v>0</v>
      </c>
      <c r="Y40" s="13">
        <f t="shared" ref="Y40:Z40" si="47">((M40+O40+Q40+S40)/4)</f>
        <v>0</v>
      </c>
      <c r="Z40" s="13">
        <f t="shared" si="47"/>
        <v>0</v>
      </c>
      <c r="AA40" s="13">
        <f t="shared" si="3"/>
        <v>0</v>
      </c>
      <c r="AB40" s="13">
        <f t="shared" si="4"/>
        <v>0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>
        <f>M41/C7*10000</f>
        <v>0</v>
      </c>
      <c r="O41" s="12"/>
      <c r="P41" s="28">
        <f>O41/D7*10000</f>
        <v>0</v>
      </c>
      <c r="Q41" s="47"/>
      <c r="R41" s="28">
        <f>Q41/E7*10000</f>
        <v>0</v>
      </c>
      <c r="S41" s="61"/>
      <c r="T41" s="28">
        <f>S41/F7*10000</f>
        <v>0</v>
      </c>
      <c r="U41" s="61"/>
      <c r="V41" s="28">
        <f>U41/G7*10000</f>
        <v>0</v>
      </c>
      <c r="W41" s="61"/>
      <c r="X41" s="28">
        <f>W41/H7*10000</f>
        <v>0</v>
      </c>
      <c r="Y41" s="13">
        <f t="shared" ref="Y41:Z41" si="48">((M41+O41+Q41+S41)/4)</f>
        <v>0</v>
      </c>
      <c r="Z41" s="13">
        <f t="shared" si="48"/>
        <v>0</v>
      </c>
      <c r="AA41" s="13">
        <f t="shared" si="3"/>
        <v>0</v>
      </c>
      <c r="AB41" s="13">
        <f t="shared" si="4"/>
        <v>0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>
        <f>M42/C7*10000</f>
        <v>0</v>
      </c>
      <c r="O42" s="12"/>
      <c r="P42" s="28">
        <f>O42/D7*10000</f>
        <v>0</v>
      </c>
      <c r="Q42" s="47"/>
      <c r="R42" s="28">
        <f>Q42/E7*10000</f>
        <v>0</v>
      </c>
      <c r="S42" s="61"/>
      <c r="T42" s="28">
        <f>S42/F7*10000</f>
        <v>0</v>
      </c>
      <c r="U42" s="61"/>
      <c r="V42" s="28">
        <f>U42/G7*10000</f>
        <v>0</v>
      </c>
      <c r="W42" s="61"/>
      <c r="X42" s="28">
        <f>W42/H7*10000</f>
        <v>0</v>
      </c>
      <c r="Y42" s="13">
        <f t="shared" ref="Y42:Z42" si="49">((M42+O42+Q42+S42)/4)</f>
        <v>0</v>
      </c>
      <c r="Z42" s="13">
        <f t="shared" si="49"/>
        <v>0</v>
      </c>
      <c r="AA42" s="13">
        <f t="shared" si="3"/>
        <v>0</v>
      </c>
      <c r="AB42" s="13">
        <f t="shared" si="4"/>
        <v>0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>
        <f>M43/C16*10000</f>
        <v>0</v>
      </c>
      <c r="O43" s="12"/>
      <c r="P43" s="28">
        <f>O43/D16*10000</f>
        <v>0</v>
      </c>
      <c r="Q43" s="47"/>
      <c r="R43" s="28">
        <f>Q43/E16*100000</f>
        <v>0</v>
      </c>
      <c r="S43" s="61"/>
      <c r="T43" s="28">
        <f>S43/F16*100000</f>
        <v>0</v>
      </c>
      <c r="U43" s="61"/>
      <c r="V43" s="28">
        <f>U43/G16*100000</f>
        <v>0</v>
      </c>
      <c r="W43" s="61"/>
      <c r="X43" s="28">
        <f>W43/H16*100000</f>
        <v>0</v>
      </c>
      <c r="Y43" s="13">
        <f t="shared" ref="Y43:Z43" si="50">((M43+O43+Q43+S43)/4)</f>
        <v>0</v>
      </c>
      <c r="Z43" s="13">
        <f t="shared" si="50"/>
        <v>0</v>
      </c>
      <c r="AA43" s="13">
        <f t="shared" si="3"/>
        <v>0</v>
      </c>
      <c r="AB43" s="13">
        <f t="shared" si="4"/>
        <v>0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>
        <f>M44/C7*100000</f>
        <v>0</v>
      </c>
      <c r="O44" s="12"/>
      <c r="P44" s="28">
        <f>O44/D7*100000</f>
        <v>0</v>
      </c>
      <c r="Q44" s="12"/>
      <c r="R44" s="13">
        <f>Q44/E7*100000</f>
        <v>0</v>
      </c>
      <c r="S44" s="12"/>
      <c r="T44" s="13">
        <f>S44/F7*100000</f>
        <v>0</v>
      </c>
      <c r="U44" s="12"/>
      <c r="V44" s="13">
        <f>U44/G7*100000</f>
        <v>0</v>
      </c>
      <c r="W44" s="12"/>
      <c r="X44" s="13">
        <f>W44/H7*100000</f>
        <v>0</v>
      </c>
      <c r="Y44" s="13">
        <f t="shared" ref="Y44:Z44" si="51">((M44+O44+Q44+S44)/4)</f>
        <v>0</v>
      </c>
      <c r="Z44" s="13">
        <f t="shared" si="51"/>
        <v>0</v>
      </c>
      <c r="AA44" s="13">
        <f t="shared" si="3"/>
        <v>0</v>
      </c>
      <c r="AB44" s="13">
        <f t="shared" si="4"/>
        <v>0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>
        <f>M45/M4*100</f>
        <v>0</v>
      </c>
      <c r="O45" s="12"/>
      <c r="P45" s="28">
        <f>O45/O4*100</f>
        <v>0</v>
      </c>
      <c r="Q45" s="12"/>
      <c r="R45" s="13">
        <f>Q45/Q4*100</f>
        <v>0</v>
      </c>
      <c r="S45" s="12"/>
      <c r="T45" s="13">
        <f>S45/S4*100</f>
        <v>0</v>
      </c>
      <c r="U45" s="12"/>
      <c r="V45" s="13">
        <f>U45/U4*100</f>
        <v>0</v>
      </c>
      <c r="W45" s="12"/>
      <c r="X45" s="13">
        <f>W45/W4*100</f>
        <v>0</v>
      </c>
      <c r="Y45" s="13">
        <f t="shared" ref="Y45:Z45" si="52">((M45+O45+Q45+S45)/4)</f>
        <v>0</v>
      </c>
      <c r="Z45" s="13">
        <f t="shared" si="52"/>
        <v>0</v>
      </c>
      <c r="AA45" s="13">
        <f t="shared" si="3"/>
        <v>0</v>
      </c>
      <c r="AB45" s="13">
        <f t="shared" si="4"/>
        <v>0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>
        <f>M46/M4*100</f>
        <v>0</v>
      </c>
      <c r="O46" s="12"/>
      <c r="P46" s="28">
        <f>O46/O4*100</f>
        <v>0</v>
      </c>
      <c r="Q46" s="12"/>
      <c r="R46" s="13">
        <f>Q46/Q4*100</f>
        <v>0</v>
      </c>
      <c r="S46" s="12"/>
      <c r="T46" s="13">
        <f>S46/S4*100</f>
        <v>0</v>
      </c>
      <c r="U46" s="12"/>
      <c r="V46" s="13">
        <f>U46/U4*100</f>
        <v>0</v>
      </c>
      <c r="W46" s="12"/>
      <c r="X46" s="13">
        <f>W46/W4*100</f>
        <v>0</v>
      </c>
      <c r="Y46" s="13">
        <f t="shared" ref="Y46:Z46" si="53">((M46+O46+Q46+S46)/4)</f>
        <v>0</v>
      </c>
      <c r="Z46" s="13">
        <f t="shared" si="53"/>
        <v>0</v>
      </c>
      <c r="AA46" s="13">
        <f t="shared" si="3"/>
        <v>0</v>
      </c>
      <c r="AB46" s="13">
        <f t="shared" si="4"/>
        <v>0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>
        <f>M47/C7*100000</f>
        <v>0</v>
      </c>
      <c r="O47" s="47"/>
      <c r="P47" s="13">
        <f>O47/D7*100000</f>
        <v>0</v>
      </c>
      <c r="Q47" s="47"/>
      <c r="R47" s="13">
        <f>Q47/E7*100000</f>
        <v>0</v>
      </c>
      <c r="S47" s="12"/>
      <c r="T47" s="13">
        <f>S47/F7*100000</f>
        <v>0</v>
      </c>
      <c r="U47" s="12"/>
      <c r="V47" s="13">
        <f>U47/G7*100000</f>
        <v>0</v>
      </c>
      <c r="W47" s="12"/>
      <c r="X47" s="13">
        <f>W47/H7*100000</f>
        <v>0</v>
      </c>
      <c r="Y47" s="13">
        <f t="shared" ref="Y47:Z47" si="54">((M47+O47+Q47+S47)/4)</f>
        <v>0</v>
      </c>
      <c r="Z47" s="13">
        <f t="shared" si="54"/>
        <v>0</v>
      </c>
      <c r="AA47" s="13">
        <f t="shared" si="3"/>
        <v>0</v>
      </c>
      <c r="AB47" s="13">
        <f t="shared" si="4"/>
        <v>0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>
        <f>M48/C7*100000</f>
        <v>0</v>
      </c>
      <c r="O48" s="12"/>
      <c r="P48" s="13">
        <f>O48/D7*100000</f>
        <v>0</v>
      </c>
      <c r="Q48" s="47"/>
      <c r="R48" s="13">
        <f>Q48/E7*100000</f>
        <v>0</v>
      </c>
      <c r="S48" s="12"/>
      <c r="T48" s="13">
        <f>S48/F7*100000</f>
        <v>0</v>
      </c>
      <c r="U48" s="12"/>
      <c r="V48" s="13">
        <f>U48/G7*100000</f>
        <v>0</v>
      </c>
      <c r="W48" s="12"/>
      <c r="X48" s="13">
        <f>W48/H7*100000</f>
        <v>0</v>
      </c>
      <c r="Y48" s="13">
        <f t="shared" ref="Y48:Z48" si="55">((M48+O48+Q48+S48)/4)</f>
        <v>0</v>
      </c>
      <c r="Z48" s="13">
        <f t="shared" si="55"/>
        <v>0</v>
      </c>
      <c r="AA48" s="13">
        <f t="shared" si="3"/>
        <v>0</v>
      </c>
      <c r="AB48" s="13">
        <f t="shared" si="4"/>
        <v>0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>
        <f>M49/C7*100000</f>
        <v>0</v>
      </c>
      <c r="O49" s="12"/>
      <c r="P49" s="13">
        <f>O49/D7*100000</f>
        <v>0</v>
      </c>
      <c r="Q49" s="47"/>
      <c r="R49" s="13">
        <f>Q49/E7*100000</f>
        <v>0</v>
      </c>
      <c r="S49" s="12"/>
      <c r="T49" s="13">
        <f>S49/F7*100000</f>
        <v>0</v>
      </c>
      <c r="U49" s="12"/>
      <c r="V49" s="13">
        <f>U49/G7*100000</f>
        <v>0</v>
      </c>
      <c r="W49" s="12"/>
      <c r="X49" s="13">
        <f>W49/H7*100000</f>
        <v>0</v>
      </c>
      <c r="Y49" s="13">
        <f t="shared" ref="Y49:Z49" si="56">((M49+O49+Q49+S49)/4)</f>
        <v>0</v>
      </c>
      <c r="Z49" s="13">
        <f t="shared" si="56"/>
        <v>0</v>
      </c>
      <c r="AA49" s="13">
        <f t="shared" si="3"/>
        <v>0</v>
      </c>
      <c r="AB49" s="13">
        <f t="shared" si="4"/>
        <v>0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>
        <f>M50/C7*100000</f>
        <v>0</v>
      </c>
      <c r="O50" s="47"/>
      <c r="P50" s="13">
        <f>O50/D7*100000</f>
        <v>0</v>
      </c>
      <c r="Q50" s="47"/>
      <c r="R50" s="13">
        <f>Q50/E7*100000</f>
        <v>0</v>
      </c>
      <c r="S50" s="12"/>
      <c r="T50" s="13">
        <f>S50/F7*100000</f>
        <v>0</v>
      </c>
      <c r="U50" s="12"/>
      <c r="V50" s="13">
        <f>U50/G7*100000</f>
        <v>0</v>
      </c>
      <c r="W50" s="12"/>
      <c r="X50" s="13">
        <f>W50/H7*100000</f>
        <v>0</v>
      </c>
      <c r="Y50" s="13">
        <f t="shared" ref="Y50:Z50" si="57">((M50+O50+Q50+S50)/4)</f>
        <v>0</v>
      </c>
      <c r="Z50" s="13">
        <f t="shared" si="57"/>
        <v>0</v>
      </c>
      <c r="AA50" s="13">
        <f t="shared" si="3"/>
        <v>0</v>
      </c>
      <c r="AB50" s="13">
        <f t="shared" si="4"/>
        <v>0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>
        <f>M51/C7*100000</f>
        <v>0</v>
      </c>
      <c r="O51" s="47"/>
      <c r="P51" s="13">
        <f>O51/D7*100000</f>
        <v>0</v>
      </c>
      <c r="Q51" s="47"/>
      <c r="R51" s="13">
        <f>Q51/E7*100000</f>
        <v>0</v>
      </c>
      <c r="S51" s="12"/>
      <c r="T51" s="13">
        <f>S51/F7*100000</f>
        <v>0</v>
      </c>
      <c r="U51" s="12"/>
      <c r="V51" s="13">
        <f>U51/G7*100000</f>
        <v>0</v>
      </c>
      <c r="W51" s="12"/>
      <c r="X51" s="13">
        <f>W51/H7*100000</f>
        <v>0</v>
      </c>
      <c r="Y51" s="13">
        <f t="shared" ref="Y51:Z51" si="58">((M51+O51+Q51+S51)/4)</f>
        <v>0</v>
      </c>
      <c r="Z51" s="13">
        <f t="shared" si="58"/>
        <v>0</v>
      </c>
      <c r="AA51" s="13">
        <f t="shared" si="3"/>
        <v>0</v>
      </c>
      <c r="AB51" s="13">
        <f t="shared" si="4"/>
        <v>0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>
        <f>M52/C7*100000</f>
        <v>0</v>
      </c>
      <c r="O52" s="47"/>
      <c r="P52" s="13">
        <f>O52/D7*100000</f>
        <v>0</v>
      </c>
      <c r="Q52" s="47"/>
      <c r="R52" s="13">
        <f>Q52/E7*100000</f>
        <v>0</v>
      </c>
      <c r="S52" s="12"/>
      <c r="T52" s="13">
        <f>S52/F7*100000</f>
        <v>0</v>
      </c>
      <c r="U52" s="12"/>
      <c r="V52" s="13">
        <f>U52/G7*100000</f>
        <v>0</v>
      </c>
      <c r="W52" s="12"/>
      <c r="X52" s="13">
        <f>W52/H7*100000</f>
        <v>0</v>
      </c>
      <c r="Y52" s="13">
        <f t="shared" ref="Y52:Z52" si="59">((M52+O52+Q52+S52)/4)</f>
        <v>0</v>
      </c>
      <c r="Z52" s="13">
        <f t="shared" si="59"/>
        <v>0</v>
      </c>
      <c r="AA52" s="13">
        <f t="shared" si="3"/>
        <v>0</v>
      </c>
      <c r="AB52" s="13">
        <f t="shared" si="4"/>
        <v>0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>
        <f>M53/C17*100000</f>
        <v>0</v>
      </c>
      <c r="O53" s="47"/>
      <c r="P53" s="13">
        <f>O53/D17*100000</f>
        <v>0</v>
      </c>
      <c r="Q53" s="47"/>
      <c r="R53" s="13">
        <f>Q53/E17*100000</f>
        <v>0</v>
      </c>
      <c r="S53" s="12"/>
      <c r="T53" s="13">
        <f>S53/F17*100000</f>
        <v>0</v>
      </c>
      <c r="U53" s="12"/>
      <c r="V53" s="13">
        <f>U53/G17*100000</f>
        <v>0</v>
      </c>
      <c r="W53" s="12"/>
      <c r="X53" s="13">
        <f>W53/H17*100000</f>
        <v>0</v>
      </c>
      <c r="Y53" s="13">
        <f t="shared" ref="Y53:Z53" si="60">((M53+O53+Q53+S53)/4)</f>
        <v>0</v>
      </c>
      <c r="Z53" s="13">
        <f t="shared" si="60"/>
        <v>0</v>
      </c>
      <c r="AA53" s="13">
        <f t="shared" si="3"/>
        <v>0</v>
      </c>
      <c r="AB53" s="13">
        <f t="shared" si="4"/>
        <v>0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>
        <f>M54/C19*100000</f>
        <v>0</v>
      </c>
      <c r="O54" s="47"/>
      <c r="P54" s="13">
        <f>O54/D19*100000</f>
        <v>0</v>
      </c>
      <c r="Q54" s="47"/>
      <c r="R54" s="13">
        <f>Q54/E19*100000</f>
        <v>0</v>
      </c>
      <c r="S54" s="12"/>
      <c r="T54" s="13">
        <f>S54/F19*100000</f>
        <v>0</v>
      </c>
      <c r="U54" s="12"/>
      <c r="V54" s="13">
        <f>U54/G19*100000</f>
        <v>0</v>
      </c>
      <c r="W54" s="12"/>
      <c r="X54" s="13">
        <f>W54/H19*100000</f>
        <v>0</v>
      </c>
      <c r="Y54" s="13">
        <f t="shared" ref="Y54:Z54" si="61">((M54+O54+Q54+S54)/4)</f>
        <v>0</v>
      </c>
      <c r="Z54" s="13">
        <f t="shared" si="61"/>
        <v>0</v>
      </c>
      <c r="AA54" s="13">
        <f t="shared" si="3"/>
        <v>0</v>
      </c>
      <c r="AB54" s="13">
        <f t="shared" si="4"/>
        <v>0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>
        <f>M55/C19*100000</f>
        <v>0</v>
      </c>
      <c r="O55" s="47"/>
      <c r="P55" s="13">
        <f>O55/D19*100000</f>
        <v>0</v>
      </c>
      <c r="Q55" s="47"/>
      <c r="R55" s="13">
        <f>Q55/E19*100000</f>
        <v>0</v>
      </c>
      <c r="S55" s="12"/>
      <c r="T55" s="13">
        <f>S55/F19*100000</f>
        <v>0</v>
      </c>
      <c r="U55" s="12"/>
      <c r="V55" s="13">
        <f>U55/G19*100000</f>
        <v>0</v>
      </c>
      <c r="W55" s="12"/>
      <c r="X55" s="13">
        <f>W55/H19*100000</f>
        <v>0</v>
      </c>
      <c r="Y55" s="13">
        <f t="shared" ref="Y55:Z55" si="62">((M55+O55+Q55+S55)/4)</f>
        <v>0</v>
      </c>
      <c r="Z55" s="13">
        <f t="shared" si="62"/>
        <v>0</v>
      </c>
      <c r="AA55" s="13">
        <f t="shared" si="3"/>
        <v>0</v>
      </c>
      <c r="AB55" s="13">
        <f t="shared" si="4"/>
        <v>0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>
        <f>M56/C7*100000</f>
        <v>0</v>
      </c>
      <c r="O56" s="47"/>
      <c r="P56" s="13">
        <f>O56/D7*100000</f>
        <v>0</v>
      </c>
      <c r="Q56" s="47"/>
      <c r="R56" s="13">
        <f>Q56/E7*100000</f>
        <v>0</v>
      </c>
      <c r="S56" s="12"/>
      <c r="T56" s="13">
        <f>S56/F7*100000</f>
        <v>0</v>
      </c>
      <c r="U56" s="12"/>
      <c r="V56" s="13">
        <f>U56/G7*100000</f>
        <v>0</v>
      </c>
      <c r="W56" s="12"/>
      <c r="X56" s="13">
        <f>W56/H7*100000</f>
        <v>0</v>
      </c>
      <c r="Y56" s="13">
        <f t="shared" ref="Y56:Z56" si="63">((M56+O56+Q56+S56)/4)</f>
        <v>0</v>
      </c>
      <c r="Z56" s="13">
        <f t="shared" si="63"/>
        <v>0</v>
      </c>
      <c r="AA56" s="13">
        <f t="shared" si="3"/>
        <v>0</v>
      </c>
      <c r="AB56" s="13">
        <f t="shared" si="4"/>
        <v>0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>
        <f>M57/M4*100000</f>
        <v>0</v>
      </c>
      <c r="O57" s="47"/>
      <c r="P57" s="13">
        <f>O57/O4*100000</f>
        <v>0</v>
      </c>
      <c r="Q57" s="47"/>
      <c r="R57" s="13">
        <f>Q57/Q4*100000</f>
        <v>0</v>
      </c>
      <c r="S57" s="12"/>
      <c r="T57" s="13">
        <f>S57/S4*100000</f>
        <v>0</v>
      </c>
      <c r="U57" s="12"/>
      <c r="V57" s="13">
        <f>U57/U4*100000</f>
        <v>0</v>
      </c>
      <c r="W57" s="12"/>
      <c r="X57" s="13">
        <f>W57/W4*100000</f>
        <v>0</v>
      </c>
      <c r="Y57" s="13">
        <f t="shared" ref="Y57:Z57" si="64">((M57+O57+Q57+S57)/4)</f>
        <v>0</v>
      </c>
      <c r="Z57" s="13">
        <f t="shared" si="64"/>
        <v>0</v>
      </c>
      <c r="AA57" s="13">
        <f t="shared" si="3"/>
        <v>0</v>
      </c>
      <c r="AB57" s="13">
        <f t="shared" si="4"/>
        <v>0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>
        <f>M58/C7*100000</f>
        <v>0</v>
      </c>
      <c r="O58" s="71"/>
      <c r="P58" s="28">
        <f>O58/D7*100000</f>
        <v>0</v>
      </c>
      <c r="Q58" s="71"/>
      <c r="R58" s="28">
        <f>Q58/E7*100000</f>
        <v>0</v>
      </c>
      <c r="S58" s="61"/>
      <c r="T58" s="28">
        <f>S58/F7*100000</f>
        <v>0</v>
      </c>
      <c r="U58" s="61"/>
      <c r="V58" s="28">
        <f>U58/G7*100000</f>
        <v>0</v>
      </c>
      <c r="W58" s="61"/>
      <c r="X58" s="28">
        <f>W58/H7*100000</f>
        <v>0</v>
      </c>
      <c r="Y58" s="13">
        <f t="shared" ref="Y58:Z58" si="65">((M58+O58+Q58+S58)/4)</f>
        <v>0</v>
      </c>
      <c r="Z58" s="13">
        <f t="shared" si="65"/>
        <v>0</v>
      </c>
      <c r="AA58" s="13">
        <f t="shared" si="3"/>
        <v>0</v>
      </c>
      <c r="AB58" s="13">
        <f t="shared" si="4"/>
        <v>0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>
        <f>M59/C7*100000</f>
        <v>0</v>
      </c>
      <c r="O59" s="71"/>
      <c r="P59" s="28">
        <f>O59/D7*100000</f>
        <v>0</v>
      </c>
      <c r="Q59" s="71"/>
      <c r="R59" s="28">
        <f>Q59/E7*100000</f>
        <v>0</v>
      </c>
      <c r="S59" s="76"/>
      <c r="T59" s="39">
        <f>S59/F7*100000</f>
        <v>0</v>
      </c>
      <c r="U59" s="76"/>
      <c r="V59" s="39">
        <f>U59/G7*100000</f>
        <v>0</v>
      </c>
      <c r="W59" s="76"/>
      <c r="X59" s="39">
        <f>W59/H7*100000</f>
        <v>0</v>
      </c>
      <c r="Y59" s="40">
        <f t="shared" ref="Y59:Z59" si="66">((M59+O59+Q59+S59)/4)</f>
        <v>0</v>
      </c>
      <c r="Z59" s="40">
        <f t="shared" si="66"/>
        <v>0</v>
      </c>
      <c r="AA59" s="13">
        <f t="shared" si="3"/>
        <v>0</v>
      </c>
      <c r="AB59" s="13">
        <f t="shared" si="4"/>
        <v>0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>
        <f>M60/C17*100000</f>
        <v>0</v>
      </c>
      <c r="O60" s="71"/>
      <c r="P60" s="28">
        <f>O60/D17*100000</f>
        <v>0</v>
      </c>
      <c r="Q60" s="71"/>
      <c r="R60" s="28">
        <f>Q60/E17*100000</f>
        <v>0</v>
      </c>
      <c r="S60" s="61"/>
      <c r="T60" s="28">
        <f>S60/F17*100000</f>
        <v>0</v>
      </c>
      <c r="U60" s="61"/>
      <c r="V60" s="28">
        <f>U60/G17*100000</f>
        <v>0</v>
      </c>
      <c r="W60" s="61"/>
      <c r="X60" s="28">
        <f>W60/H17*100000</f>
        <v>0</v>
      </c>
      <c r="Y60" s="40">
        <f>((M60+O60+Q60+S60)/4)</f>
        <v>0</v>
      </c>
      <c r="Z60" s="40">
        <f>((N60+P60+R60+T60)/1)</f>
        <v>0</v>
      </c>
      <c r="AA60" s="13">
        <f t="shared" si="3"/>
        <v>0</v>
      </c>
      <c r="AB60" s="13">
        <f t="shared" si="4"/>
        <v>0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>
        <f>M61/C15*1000</f>
        <v>0</v>
      </c>
      <c r="O61" s="71"/>
      <c r="P61" s="28">
        <f>O61/D15*1000</f>
        <v>0</v>
      </c>
      <c r="Q61" s="71"/>
      <c r="R61" s="28">
        <f>Q61/E15*1000</f>
        <v>0</v>
      </c>
      <c r="S61" s="61"/>
      <c r="T61" s="28">
        <f>S61/F15*1000</f>
        <v>0</v>
      </c>
      <c r="U61" s="61"/>
      <c r="V61" s="28">
        <f>U61/G15*1000</f>
        <v>0</v>
      </c>
      <c r="W61" s="61"/>
      <c r="X61" s="28">
        <f>W61/H23*1000</f>
        <v>0</v>
      </c>
      <c r="Y61" s="40">
        <f t="shared" ref="Y61:Z61" si="67">((M61+O61+Q61+S61)/1)</f>
        <v>0</v>
      </c>
      <c r="Z61" s="40">
        <f t="shared" si="67"/>
        <v>0</v>
      </c>
      <c r="AA61" s="13">
        <f t="shared" si="3"/>
        <v>0</v>
      </c>
      <c r="AB61" s="13">
        <f t="shared" si="4"/>
        <v>0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>
        <f>M62/C15*1000</f>
        <v>0</v>
      </c>
      <c r="O62" s="71"/>
      <c r="P62" s="28">
        <f>O62/D15*1000</f>
        <v>0</v>
      </c>
      <c r="Q62" s="71"/>
      <c r="R62" s="28">
        <f>Q62/E15*1000</f>
        <v>0</v>
      </c>
      <c r="S62" s="61"/>
      <c r="T62" s="28">
        <f>S62/F15*1000</f>
        <v>0</v>
      </c>
      <c r="U62" s="61"/>
      <c r="V62" s="28">
        <f>U62/G15*1000</f>
        <v>0</v>
      </c>
      <c r="W62" s="61"/>
      <c r="X62" s="28">
        <f>W62/H15*1000</f>
        <v>0</v>
      </c>
      <c r="Y62" s="40">
        <f t="shared" ref="Y62:Z62" si="68">((M62+O62+Q62+S62)/1)</f>
        <v>0</v>
      </c>
      <c r="Z62" s="40">
        <f t="shared" si="68"/>
        <v>0</v>
      </c>
      <c r="AA62" s="13">
        <f t="shared" si="3"/>
        <v>0</v>
      </c>
      <c r="AB62" s="13">
        <f t="shared" si="4"/>
        <v>0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>
        <f>M63/C17*100000</f>
        <v>0</v>
      </c>
      <c r="O63" s="71"/>
      <c r="P63" s="28">
        <f>O63/D17*100000</f>
        <v>0</v>
      </c>
      <c r="Q63" s="71"/>
      <c r="R63" s="28">
        <f>Q63/E17*100000</f>
        <v>0</v>
      </c>
      <c r="S63" s="61"/>
      <c r="T63" s="28">
        <f>S63/F17*100000</f>
        <v>0</v>
      </c>
      <c r="U63" s="61"/>
      <c r="V63" s="28">
        <f>U63/G17*100000</f>
        <v>0</v>
      </c>
      <c r="W63" s="61"/>
      <c r="X63" s="28">
        <f>W63/H17*100000</f>
        <v>0</v>
      </c>
      <c r="Y63" s="40">
        <f t="shared" ref="Y63:Z63" si="69">((M63+O63+Q63+S63)/1)</f>
        <v>0</v>
      </c>
      <c r="Z63" s="40">
        <f t="shared" si="69"/>
        <v>0</v>
      </c>
      <c r="AA63" s="13">
        <f t="shared" si="3"/>
        <v>0</v>
      </c>
      <c r="AB63" s="13">
        <f t="shared" si="4"/>
        <v>0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>
        <f>M64/C17*100000</f>
        <v>0</v>
      </c>
      <c r="O64" s="71"/>
      <c r="P64" s="28">
        <f>O64/D17*100000</f>
        <v>0</v>
      </c>
      <c r="Q64" s="71"/>
      <c r="R64" s="28">
        <f>Q64/E17*100000</f>
        <v>0</v>
      </c>
      <c r="S64" s="61"/>
      <c r="T64" s="28">
        <f>S64/F17*100000</f>
        <v>0</v>
      </c>
      <c r="U64" s="28"/>
      <c r="V64" s="28">
        <f>U64/G17*100000</f>
        <v>0</v>
      </c>
      <c r="W64" s="61"/>
      <c r="X64" s="28">
        <f>W64/H17*100000</f>
        <v>0</v>
      </c>
      <c r="Y64" s="40">
        <f t="shared" ref="Y64:Z64" si="70">((M64+O64+Q64+S64)/1)</f>
        <v>0</v>
      </c>
      <c r="Z64" s="40">
        <f t="shared" si="70"/>
        <v>0</v>
      </c>
      <c r="AA64" s="13">
        <f t="shared" si="3"/>
        <v>0</v>
      </c>
      <c r="AB64" s="13">
        <f t="shared" si="4"/>
        <v>0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>
        <f>M65/C17*100000</f>
        <v>0</v>
      </c>
      <c r="O65" s="71"/>
      <c r="P65" s="28">
        <f>O65/D17*100000</f>
        <v>0</v>
      </c>
      <c r="Q65" s="71"/>
      <c r="R65" s="28">
        <f>Q65/E17*100000</f>
        <v>0</v>
      </c>
      <c r="S65" s="71"/>
      <c r="T65" s="28">
        <f>S65/F17*100000</f>
        <v>0</v>
      </c>
      <c r="U65" s="71"/>
      <c r="V65" s="28">
        <f>U65/G17*100000</f>
        <v>0</v>
      </c>
      <c r="W65" s="61"/>
      <c r="X65" s="28">
        <f>W65/H17*100000</f>
        <v>0</v>
      </c>
      <c r="Y65" s="40">
        <f t="shared" ref="Y65:Z65" si="71">((M65+O65+Q65+S65)/1)</f>
        <v>0</v>
      </c>
      <c r="Z65" s="40">
        <f t="shared" si="71"/>
        <v>0</v>
      </c>
      <c r="AA65" s="13">
        <f t="shared" si="3"/>
        <v>0</v>
      </c>
      <c r="AB65" s="13">
        <f t="shared" si="4"/>
        <v>0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>
        <f>M66/C17*100000</f>
        <v>0</v>
      </c>
      <c r="O66" s="71"/>
      <c r="P66" s="28">
        <f>O66/D17*100000</f>
        <v>0</v>
      </c>
      <c r="Q66" s="71"/>
      <c r="R66" s="28">
        <f>Q66/E17*100000</f>
        <v>0</v>
      </c>
      <c r="S66" s="71"/>
      <c r="T66" s="28">
        <f>S66/F17*100000</f>
        <v>0</v>
      </c>
      <c r="U66" s="71"/>
      <c r="V66" s="28">
        <f>U66/G17*100000</f>
        <v>0</v>
      </c>
      <c r="W66" s="61"/>
      <c r="X66" s="28">
        <f>W66/H17*100000</f>
        <v>0</v>
      </c>
      <c r="Y66" s="40">
        <f t="shared" ref="Y66:Z66" si="72">((M66+O66+Q66+S66)/1)</f>
        <v>0</v>
      </c>
      <c r="Z66" s="40">
        <f t="shared" si="72"/>
        <v>0</v>
      </c>
      <c r="AA66" s="13">
        <f t="shared" si="3"/>
        <v>0</v>
      </c>
      <c r="AB66" s="13">
        <f t="shared" si="4"/>
        <v>0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>
        <f>M67/C17*100000</f>
        <v>0</v>
      </c>
      <c r="O67" s="71"/>
      <c r="P67" s="28">
        <f>O67/D17*100000</f>
        <v>0</v>
      </c>
      <c r="Q67" s="71"/>
      <c r="R67" s="28">
        <f>Q67/E17*100000</f>
        <v>0</v>
      </c>
      <c r="S67" s="71"/>
      <c r="T67" s="28">
        <f>S67/F17*100000</f>
        <v>0</v>
      </c>
      <c r="U67" s="71"/>
      <c r="V67" s="28">
        <f>U67/G17*100000</f>
        <v>0</v>
      </c>
      <c r="W67" s="61"/>
      <c r="X67" s="28">
        <f>W67/H17*100000</f>
        <v>0</v>
      </c>
      <c r="Y67" s="40">
        <f t="shared" ref="Y67:Z67" si="73">((M67+O67+Q67+S67)/1)</f>
        <v>0</v>
      </c>
      <c r="Z67" s="40">
        <f t="shared" si="73"/>
        <v>0</v>
      </c>
      <c r="AA67" s="13">
        <f t="shared" si="3"/>
        <v>0</v>
      </c>
      <c r="AB67" s="13">
        <f t="shared" si="4"/>
        <v>0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>
        <f>M68/C11*100000</f>
        <v>0</v>
      </c>
      <c r="O68" s="71"/>
      <c r="P68" s="28">
        <f>O68/D11*100000</f>
        <v>0</v>
      </c>
      <c r="Q68" s="71"/>
      <c r="R68" s="28">
        <f>Q68/E11*100000</f>
        <v>0</v>
      </c>
      <c r="S68" s="71"/>
      <c r="T68" s="28">
        <f>S68/F11*100000</f>
        <v>0</v>
      </c>
      <c r="U68" s="71"/>
      <c r="V68" s="28">
        <f>U68/G11*100000</f>
        <v>0</v>
      </c>
      <c r="W68" s="61"/>
      <c r="X68" s="28">
        <f>W68/H11*100000</f>
        <v>0</v>
      </c>
      <c r="Y68" s="40">
        <f t="shared" ref="Y68:Z68" si="74">((M68+O68+Q68+S68)/2)</f>
        <v>0</v>
      </c>
      <c r="Z68" s="40">
        <f t="shared" si="74"/>
        <v>0</v>
      </c>
      <c r="AA68" s="13">
        <f t="shared" si="3"/>
        <v>0</v>
      </c>
      <c r="AB68" s="13">
        <f t="shared" si="4"/>
        <v>0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>
        <f>M69/C11*100000</f>
        <v>0</v>
      </c>
      <c r="O69" s="71"/>
      <c r="P69" s="28">
        <f>O69/D11*100000</f>
        <v>0</v>
      </c>
      <c r="Q69" s="71"/>
      <c r="R69" s="28">
        <f>Q69/E11*100000</f>
        <v>0</v>
      </c>
      <c r="S69" s="71"/>
      <c r="T69" s="28">
        <f>S69/F11*100000</f>
        <v>0</v>
      </c>
      <c r="U69" s="71"/>
      <c r="V69" s="28">
        <f>U69/G11*100000</f>
        <v>0</v>
      </c>
      <c r="W69" s="61"/>
      <c r="X69" s="28">
        <f>W69/H11*100000</f>
        <v>0</v>
      </c>
      <c r="Y69" s="13">
        <f t="shared" ref="Y69:Z69" si="75">((M69+O69+Q69+S69)/2)</f>
        <v>0</v>
      </c>
      <c r="Z69" s="13">
        <f t="shared" si="75"/>
        <v>0</v>
      </c>
      <c r="AA69" s="13">
        <f t="shared" si="3"/>
        <v>0</v>
      </c>
      <c r="AB69" s="13">
        <f t="shared" si="4"/>
        <v>0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>
        <f>M70/C7*100000</f>
        <v>0</v>
      </c>
      <c r="O70" s="77"/>
      <c r="P70" s="39">
        <f>O70/D7*100000</f>
        <v>0</v>
      </c>
      <c r="Q70" s="77"/>
      <c r="R70" s="39">
        <f>Q70/E7*100000</f>
        <v>0</v>
      </c>
      <c r="S70" s="77"/>
      <c r="T70" s="39">
        <f>S70/F7*100000</f>
        <v>0</v>
      </c>
      <c r="U70" s="77"/>
      <c r="V70" s="39">
        <f>U70/G7*100000</f>
        <v>0</v>
      </c>
      <c r="W70" s="76"/>
      <c r="X70" s="39">
        <f>W70/H7*100000</f>
        <v>0</v>
      </c>
      <c r="Y70" s="40">
        <f t="shared" ref="Y70:Z70" si="76">((M70+O70+Q70+S70)/1)</f>
        <v>0</v>
      </c>
      <c r="Z70" s="40">
        <f t="shared" si="76"/>
        <v>0</v>
      </c>
      <c r="AA70" s="40">
        <f t="shared" si="3"/>
        <v>0</v>
      </c>
      <c r="AB70" s="40">
        <f t="shared" si="4"/>
        <v>0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65.25" customHeight="1">
      <c r="B1" s="1"/>
      <c r="C1" s="2" t="s">
        <v>141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146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/>
      <c r="N3" s="13" t="str">
        <f>M3/C7*1000</f>
        <v>#DIV/0!</v>
      </c>
      <c r="O3" s="12"/>
      <c r="P3" s="13" t="str">
        <f>O3/D7*1000</f>
        <v>#DIV/0!</v>
      </c>
      <c r="Q3" s="47"/>
      <c r="R3" s="13" t="str">
        <f>Q3/E7*1000</f>
        <v>#DIV/0!</v>
      </c>
      <c r="S3" s="12"/>
      <c r="T3" s="13" t="str">
        <f>S3/F7*1000</f>
        <v>#DIV/0!</v>
      </c>
      <c r="U3" s="12"/>
      <c r="V3" s="13" t="str">
        <f>U3/G7*1000</f>
        <v>#DIV/0!</v>
      </c>
      <c r="W3" s="12"/>
      <c r="X3" s="13" t="str">
        <f>W3/H7*1000</f>
        <v>#DIV/0!</v>
      </c>
      <c r="Y3" s="13">
        <f t="shared" ref="Y3:Z3" si="1">((M3+O3+Q3+S3)/4)</f>
        <v>0</v>
      </c>
      <c r="Z3" s="13" t="str">
        <f t="shared" si="1"/>
        <v>#DIV/0!</v>
      </c>
      <c r="AA3" s="13">
        <f t="shared" ref="AA3:AA70" si="3">((S3+U3)/2)</f>
        <v>0</v>
      </c>
      <c r="AB3" s="13" t="str">
        <f t="shared" ref="AB3:AB70" si="4">(V3+X3)/2</f>
        <v>#DIV/0!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/>
      <c r="N4" s="13" t="str">
        <f>M4/C7*1000</f>
        <v>#DIV/0!</v>
      </c>
      <c r="O4" s="12"/>
      <c r="P4" s="13" t="str">
        <f>O4/D7*1000</f>
        <v>#DIV/0!</v>
      </c>
      <c r="Q4" s="47"/>
      <c r="R4" s="13" t="str">
        <f>Q4/E7*1000</f>
        <v>#DIV/0!</v>
      </c>
      <c r="S4" s="12"/>
      <c r="T4" s="13" t="str">
        <f>S4/F7*1000</f>
        <v>#DIV/0!</v>
      </c>
      <c r="U4" s="12"/>
      <c r="V4" s="13" t="str">
        <f>U4/G7*1000</f>
        <v>#DIV/0!</v>
      </c>
      <c r="W4" s="12"/>
      <c r="X4" s="13" t="str">
        <f>W4/H7*1000</f>
        <v>#DIV/0!</v>
      </c>
      <c r="Y4" s="13">
        <f t="shared" ref="Y4:Z4" si="2">((M4+O4+Q4+S4)/4)</f>
        <v>0</v>
      </c>
      <c r="Z4" s="13" t="str">
        <f t="shared" si="2"/>
        <v>#DIV/0!</v>
      </c>
      <c r="AA4" s="13">
        <f t="shared" si="3"/>
        <v>0</v>
      </c>
      <c r="AB4" s="13" t="str">
        <f t="shared" si="4"/>
        <v>#DIV/0!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/>
      <c r="N5" s="13" t="str">
        <f>M5/C12*100000</f>
        <v>#DIV/0!</v>
      </c>
      <c r="O5" s="12"/>
      <c r="P5" s="13" t="str">
        <f>O5/D12*100000</f>
        <v>#DIV/0!</v>
      </c>
      <c r="Q5" s="47"/>
      <c r="R5" s="13" t="str">
        <f>Q5/E12*100000</f>
        <v>#DIV/0!</v>
      </c>
      <c r="S5" s="12"/>
      <c r="T5" s="13" t="str">
        <f>S5/F12*100000</f>
        <v>#DIV/0!</v>
      </c>
      <c r="U5" s="12"/>
      <c r="V5" s="13" t="str">
        <f>U5/G12*100000</f>
        <v>#DIV/0!</v>
      </c>
      <c r="W5" s="12"/>
      <c r="X5" s="13" t="str">
        <f>W5/H12*100000</f>
        <v>#DIV/0!</v>
      </c>
      <c r="Y5" s="13">
        <f t="shared" ref="Y5:Z5" si="5">((M5+O5+Q5+S5)/4)</f>
        <v>0</v>
      </c>
      <c r="Z5" s="13" t="str">
        <f t="shared" si="5"/>
        <v>#DIV/0!</v>
      </c>
      <c r="AA5" s="13">
        <f t="shared" si="3"/>
        <v>0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 t="str">
        <f>M6/M4*1000</f>
        <v>#DIV/0!</v>
      </c>
      <c r="O6" s="12"/>
      <c r="P6" s="13" t="str">
        <f>O6/O4*1000</f>
        <v>#DIV/0!</v>
      </c>
      <c r="Q6" s="47"/>
      <c r="R6" s="13" t="str">
        <f>Q6/Q4*1000</f>
        <v>#DIV/0!</v>
      </c>
      <c r="S6" s="12"/>
      <c r="T6" s="13" t="str">
        <f>S6/S4*1000</f>
        <v>#DIV/0!</v>
      </c>
      <c r="U6" s="12"/>
      <c r="V6" s="13" t="str">
        <f>U6/U4*1000</f>
        <v>#DIV/0!</v>
      </c>
      <c r="W6" s="12"/>
      <c r="X6" s="13" t="str">
        <f>W6/W4*1000</f>
        <v>#DIV/0!</v>
      </c>
      <c r="Y6" s="13">
        <f t="shared" ref="Y6:Z6" si="6">((M6+O6+Q6+S6)/4)</f>
        <v>0</v>
      </c>
      <c r="Z6" s="13" t="str">
        <f t="shared" si="6"/>
        <v>#DIV/0!</v>
      </c>
      <c r="AA6" s="13">
        <f t="shared" si="3"/>
        <v>0</v>
      </c>
      <c r="AB6" s="13" t="str">
        <f t="shared" si="4"/>
        <v>#DIV/0!</v>
      </c>
      <c r="AC6" s="14" t="s">
        <v>22</v>
      </c>
    </row>
    <row r="7" ht="14.25" customHeight="1">
      <c r="A7" s="5"/>
      <c r="B7" s="55" t="s">
        <v>35</v>
      </c>
      <c r="C7" s="106"/>
      <c r="D7" s="56"/>
      <c r="E7" s="106"/>
      <c r="F7" s="57"/>
      <c r="G7" s="57"/>
      <c r="H7" s="58"/>
      <c r="I7" s="5"/>
      <c r="J7" s="5"/>
      <c r="K7" s="5"/>
      <c r="L7" s="11" t="s">
        <v>36</v>
      </c>
      <c r="M7" s="12"/>
      <c r="N7" s="59"/>
      <c r="O7" s="12"/>
      <c r="P7" s="59"/>
      <c r="Q7" s="47"/>
      <c r="R7" s="59"/>
      <c r="S7" s="12"/>
      <c r="T7" s="59"/>
      <c r="U7" s="12"/>
      <c r="V7" s="59"/>
      <c r="W7" s="12"/>
      <c r="X7" s="59"/>
      <c r="Y7" s="13">
        <f t="shared" ref="Y7:Z7" si="7">((M7+O7+Q7+S7)/4)</f>
        <v>0</v>
      </c>
      <c r="Z7" s="13">
        <f t="shared" si="7"/>
        <v>0</v>
      </c>
      <c r="AA7" s="13">
        <f t="shared" si="3"/>
        <v>0</v>
      </c>
      <c r="AB7" s="13">
        <f t="shared" si="4"/>
        <v>0</v>
      </c>
      <c r="AC7" s="14" t="s">
        <v>37</v>
      </c>
    </row>
    <row r="8" ht="14.25" customHeight="1">
      <c r="A8" s="5"/>
      <c r="B8" s="55" t="s">
        <v>38</v>
      </c>
      <c r="C8" s="57"/>
      <c r="D8" s="53"/>
      <c r="E8" s="57"/>
      <c r="F8" s="57"/>
      <c r="G8" s="57"/>
      <c r="H8" s="58"/>
      <c r="I8" s="5"/>
      <c r="J8" s="5"/>
      <c r="K8" s="5"/>
      <c r="L8" s="11" t="s">
        <v>39</v>
      </c>
      <c r="M8" s="12"/>
      <c r="N8" s="13" t="str">
        <f>M8/C15*1000</f>
        <v>#DIV/0!</v>
      </c>
      <c r="O8" s="12"/>
      <c r="P8" s="13" t="str">
        <f>O8/D15*1000</f>
        <v>#DIV/0!</v>
      </c>
      <c r="Q8" s="47"/>
      <c r="R8" s="13" t="str">
        <f>Q8/E15*1000</f>
        <v>#DIV/0!</v>
      </c>
      <c r="S8" s="12"/>
      <c r="T8" s="13" t="str">
        <f>S8/F15*1000</f>
        <v>#DIV/0!</v>
      </c>
      <c r="U8" s="12"/>
      <c r="V8" s="13" t="str">
        <f>U8/G15*1000</f>
        <v>#DIV/0!</v>
      </c>
      <c r="W8" s="12"/>
      <c r="X8" s="13" t="str">
        <f>W8/H15*1000</f>
        <v>#DIV/0!</v>
      </c>
      <c r="Y8" s="13">
        <f t="shared" ref="Y8:Z8" si="8">((M8+O8+Q8+S8)/4)</f>
        <v>0</v>
      </c>
      <c r="Z8" s="13" t="str">
        <f t="shared" si="8"/>
        <v>#DIV/0!</v>
      </c>
      <c r="AA8" s="13">
        <f t="shared" si="3"/>
        <v>0</v>
      </c>
      <c r="AB8" s="13" t="str">
        <f t="shared" si="4"/>
        <v>#DIV/0!</v>
      </c>
      <c r="AC8" s="14" t="s">
        <v>37</v>
      </c>
    </row>
    <row r="9" ht="14.25" customHeight="1">
      <c r="A9" s="5"/>
      <c r="B9" s="55" t="s">
        <v>40</v>
      </c>
      <c r="C9" s="57"/>
      <c r="D9" s="53"/>
      <c r="E9" s="57"/>
      <c r="F9" s="57"/>
      <c r="G9" s="57"/>
      <c r="H9" s="58"/>
      <c r="I9" s="5"/>
      <c r="J9" s="5"/>
      <c r="K9" s="5"/>
      <c r="L9" s="11" t="s">
        <v>41</v>
      </c>
      <c r="M9" s="12"/>
      <c r="N9" s="13" t="str">
        <f>M9/C7*100000</f>
        <v>#DIV/0!</v>
      </c>
      <c r="O9" s="12"/>
      <c r="P9" s="13" t="str">
        <f>O9/D7*100000</f>
        <v>#DIV/0!</v>
      </c>
      <c r="Q9" s="47"/>
      <c r="R9" s="13" t="str">
        <f>Q9/E7*100000</f>
        <v>#DIV/0!</v>
      </c>
      <c r="S9" s="12"/>
      <c r="T9" s="13" t="str">
        <f>S9/F7*100000</f>
        <v>#DIV/0!</v>
      </c>
      <c r="U9" s="12"/>
      <c r="V9" s="13" t="str">
        <f>U9/G7*100000</f>
        <v>#DIV/0!</v>
      </c>
      <c r="W9" s="12"/>
      <c r="X9" s="13" t="str">
        <f>W9/H7*100000</f>
        <v>#DIV/0!</v>
      </c>
      <c r="Y9" s="13">
        <f t="shared" ref="Y9:Z9" si="9">((M9+O9+Q9+S9)/4)</f>
        <v>0</v>
      </c>
      <c r="Z9" s="13" t="str">
        <f t="shared" si="9"/>
        <v>#DIV/0!</v>
      </c>
      <c r="AA9" s="13">
        <f t="shared" si="3"/>
        <v>0</v>
      </c>
      <c r="AB9" s="13" t="str">
        <f t="shared" si="4"/>
        <v>#DIV/0!</v>
      </c>
      <c r="AC9" s="14" t="s">
        <v>22</v>
      </c>
    </row>
    <row r="10" ht="14.25" customHeight="1">
      <c r="A10" s="5"/>
      <c r="B10" s="55" t="s">
        <v>42</v>
      </c>
      <c r="C10" s="57"/>
      <c r="D10" s="57"/>
      <c r="E10" s="57"/>
      <c r="F10" s="107"/>
      <c r="G10" s="53"/>
      <c r="H10" s="58"/>
      <c r="I10" s="5"/>
      <c r="J10" s="5"/>
      <c r="K10" s="5"/>
      <c r="L10" s="11" t="s">
        <v>43</v>
      </c>
      <c r="M10" s="12"/>
      <c r="N10" s="13" t="str">
        <f>M10/C15*100000</f>
        <v>#DIV/0!</v>
      </c>
      <c r="O10" s="12"/>
      <c r="P10" s="13" t="str">
        <f t="shared" ref="P10:P11" si="11">O10/D15*100000</f>
        <v>#DIV/0!</v>
      </c>
      <c r="Q10" s="47"/>
      <c r="R10" s="13" t="str">
        <f>Q10/E15*100000</f>
        <v>#DIV/0!</v>
      </c>
      <c r="S10" s="12"/>
      <c r="T10" s="13" t="str">
        <f>S10/F15*100000</f>
        <v>#DIV/0!</v>
      </c>
      <c r="U10" s="12"/>
      <c r="V10" s="13" t="str">
        <f>U10/G15*100000</f>
        <v>#DIV/0!</v>
      </c>
      <c r="W10" s="12"/>
      <c r="X10" s="13" t="str">
        <f>W10/H15*100000</f>
        <v>#DIV/0!</v>
      </c>
      <c r="Y10" s="13">
        <f t="shared" ref="Y10:Z10" si="10">((M10+O10+Q10+S10)/4)</f>
        <v>0</v>
      </c>
      <c r="Z10" s="13" t="str">
        <f t="shared" si="10"/>
        <v>#DIV/0!</v>
      </c>
      <c r="AA10" s="13">
        <f t="shared" si="3"/>
        <v>0</v>
      </c>
      <c r="AB10" s="13" t="str">
        <f t="shared" si="4"/>
        <v>#DIV/0!</v>
      </c>
      <c r="AC10" s="14" t="s">
        <v>22</v>
      </c>
    </row>
    <row r="11" ht="14.25" customHeight="1">
      <c r="A11" s="5"/>
      <c r="B11" s="55" t="s">
        <v>44</v>
      </c>
      <c r="C11" s="57"/>
      <c r="D11" s="57"/>
      <c r="E11" s="57"/>
      <c r="F11" s="107"/>
      <c r="G11" s="53"/>
      <c r="H11" s="58"/>
      <c r="I11" s="5"/>
      <c r="J11" s="5"/>
      <c r="K11" s="5"/>
      <c r="L11" s="11" t="s">
        <v>45</v>
      </c>
      <c r="M11" s="12"/>
      <c r="N11" s="13" t="str">
        <f>M11/C15*100000</f>
        <v>#DIV/0!</v>
      </c>
      <c r="O11" s="12"/>
      <c r="P11" s="13" t="str">
        <f t="shared" si="11"/>
        <v>#DIV/0!</v>
      </c>
      <c r="Q11" s="47"/>
      <c r="R11" s="13" t="str">
        <f>Q11/F16*100000</f>
        <v>#DIV/0!</v>
      </c>
      <c r="S11" s="12"/>
      <c r="T11" s="13" t="str">
        <f>S11/F15*100000</f>
        <v>#DIV/0!</v>
      </c>
      <c r="U11" s="12"/>
      <c r="V11" s="13" t="str">
        <f>U11/G15*100000</f>
        <v>#DIV/0!</v>
      </c>
      <c r="W11" s="12"/>
      <c r="X11" s="13" t="str">
        <f>W11/H15*100000</f>
        <v>#DIV/0!</v>
      </c>
      <c r="Y11" s="13">
        <f t="shared" ref="Y11:Z11" si="12">((M11+O11+Q11+S11)/4)</f>
        <v>0</v>
      </c>
      <c r="Z11" s="13" t="str">
        <f t="shared" si="12"/>
        <v>#DIV/0!</v>
      </c>
      <c r="AA11" s="13">
        <f t="shared" si="3"/>
        <v>0</v>
      </c>
      <c r="AB11" s="13" t="str">
        <f t="shared" si="4"/>
        <v>#DIV/0!</v>
      </c>
      <c r="AC11" s="14" t="s">
        <v>22</v>
      </c>
    </row>
    <row r="12" ht="14.25" customHeight="1">
      <c r="A12" s="5"/>
      <c r="B12" s="55" t="s">
        <v>46</v>
      </c>
      <c r="C12" s="53"/>
      <c r="D12" s="57"/>
      <c r="E12" s="53"/>
      <c r="F12" s="53"/>
      <c r="G12" s="57"/>
      <c r="H12" s="58"/>
      <c r="I12" s="5"/>
      <c r="J12" s="5"/>
      <c r="K12" s="5"/>
      <c r="L12" s="11" t="s">
        <v>47</v>
      </c>
      <c r="M12" s="12"/>
      <c r="N12" s="13" t="str">
        <f>M12/C7*100000</f>
        <v>#DIV/0!</v>
      </c>
      <c r="O12" s="12"/>
      <c r="P12" s="13" t="str">
        <f>O12/D7*100000</f>
        <v>#DIV/0!</v>
      </c>
      <c r="Q12" s="47"/>
      <c r="R12" s="13" t="str">
        <f>Q12/E7*100000</f>
        <v>#DIV/0!</v>
      </c>
      <c r="S12" s="12"/>
      <c r="T12" s="13" t="str">
        <f>S12/F7*100000</f>
        <v>#DIV/0!</v>
      </c>
      <c r="U12" s="12"/>
      <c r="V12" s="13" t="str">
        <f>U12/G7*100000</f>
        <v>#DIV/0!</v>
      </c>
      <c r="W12" s="12"/>
      <c r="X12" s="13" t="str">
        <f>W12/H7*100000</f>
        <v>#DIV/0!</v>
      </c>
      <c r="Y12" s="13">
        <f t="shared" ref="Y12:Z12" si="13">((M12+O12+Q12+S12)/4)</f>
        <v>0</v>
      </c>
      <c r="Z12" s="13" t="str">
        <f t="shared" si="13"/>
        <v>#DIV/0!</v>
      </c>
      <c r="AA12" s="13">
        <f t="shared" si="3"/>
        <v>0</v>
      </c>
      <c r="AB12" s="13" t="str">
        <f t="shared" si="4"/>
        <v>#DIV/0!</v>
      </c>
      <c r="AC12" s="14" t="s">
        <v>48</v>
      </c>
    </row>
    <row r="13" ht="14.25" customHeight="1">
      <c r="A13" s="5"/>
      <c r="B13" s="55" t="s">
        <v>49</v>
      </c>
      <c r="C13" s="53"/>
      <c r="D13" s="57"/>
      <c r="E13" s="53"/>
      <c r="F13" s="53"/>
      <c r="G13" s="57"/>
      <c r="H13" s="58"/>
      <c r="I13" s="5"/>
      <c r="J13" s="5"/>
      <c r="K13" s="5"/>
      <c r="L13" s="11" t="s">
        <v>50</v>
      </c>
      <c r="M13" s="12"/>
      <c r="N13" s="13" t="str">
        <f>M13/C11*100000</f>
        <v>#DIV/0!</v>
      </c>
      <c r="O13" s="12"/>
      <c r="P13" s="13" t="str">
        <f>O13/D11*100000</f>
        <v>#DIV/0!</v>
      </c>
      <c r="Q13" s="47"/>
      <c r="R13" s="13" t="str">
        <f>Q13/E11*100000</f>
        <v>#DIV/0!</v>
      </c>
      <c r="S13" s="12"/>
      <c r="T13" s="13" t="str">
        <f>S13/F11*100000</f>
        <v>#DIV/0!</v>
      </c>
      <c r="U13" s="12"/>
      <c r="V13" s="13" t="str">
        <f>U13/G11*100000</f>
        <v>#DIV/0!</v>
      </c>
      <c r="W13" s="12"/>
      <c r="X13" s="13" t="str">
        <f>W13/H11*100000</f>
        <v>#DIV/0!</v>
      </c>
      <c r="Y13" s="13">
        <f t="shared" ref="Y13:Z13" si="14">((M13+O13+Q13+S13)/4)</f>
        <v>0</v>
      </c>
      <c r="Z13" s="13" t="str">
        <f t="shared" si="14"/>
        <v>#DIV/0!</v>
      </c>
      <c r="AA13" s="13">
        <f t="shared" si="3"/>
        <v>0</v>
      </c>
      <c r="AB13" s="13" t="str">
        <f t="shared" si="4"/>
        <v>#DIV/0!</v>
      </c>
      <c r="AC13" s="14" t="s">
        <v>48</v>
      </c>
    </row>
    <row r="14" ht="14.25" customHeight="1">
      <c r="A14" s="5"/>
      <c r="B14" s="55" t="s">
        <v>51</v>
      </c>
      <c r="C14" s="53"/>
      <c r="D14" s="53"/>
      <c r="E14" s="53"/>
      <c r="F14" s="53"/>
      <c r="G14" s="53"/>
      <c r="H14" s="58"/>
      <c r="I14" s="5"/>
      <c r="J14" s="5"/>
      <c r="K14" s="5"/>
      <c r="L14" s="11" t="s">
        <v>52</v>
      </c>
      <c r="M14" s="12"/>
      <c r="N14" s="13" t="str">
        <f>M14/M4*1000</f>
        <v>#DIV/0!</v>
      </c>
      <c r="O14" s="12"/>
      <c r="P14" s="13" t="str">
        <f>O14/O4*1000</f>
        <v>#DIV/0!</v>
      </c>
      <c r="Q14" s="47"/>
      <c r="R14" s="13" t="str">
        <f>Q14/Q4*1000</f>
        <v>#DIV/0!</v>
      </c>
      <c r="S14" s="12"/>
      <c r="T14" s="13" t="str">
        <f>S14/S4*1000</f>
        <v>#DIV/0!</v>
      </c>
      <c r="U14" s="12"/>
      <c r="V14" s="13" t="str">
        <f>U14/U4*1000</f>
        <v>#DIV/0!</v>
      </c>
      <c r="W14" s="12"/>
      <c r="X14" s="13" t="str">
        <f>W14/W4*1000</f>
        <v>#DIV/0!</v>
      </c>
      <c r="Y14" s="13">
        <f t="shared" ref="Y14:Z14" si="15">((M14+O14+Q14+S14)/4)</f>
        <v>0</v>
      </c>
      <c r="Z14" s="13" t="str">
        <f t="shared" si="15"/>
        <v>#DIV/0!</v>
      </c>
      <c r="AA14" s="13">
        <f t="shared" si="3"/>
        <v>0</v>
      </c>
      <c r="AB14" s="13" t="str">
        <f t="shared" si="4"/>
        <v>#DIV/0!</v>
      </c>
      <c r="AC14" s="14" t="s">
        <v>22</v>
      </c>
    </row>
    <row r="15" ht="14.25" customHeight="1">
      <c r="A15" s="5"/>
      <c r="B15" s="55" t="s">
        <v>53</v>
      </c>
      <c r="C15" s="53"/>
      <c r="D15" s="53"/>
      <c r="E15" s="53"/>
      <c r="F15" s="53"/>
      <c r="G15" s="53"/>
      <c r="H15" s="58"/>
      <c r="I15" s="5"/>
      <c r="J15" s="5"/>
      <c r="K15" s="5"/>
      <c r="L15" s="11" t="s">
        <v>54</v>
      </c>
      <c r="M15" s="12"/>
      <c r="N15" s="13" t="str">
        <f>M15/C15*100000</f>
        <v>#DIV/0!</v>
      </c>
      <c r="O15" s="12"/>
      <c r="P15" s="13" t="str">
        <f>O15/D15*100000</f>
        <v>#DIV/0!</v>
      </c>
      <c r="Q15" s="47"/>
      <c r="R15" s="13" t="str">
        <f>Q15/E15*100000</f>
        <v>#DIV/0!</v>
      </c>
      <c r="S15" s="12"/>
      <c r="T15" s="13" t="str">
        <f>S15/F15*100000</f>
        <v>#DIV/0!</v>
      </c>
      <c r="U15" s="12"/>
      <c r="V15" s="13" t="str">
        <f>U15/G15*100000</f>
        <v>#DIV/0!</v>
      </c>
      <c r="W15" s="12"/>
      <c r="X15" s="13" t="str">
        <f>W15/H15*100000</f>
        <v>#DIV/0!</v>
      </c>
      <c r="Y15" s="13">
        <f t="shared" ref="Y15:Z15" si="16">((M15+O15+Q15+S15)/4)</f>
        <v>0</v>
      </c>
      <c r="Z15" s="13" t="str">
        <f t="shared" si="16"/>
        <v>#DIV/0!</v>
      </c>
      <c r="AA15" s="13">
        <f t="shared" si="3"/>
        <v>0</v>
      </c>
      <c r="AB15" s="13" t="str">
        <f t="shared" si="4"/>
        <v>#DIV/0!</v>
      </c>
      <c r="AC15" s="14" t="s">
        <v>22</v>
      </c>
    </row>
    <row r="16" ht="14.25" customHeight="1">
      <c r="A16" s="5"/>
      <c r="B16" s="55" t="s">
        <v>55</v>
      </c>
      <c r="C16" s="53"/>
      <c r="D16" s="53"/>
      <c r="E16" s="53"/>
      <c r="F16" s="53"/>
      <c r="G16" s="53"/>
      <c r="H16" s="58"/>
      <c r="I16" s="5"/>
      <c r="J16" s="5"/>
      <c r="K16" s="5"/>
      <c r="L16" s="11" t="s">
        <v>56</v>
      </c>
      <c r="M16" s="12"/>
      <c r="N16" s="13" t="str">
        <f>M16/M4*100</f>
        <v>#DIV/0!</v>
      </c>
      <c r="O16" s="12"/>
      <c r="P16" s="13" t="str">
        <f>O16/O4*100</f>
        <v>#DIV/0!</v>
      </c>
      <c r="Q16" s="47"/>
      <c r="R16" s="13" t="str">
        <f>Q16/Q4*100</f>
        <v>#DIV/0!</v>
      </c>
      <c r="S16" s="12"/>
      <c r="T16" s="13" t="str">
        <f>S16/S4*100</f>
        <v>#DIV/0!</v>
      </c>
      <c r="U16" s="12"/>
      <c r="V16" s="13" t="str">
        <f>U16/U4*100</f>
        <v>#DIV/0!</v>
      </c>
      <c r="W16" s="12"/>
      <c r="X16" s="13" t="str">
        <f>W16/W4*100</f>
        <v>#DIV/0!</v>
      </c>
      <c r="Y16" s="13">
        <f t="shared" ref="Y16:Z16" si="17">((M16+O16+Q16+S16)/4)</f>
        <v>0</v>
      </c>
      <c r="Z16" s="13" t="str">
        <f t="shared" si="17"/>
        <v>#DIV/0!</v>
      </c>
      <c r="AA16" s="13">
        <f t="shared" si="3"/>
        <v>0</v>
      </c>
      <c r="AB16" s="13" t="str">
        <f t="shared" si="4"/>
        <v>#DIV/0!</v>
      </c>
      <c r="AC16" s="14" t="s">
        <v>24</v>
      </c>
    </row>
    <row r="17" ht="14.25" customHeight="1">
      <c r="A17" s="5"/>
      <c r="B17" s="55" t="s">
        <v>57</v>
      </c>
      <c r="C17" s="53"/>
      <c r="D17" s="53"/>
      <c r="E17" s="53"/>
      <c r="F17" s="53"/>
      <c r="G17" s="53"/>
      <c r="H17" s="58"/>
      <c r="I17" s="5"/>
      <c r="J17" s="5"/>
      <c r="K17" s="5"/>
      <c r="L17" s="11" t="s">
        <v>58</v>
      </c>
      <c r="M17" s="12"/>
      <c r="N17" s="13" t="str">
        <f>M17/M4*100</f>
        <v>#DIV/0!</v>
      </c>
      <c r="O17" s="12"/>
      <c r="P17" s="13" t="str">
        <f>O17/O4*100</f>
        <v>#DIV/0!</v>
      </c>
      <c r="Q17" s="47"/>
      <c r="R17" s="13" t="str">
        <f>Q17/Q4*100</f>
        <v>#DIV/0!</v>
      </c>
      <c r="S17" s="12"/>
      <c r="T17" s="13" t="str">
        <f>S17/S4*100</f>
        <v>#DIV/0!</v>
      </c>
      <c r="U17" s="12"/>
      <c r="V17" s="13" t="str">
        <f>U17/U4*100</f>
        <v>#DIV/0!</v>
      </c>
      <c r="W17" s="12"/>
      <c r="X17" s="13" t="str">
        <f>W17/W4*100</f>
        <v>#DIV/0!</v>
      </c>
      <c r="Y17" s="13">
        <f t="shared" ref="Y17:Z17" si="18">((M17+O17+Q17+S17)/4)</f>
        <v>0</v>
      </c>
      <c r="Z17" s="13" t="str">
        <f t="shared" si="18"/>
        <v>#DIV/0!</v>
      </c>
      <c r="AA17" s="13">
        <f t="shared" si="3"/>
        <v>0</v>
      </c>
      <c r="AB17" s="13" t="str">
        <f t="shared" si="4"/>
        <v>#DIV/0!</v>
      </c>
      <c r="AC17" s="14" t="s">
        <v>24</v>
      </c>
    </row>
    <row r="18" ht="14.25" customHeight="1">
      <c r="A18" s="5"/>
      <c r="B18" s="55" t="s">
        <v>59</v>
      </c>
      <c r="C18" s="53"/>
      <c r="D18" s="53"/>
      <c r="E18" s="53"/>
      <c r="F18" s="53"/>
      <c r="G18" s="53"/>
      <c r="H18" s="58"/>
      <c r="I18" s="5"/>
      <c r="J18" s="5"/>
      <c r="K18" s="5"/>
      <c r="L18" s="11" t="s">
        <v>60</v>
      </c>
      <c r="M18" s="61"/>
      <c r="N18" s="28" t="str">
        <f>M18/C15*1000</f>
        <v>#DIV/0!</v>
      </c>
      <c r="O18" s="12"/>
      <c r="P18" s="28" t="str">
        <f>O18/D15*1000</f>
        <v>#DIV/0!</v>
      </c>
      <c r="Q18" s="47"/>
      <c r="R18" s="28" t="str">
        <f>Q18/E15*1000</f>
        <v>#DIV/0!</v>
      </c>
      <c r="S18" s="61"/>
      <c r="T18" s="28" t="str">
        <f>S18/F15*1000</f>
        <v>#DIV/0!</v>
      </c>
      <c r="U18" s="61"/>
      <c r="V18" s="28" t="str">
        <f>U18/G15*1000</f>
        <v>#DIV/0!</v>
      </c>
      <c r="W18" s="61"/>
      <c r="X18" s="28" t="str">
        <f>W18/H15*1000</f>
        <v>#DIV/0!</v>
      </c>
      <c r="Y18" s="13">
        <f t="shared" ref="Y18:Z18" si="19">((M18+O18+Q18+S18)/4)</f>
        <v>0</v>
      </c>
      <c r="Z18" s="13" t="str">
        <f t="shared" si="19"/>
        <v>#DIV/0!</v>
      </c>
      <c r="AA18" s="13">
        <f t="shared" si="3"/>
        <v>0</v>
      </c>
      <c r="AB18" s="13" t="str">
        <f t="shared" si="4"/>
        <v>#DIV/0!</v>
      </c>
      <c r="AC18" s="14" t="s">
        <v>48</v>
      </c>
    </row>
    <row r="19" ht="14.25" customHeight="1">
      <c r="A19" s="5"/>
      <c r="B19" s="55" t="s">
        <v>61</v>
      </c>
      <c r="C19" s="53"/>
      <c r="D19" s="53"/>
      <c r="E19" s="53"/>
      <c r="F19" s="53"/>
      <c r="G19" s="53"/>
      <c r="H19" s="58"/>
      <c r="I19" s="5"/>
      <c r="J19" s="5"/>
      <c r="K19" s="5"/>
      <c r="L19" s="11" t="s">
        <v>62</v>
      </c>
      <c r="M19" s="12"/>
      <c r="N19" s="13" t="str">
        <f>M19/M4*100</f>
        <v>#DIV/0!</v>
      </c>
      <c r="O19" s="12"/>
      <c r="P19" s="13" t="str">
        <f>O19/O4*100</f>
        <v>#DIV/0!</v>
      </c>
      <c r="Q19" s="47"/>
      <c r="R19" s="13" t="str">
        <f>Q19/Q4*100</f>
        <v>#DIV/0!</v>
      </c>
      <c r="S19" s="12"/>
      <c r="T19" s="13" t="str">
        <f>S19/S4*100</f>
        <v>#DIV/0!</v>
      </c>
      <c r="U19" s="12"/>
      <c r="V19" s="13" t="str">
        <f>U19/U4*100</f>
        <v>#DIV/0!</v>
      </c>
      <c r="W19" s="12"/>
      <c r="X19" s="13" t="str">
        <f>W19/W4*100</f>
        <v>#DIV/0!</v>
      </c>
      <c r="Y19" s="13">
        <f t="shared" ref="Y19:Z19" si="20">((M19+O19+Q19+S19)/4)</f>
        <v>0</v>
      </c>
      <c r="Z19" s="13" t="str">
        <f t="shared" si="20"/>
        <v>#DIV/0!</v>
      </c>
      <c r="AA19" s="13">
        <f t="shared" si="3"/>
        <v>0</v>
      </c>
      <c r="AB19" s="13" t="str">
        <f t="shared" si="4"/>
        <v>#DIV/0!</v>
      </c>
      <c r="AC19" s="14" t="s">
        <v>63</v>
      </c>
    </row>
    <row r="20" ht="14.25" customHeight="1">
      <c r="A20" s="5"/>
      <c r="B20" s="55" t="s">
        <v>64</v>
      </c>
      <c r="C20" s="53"/>
      <c r="D20" s="57"/>
      <c r="E20" s="53"/>
      <c r="F20" s="53"/>
      <c r="G20" s="53"/>
      <c r="H20" s="58"/>
      <c r="I20" s="5"/>
      <c r="J20" s="5"/>
      <c r="K20" s="5"/>
      <c r="L20" s="11" t="s">
        <v>65</v>
      </c>
      <c r="M20" s="12"/>
      <c r="N20" s="13" t="str">
        <f t="shared" ref="N20:N21" si="22">M20/C20*1000</f>
        <v>#DIV/0!</v>
      </c>
      <c r="O20" s="12"/>
      <c r="P20" s="13" t="str">
        <f t="shared" ref="P20:P21" si="23">O20/D20*1000</f>
        <v>#DIV/0!</v>
      </c>
      <c r="Q20" s="47"/>
      <c r="R20" s="13" t="str">
        <f t="shared" ref="R20:R21" si="24">Q20/E20*1000</f>
        <v>#DIV/0!</v>
      </c>
      <c r="S20" s="12"/>
      <c r="T20" s="13" t="str">
        <f t="shared" ref="T20:T21" si="25">S20/F20*1000</f>
        <v>#DIV/0!</v>
      </c>
      <c r="U20" s="12"/>
      <c r="V20" s="13" t="str">
        <f t="shared" ref="V20:V21" si="26">U20/G20*1000</f>
        <v>#DIV/0!</v>
      </c>
      <c r="W20" s="12"/>
      <c r="X20" s="13" t="str">
        <f t="shared" ref="X20:X21" si="27">W20/H20*1000</f>
        <v>#DIV/0!</v>
      </c>
      <c r="Y20" s="13">
        <f t="shared" ref="Y20:Z20" si="21">((M20+O20+Q20+S20)/4)</f>
        <v>0</v>
      </c>
      <c r="Z20" s="13" t="str">
        <f t="shared" si="21"/>
        <v>#DIV/0!</v>
      </c>
      <c r="AA20" s="13">
        <f t="shared" si="3"/>
        <v>0</v>
      </c>
      <c r="AB20" s="13" t="str">
        <f t="shared" si="4"/>
        <v>#DIV/0!</v>
      </c>
      <c r="AC20" s="14" t="s">
        <v>63</v>
      </c>
    </row>
    <row r="21" ht="14.25" customHeight="1">
      <c r="A21" s="5"/>
      <c r="B21" s="55" t="s">
        <v>66</v>
      </c>
      <c r="C21" s="53"/>
      <c r="D21" s="57"/>
      <c r="E21" s="53"/>
      <c r="F21" s="53"/>
      <c r="G21" s="53"/>
      <c r="H21" s="58"/>
      <c r="I21" s="5"/>
      <c r="J21" s="5"/>
      <c r="K21" s="5"/>
      <c r="L21" s="11" t="s">
        <v>67</v>
      </c>
      <c r="M21" s="12"/>
      <c r="N21" s="13" t="str">
        <f t="shared" si="22"/>
        <v>#DIV/0!</v>
      </c>
      <c r="O21" s="12"/>
      <c r="P21" s="13" t="str">
        <f t="shared" si="23"/>
        <v>#DIV/0!</v>
      </c>
      <c r="Q21" s="47"/>
      <c r="R21" s="13" t="str">
        <f t="shared" si="24"/>
        <v>#DIV/0!</v>
      </c>
      <c r="S21" s="12"/>
      <c r="T21" s="13" t="str">
        <f t="shared" si="25"/>
        <v>#DIV/0!</v>
      </c>
      <c r="U21" s="12"/>
      <c r="V21" s="13" t="str">
        <f t="shared" si="26"/>
        <v>#DIV/0!</v>
      </c>
      <c r="W21" s="12"/>
      <c r="X21" s="13" t="str">
        <f t="shared" si="27"/>
        <v>#DIV/0!</v>
      </c>
      <c r="Y21" s="13">
        <f t="shared" ref="Y21:Z21" si="28">((M21+O21+Q21+S21)/4)</f>
        <v>0</v>
      </c>
      <c r="Z21" s="13" t="str">
        <f t="shared" si="28"/>
        <v>#DIV/0!</v>
      </c>
      <c r="AA21" s="13">
        <f t="shared" si="3"/>
        <v>0</v>
      </c>
      <c r="AB21" s="13" t="str">
        <f t="shared" si="4"/>
        <v>#DIV/0!</v>
      </c>
      <c r="AC21" s="14" t="s">
        <v>63</v>
      </c>
    </row>
    <row r="22" ht="14.25" customHeight="1">
      <c r="A22" s="5"/>
      <c r="B22" s="55" t="s">
        <v>68</v>
      </c>
      <c r="C22" s="53"/>
      <c r="D22" s="53"/>
      <c r="E22" s="53"/>
      <c r="F22" s="53"/>
      <c r="G22" s="53"/>
      <c r="H22" s="58"/>
      <c r="I22" s="5"/>
      <c r="J22" s="5"/>
      <c r="K22" s="5"/>
      <c r="L22" s="11" t="s">
        <v>69</v>
      </c>
      <c r="M22" s="61"/>
      <c r="N22" s="28" t="str">
        <f>M22/C7*100000</f>
        <v>#DIV/0!</v>
      </c>
      <c r="O22" s="12"/>
      <c r="P22" s="28" t="str">
        <f>O22/D7*100000</f>
        <v>#DIV/0!</v>
      </c>
      <c r="Q22" s="47"/>
      <c r="R22" s="28" t="str">
        <f>Q22/E7*100000</f>
        <v>#DIV/0!</v>
      </c>
      <c r="S22" s="61"/>
      <c r="T22" s="28" t="str">
        <f>S22/F7*100000</f>
        <v>#DIV/0!</v>
      </c>
      <c r="U22" s="61"/>
      <c r="V22" s="28" t="str">
        <f>U22/G7*100000</f>
        <v>#DIV/0!</v>
      </c>
      <c r="W22" s="61"/>
      <c r="X22" s="28" t="str">
        <f>W22/H7*100000</f>
        <v>#DIV/0!</v>
      </c>
      <c r="Y22" s="13">
        <f t="shared" ref="Y22:Z22" si="29">((M22+O22+Q22+S22)/4)</f>
        <v>0</v>
      </c>
      <c r="Z22" s="13" t="str">
        <f t="shared" si="29"/>
        <v>#DIV/0!</v>
      </c>
      <c r="AA22" s="13">
        <f t="shared" si="3"/>
        <v>0</v>
      </c>
      <c r="AB22" s="13" t="str">
        <f t="shared" si="4"/>
        <v>#DIV/0!</v>
      </c>
      <c r="AC22" s="14" t="s">
        <v>22</v>
      </c>
    </row>
    <row r="23" ht="14.25" customHeight="1">
      <c r="A23" s="5"/>
      <c r="B23" s="55" t="s">
        <v>70</v>
      </c>
      <c r="C23" s="53"/>
      <c r="D23" s="53"/>
      <c r="E23" s="53"/>
      <c r="F23" s="53"/>
      <c r="G23" s="53"/>
      <c r="H23" s="58"/>
      <c r="I23" s="5"/>
      <c r="J23" s="5"/>
      <c r="K23" s="5"/>
      <c r="L23" s="11" t="s">
        <v>71</v>
      </c>
      <c r="M23" s="61"/>
      <c r="N23" s="28" t="str">
        <f>M23/C7*100000</f>
        <v>#DIV/0!</v>
      </c>
      <c r="O23" s="12"/>
      <c r="P23" s="28" t="str">
        <f>O23/D7*100000</f>
        <v>#DIV/0!</v>
      </c>
      <c r="Q23" s="47"/>
      <c r="R23" s="28" t="str">
        <f>Q23/E7*100000</f>
        <v>#DIV/0!</v>
      </c>
      <c r="S23" s="61"/>
      <c r="T23" s="28" t="str">
        <f>S23/F7*100000</f>
        <v>#DIV/0!</v>
      </c>
      <c r="U23" s="61"/>
      <c r="V23" s="28" t="str">
        <f>U23/G7*100000</f>
        <v>#DIV/0!</v>
      </c>
      <c r="W23" s="61"/>
      <c r="X23" s="28" t="str">
        <f>W23/H7*100000</f>
        <v>#DIV/0!</v>
      </c>
      <c r="Y23" s="13">
        <f t="shared" ref="Y23:Z23" si="30">((M23+O23+Q23+S23)/4)</f>
        <v>0</v>
      </c>
      <c r="Z23" s="13" t="str">
        <f t="shared" si="30"/>
        <v>#DIV/0!</v>
      </c>
      <c r="AA23" s="13">
        <f t="shared" si="3"/>
        <v>0</v>
      </c>
      <c r="AB23" s="13" t="str">
        <f t="shared" si="4"/>
        <v>#DIV/0!</v>
      </c>
      <c r="AC23" s="14" t="s">
        <v>22</v>
      </c>
    </row>
    <row r="24" ht="14.25" customHeight="1">
      <c r="A24" s="5"/>
      <c r="B24" s="55" t="s">
        <v>72</v>
      </c>
      <c r="C24" s="53"/>
      <c r="D24" s="53"/>
      <c r="E24" s="53"/>
      <c r="F24" s="53"/>
      <c r="G24" s="53"/>
      <c r="H24" s="58"/>
      <c r="I24" s="5"/>
      <c r="J24" s="5"/>
      <c r="K24" s="5"/>
      <c r="L24" s="11" t="s">
        <v>73</v>
      </c>
      <c r="M24" s="61"/>
      <c r="N24" s="28" t="str">
        <f>M24/C7*100000</f>
        <v>#DIV/0!</v>
      </c>
      <c r="O24" s="12"/>
      <c r="P24" s="28" t="str">
        <f>O24/D7*100000</f>
        <v>#DIV/0!</v>
      </c>
      <c r="Q24" s="47"/>
      <c r="R24" s="28" t="str">
        <f>Q24/E7*100000</f>
        <v>#DIV/0!</v>
      </c>
      <c r="S24" s="61"/>
      <c r="T24" s="28" t="str">
        <f>S24/F7*100000</f>
        <v>#DIV/0!</v>
      </c>
      <c r="U24" s="61"/>
      <c r="V24" s="28" t="str">
        <f>U24/G7*100000</f>
        <v>#DIV/0!</v>
      </c>
      <c r="W24" s="61"/>
      <c r="X24" s="28" t="str">
        <f>W24/H7*100000</f>
        <v>#DIV/0!</v>
      </c>
      <c r="Y24" s="13">
        <f t="shared" ref="Y24:Z24" si="31">((M24+O24+Q24+S24)/4)</f>
        <v>0</v>
      </c>
      <c r="Z24" s="13" t="str">
        <f t="shared" si="31"/>
        <v>#DIV/0!</v>
      </c>
      <c r="AA24" s="13">
        <f t="shared" si="3"/>
        <v>0</v>
      </c>
      <c r="AB24" s="13" t="str">
        <f t="shared" si="4"/>
        <v>#DIV/0!</v>
      </c>
      <c r="AC24" s="14" t="s">
        <v>22</v>
      </c>
    </row>
    <row r="25" ht="14.25" customHeight="1">
      <c r="A25" s="5"/>
      <c r="B25" s="55" t="s">
        <v>74</v>
      </c>
      <c r="C25" s="53"/>
      <c r="D25" s="53"/>
      <c r="E25" s="53"/>
      <c r="F25" s="53"/>
      <c r="G25" s="53"/>
      <c r="H25" s="58"/>
      <c r="I25" s="5"/>
      <c r="J25" s="5"/>
      <c r="K25" s="5"/>
      <c r="L25" s="11" t="s">
        <v>75</v>
      </c>
      <c r="M25" s="61"/>
      <c r="N25" s="28" t="str">
        <f>M25/C7*100000</f>
        <v>#DIV/0!</v>
      </c>
      <c r="O25" s="12"/>
      <c r="P25" s="28" t="str">
        <f>O25/D7*100000</f>
        <v>#DIV/0!</v>
      </c>
      <c r="Q25" s="47"/>
      <c r="R25" s="28" t="str">
        <f>Q25/E7*100000</f>
        <v>#DIV/0!</v>
      </c>
      <c r="S25" s="61"/>
      <c r="T25" s="28" t="str">
        <f>S25/F7*100000</f>
        <v>#DIV/0!</v>
      </c>
      <c r="U25" s="61"/>
      <c r="V25" s="28" t="str">
        <f>U25/G7*100000</f>
        <v>#DIV/0!</v>
      </c>
      <c r="W25" s="61"/>
      <c r="X25" s="28" t="str">
        <f>W25/H7*100000</f>
        <v>#DIV/0!</v>
      </c>
      <c r="Y25" s="13">
        <f t="shared" ref="Y25:Z25" si="32">((M25+O25+Q25+S25)/4)</f>
        <v>0</v>
      </c>
      <c r="Z25" s="13" t="str">
        <f t="shared" si="32"/>
        <v>#DIV/0!</v>
      </c>
      <c r="AA25" s="13">
        <f t="shared" si="3"/>
        <v>0</v>
      </c>
      <c r="AB25" s="13" t="str">
        <f t="shared" si="4"/>
        <v>#DIV/0!</v>
      </c>
      <c r="AC25" s="14" t="s">
        <v>48</v>
      </c>
    </row>
    <row r="26" ht="14.25" customHeight="1">
      <c r="A26" s="5"/>
      <c r="B26" s="55" t="s">
        <v>76</v>
      </c>
      <c r="C26" s="62"/>
      <c r="D26" s="62"/>
      <c r="E26" s="62"/>
      <c r="F26" s="62"/>
      <c r="G26" s="62"/>
      <c r="H26" s="58"/>
      <c r="I26" s="5"/>
      <c r="J26" s="5"/>
      <c r="K26" s="5"/>
      <c r="L26" s="11" t="s">
        <v>77</v>
      </c>
      <c r="M26" s="12"/>
      <c r="N26" s="13" t="str">
        <f>M26/C7*100000</f>
        <v>#DIV/0!</v>
      </c>
      <c r="O26" s="12"/>
      <c r="P26" s="13" t="str">
        <f>O26/D7*100000</f>
        <v>#DIV/0!</v>
      </c>
      <c r="Q26" s="47"/>
      <c r="R26" s="13" t="str">
        <f>Q26/E7*100000</f>
        <v>#DIV/0!</v>
      </c>
      <c r="S26" s="12"/>
      <c r="T26" s="13" t="str">
        <f>S26/F7*100000</f>
        <v>#DIV/0!</v>
      </c>
      <c r="U26" s="12"/>
      <c r="V26" s="13" t="str">
        <f>U26/G7*100000</f>
        <v>#DIV/0!</v>
      </c>
      <c r="W26" s="12"/>
      <c r="X26" s="13" t="str">
        <f>W26/H7*100000</f>
        <v>#DIV/0!</v>
      </c>
      <c r="Y26" s="13">
        <f t="shared" ref="Y26:Z26" si="33">((M26+O26+Q26+S26)/4)</f>
        <v>0</v>
      </c>
      <c r="Z26" s="13" t="str">
        <f t="shared" si="33"/>
        <v>#DIV/0!</v>
      </c>
      <c r="AA26" s="13">
        <f t="shared" si="3"/>
        <v>0</v>
      </c>
      <c r="AB26" s="13" t="str">
        <f t="shared" si="4"/>
        <v>#DIV/0!</v>
      </c>
      <c r="AC26" s="14" t="s">
        <v>22</v>
      </c>
    </row>
    <row r="27" ht="14.25" customHeight="1">
      <c r="A27" s="5"/>
      <c r="B27" s="63" t="s">
        <v>78</v>
      </c>
      <c r="C27" s="64"/>
      <c r="D27" s="64"/>
      <c r="E27" s="65"/>
      <c r="F27" s="65"/>
      <c r="G27" s="65"/>
      <c r="H27" s="66"/>
      <c r="I27" s="5"/>
      <c r="J27" s="5"/>
      <c r="K27" s="5"/>
      <c r="L27" s="11" t="s">
        <v>79</v>
      </c>
      <c r="M27" s="12"/>
      <c r="N27" s="13" t="str">
        <f>M27/C11*100000</f>
        <v>#DIV/0!</v>
      </c>
      <c r="O27" s="12"/>
      <c r="P27" s="13" t="str">
        <f>O27/D11*100000</f>
        <v>#DIV/0!</v>
      </c>
      <c r="Q27" s="47"/>
      <c r="R27" s="13" t="str">
        <f>Q27/E11*100000</f>
        <v>#DIV/0!</v>
      </c>
      <c r="S27" s="12"/>
      <c r="T27" s="13" t="str">
        <f>S27/F11*100000</f>
        <v>#DIV/0!</v>
      </c>
      <c r="U27" s="12"/>
      <c r="V27" s="13" t="str">
        <f>U27/G11*100000</f>
        <v>#DIV/0!</v>
      </c>
      <c r="W27" s="12"/>
      <c r="X27" s="13" t="str">
        <f>W27/H11*100000</f>
        <v>#DIV/0!</v>
      </c>
      <c r="Y27" s="13">
        <f t="shared" ref="Y27:Z27" si="34">((M27+O27+Q27+S27)/4)</f>
        <v>0</v>
      </c>
      <c r="Z27" s="13" t="str">
        <f t="shared" si="34"/>
        <v>#DIV/0!</v>
      </c>
      <c r="AA27" s="13">
        <f t="shared" si="3"/>
        <v>0</v>
      </c>
      <c r="AB27" s="13" t="str">
        <f t="shared" si="4"/>
        <v>#DIV/0!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 t="str">
        <f>M28/C11*100000</f>
        <v>#DIV/0!</v>
      </c>
      <c r="O28" s="12"/>
      <c r="P28" s="13" t="str">
        <f>O28/D11*100000</f>
        <v>#DIV/0!</v>
      </c>
      <c r="Q28" s="47"/>
      <c r="R28" s="13" t="str">
        <f>Q28/E11*100000</f>
        <v>#DIV/0!</v>
      </c>
      <c r="S28" s="12"/>
      <c r="T28" s="13" t="str">
        <f>S28/F11*100000</f>
        <v>#DIV/0!</v>
      </c>
      <c r="U28" s="12"/>
      <c r="V28" s="13" t="str">
        <f>U28/G11*100000</f>
        <v>#DIV/0!</v>
      </c>
      <c r="W28" s="12"/>
      <c r="X28" s="13" t="str">
        <f>W28/H11*100000</f>
        <v>#DIV/0!</v>
      </c>
      <c r="Y28" s="13">
        <f t="shared" ref="Y28:Z28" si="35">((M28+O28+Q28+S28)/4)</f>
        <v>0</v>
      </c>
      <c r="Z28" s="13" t="str">
        <f t="shared" si="35"/>
        <v>#DIV/0!</v>
      </c>
      <c r="AA28" s="13">
        <f t="shared" si="3"/>
        <v>0</v>
      </c>
      <c r="AB28" s="13" t="str">
        <f t="shared" si="4"/>
        <v>#DIV/0!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 t="str">
        <f>M29/C10*100000</f>
        <v>#DIV/0!</v>
      </c>
      <c r="O29" s="12"/>
      <c r="P29" s="13" t="str">
        <f>O29/D10*100000</f>
        <v>#DIV/0!</v>
      </c>
      <c r="Q29" s="47"/>
      <c r="R29" s="13" t="str">
        <f>Q29/E10*100000</f>
        <v>#DIV/0!</v>
      </c>
      <c r="S29" s="12"/>
      <c r="T29" s="13" t="str">
        <f>S29/F10*100000</f>
        <v>#DIV/0!</v>
      </c>
      <c r="U29" s="12"/>
      <c r="V29" s="13" t="str">
        <f>U29/G10*100000</f>
        <v>#DIV/0!</v>
      </c>
      <c r="W29" s="12"/>
      <c r="X29" s="13" t="str">
        <f>W29/H10*100000</f>
        <v>#DIV/0!</v>
      </c>
      <c r="Y29" s="13">
        <f t="shared" ref="Y29:Z29" si="36">((M29+O29+Q29+S29)/4)</f>
        <v>0</v>
      </c>
      <c r="Z29" s="13" t="str">
        <f t="shared" si="36"/>
        <v>#DIV/0!</v>
      </c>
      <c r="AA29" s="13">
        <f t="shared" si="3"/>
        <v>0</v>
      </c>
      <c r="AB29" s="13" t="str">
        <f t="shared" si="4"/>
        <v>#DIV/0!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 t="str">
        <f>M30/C7*100000</f>
        <v>#DIV/0!</v>
      </c>
      <c r="O30" s="12"/>
      <c r="P30" s="13" t="str">
        <f>O30/D7*100000</f>
        <v>#DIV/0!</v>
      </c>
      <c r="Q30" s="47"/>
      <c r="R30" s="13" t="str">
        <f>Q30/E7*100000</f>
        <v>#DIV/0!</v>
      </c>
      <c r="S30" s="12"/>
      <c r="T30" s="13" t="str">
        <f>S30/F7*100000</f>
        <v>#DIV/0!</v>
      </c>
      <c r="U30" s="12"/>
      <c r="V30" s="13" t="str">
        <f>U30/G7*100000</f>
        <v>#DIV/0!</v>
      </c>
      <c r="W30" s="12"/>
      <c r="X30" s="13" t="str">
        <f>W30/H7*100000</f>
        <v>#DIV/0!</v>
      </c>
      <c r="Y30" s="13">
        <f t="shared" ref="Y30:Z30" si="37">((M30+O30+Q30+S30)/4)</f>
        <v>0</v>
      </c>
      <c r="Z30" s="13" t="str">
        <f t="shared" si="37"/>
        <v>#DIV/0!</v>
      </c>
      <c r="AA30" s="13">
        <f t="shared" si="3"/>
        <v>0</v>
      </c>
      <c r="AB30" s="13" t="str">
        <f t="shared" si="4"/>
        <v>#DIV/0!</v>
      </c>
      <c r="AC30" s="14" t="s">
        <v>22</v>
      </c>
    </row>
    <row r="31" ht="14.25" customHeight="1">
      <c r="A31" s="5"/>
      <c r="B31" s="32" t="s">
        <v>84</v>
      </c>
      <c r="C31" s="31"/>
      <c r="D31" s="31"/>
      <c r="E31" s="31"/>
      <c r="F31" s="31"/>
      <c r="G31" s="31"/>
      <c r="H31" s="31"/>
      <c r="I31" s="5"/>
      <c r="J31" s="5"/>
      <c r="K31" s="5"/>
      <c r="L31" s="11" t="s">
        <v>85</v>
      </c>
      <c r="M31" s="12"/>
      <c r="N31" s="13" t="str">
        <f>M31/C7*100000</f>
        <v>#DIV/0!</v>
      </c>
      <c r="O31" s="12"/>
      <c r="P31" s="13" t="str">
        <f>O31/D7*100000</f>
        <v>#DIV/0!</v>
      </c>
      <c r="Q31" s="47"/>
      <c r="R31" s="13" t="str">
        <f>Q31/E7*100000</f>
        <v>#DIV/0!</v>
      </c>
      <c r="S31" s="12"/>
      <c r="T31" s="13" t="str">
        <f>S31/F7*100000</f>
        <v>#DIV/0!</v>
      </c>
      <c r="U31" s="12"/>
      <c r="V31" s="13" t="str">
        <f>U31/G7*100000</f>
        <v>#DIV/0!</v>
      </c>
      <c r="W31" s="12"/>
      <c r="X31" s="13" t="str">
        <f>W31/H7*100000</f>
        <v>#DIV/0!</v>
      </c>
      <c r="Y31" s="13">
        <f t="shared" ref="Y31:Z31" si="38">((M31+O31+Q31+S31)/4)</f>
        <v>0</v>
      </c>
      <c r="Z31" s="13" t="str">
        <f t="shared" si="38"/>
        <v>#DIV/0!</v>
      </c>
      <c r="AA31" s="13">
        <f t="shared" si="3"/>
        <v>0</v>
      </c>
      <c r="AB31" s="13" t="str">
        <f t="shared" si="4"/>
        <v>#DIV/0!</v>
      </c>
      <c r="AC31" s="14" t="s">
        <v>22</v>
      </c>
    </row>
    <row r="32" ht="14.25" customHeight="1">
      <c r="A32" s="5"/>
      <c r="B32" s="32" t="s">
        <v>86</v>
      </c>
      <c r="C32" s="31"/>
      <c r="D32" s="31"/>
      <c r="E32" s="31"/>
      <c r="F32" s="31"/>
      <c r="G32" s="31"/>
      <c r="H32" s="31"/>
      <c r="I32" s="5"/>
      <c r="J32" s="5"/>
      <c r="K32" s="5"/>
      <c r="L32" s="11" t="s">
        <v>87</v>
      </c>
      <c r="M32" s="61"/>
      <c r="N32" s="34" t="str">
        <f>M32/C7*100</f>
        <v>#DIV/0!</v>
      </c>
      <c r="O32" s="12"/>
      <c r="P32" s="34" t="str">
        <f>O32/D7*100</f>
        <v>#DIV/0!</v>
      </c>
      <c r="Q32" s="47"/>
      <c r="R32" s="34" t="str">
        <f>Q32/E7*100</f>
        <v>#DIV/0!</v>
      </c>
      <c r="S32" s="61"/>
      <c r="T32" s="34" t="str">
        <f>S32/F7*100</f>
        <v>#DIV/0!</v>
      </c>
      <c r="U32" s="61"/>
      <c r="V32" s="34" t="str">
        <f>U32/G7*100</f>
        <v>#DIV/0!</v>
      </c>
      <c r="W32" s="61"/>
      <c r="X32" s="34" t="str">
        <f>W32/H7*100</f>
        <v>#DIV/0!</v>
      </c>
      <c r="Y32" s="13">
        <f t="shared" ref="Y32:Z32" si="39">((M32+O32+Q32+S32)/4)</f>
        <v>0</v>
      </c>
      <c r="Z32" s="35" t="str">
        <f t="shared" si="39"/>
        <v>#DIV/0!</v>
      </c>
      <c r="AA32" s="13">
        <f t="shared" si="3"/>
        <v>0</v>
      </c>
      <c r="AB32" s="13" t="str">
        <f t="shared" si="4"/>
        <v>#DIV/0!</v>
      </c>
      <c r="AC32" s="14" t="s">
        <v>48</v>
      </c>
    </row>
    <row r="33" ht="14.25" customHeight="1">
      <c r="A33" s="5"/>
      <c r="B33" s="32" t="s">
        <v>88</v>
      </c>
      <c r="C33" s="31"/>
      <c r="D33" s="31"/>
      <c r="E33" s="31"/>
      <c r="F33" s="31"/>
      <c r="G33" s="31"/>
      <c r="H33" s="31"/>
      <c r="I33" s="5"/>
      <c r="J33" s="5"/>
      <c r="K33" s="5"/>
      <c r="L33" s="11" t="s">
        <v>89</v>
      </c>
      <c r="M33" s="12"/>
      <c r="N33" s="13" t="str">
        <f>M33/C7*10000</f>
        <v>#DIV/0!</v>
      </c>
      <c r="O33" s="12"/>
      <c r="P33" s="13" t="str">
        <f>O33/D7*10000</f>
        <v>#DIV/0!</v>
      </c>
      <c r="Q33" s="47"/>
      <c r="R33" s="13" t="str">
        <f>Q33/E7*10000</f>
        <v>#DIV/0!</v>
      </c>
      <c r="S33" s="12"/>
      <c r="T33" s="13" t="str">
        <f>S33/F7*10000</f>
        <v>#DIV/0!</v>
      </c>
      <c r="U33" s="12"/>
      <c r="V33" s="13" t="str">
        <f>U33/G7*10000</f>
        <v>#DIV/0!</v>
      </c>
      <c r="W33" s="12"/>
      <c r="X33" s="13" t="str">
        <f>W33/H7*10000</f>
        <v>#DIV/0!</v>
      </c>
      <c r="Y33" s="13">
        <f t="shared" ref="Y33:Z33" si="40">((M33+O33+Q33+S33)/4)</f>
        <v>0</v>
      </c>
      <c r="Z33" s="13" t="str">
        <f t="shared" si="40"/>
        <v>#DIV/0!</v>
      </c>
      <c r="AA33" s="13">
        <f t="shared" si="3"/>
        <v>0</v>
      </c>
      <c r="AB33" s="13" t="str">
        <f t="shared" si="4"/>
        <v>#DIV/0!</v>
      </c>
      <c r="AC33" s="14" t="s">
        <v>48</v>
      </c>
    </row>
    <row r="34" ht="14.25" customHeight="1">
      <c r="A34" s="5"/>
      <c r="B34" s="32" t="s">
        <v>90</v>
      </c>
      <c r="C34" s="31"/>
      <c r="D34" s="31"/>
      <c r="E34" s="31"/>
      <c r="F34" s="31"/>
      <c r="G34" s="31"/>
      <c r="H34" s="31"/>
      <c r="I34" s="5"/>
      <c r="J34" s="5"/>
      <c r="K34" s="5"/>
      <c r="L34" s="11" t="s">
        <v>91</v>
      </c>
      <c r="M34" s="12"/>
      <c r="N34" s="13" t="str">
        <f>M34/C7*10000</f>
        <v>#DIV/0!</v>
      </c>
      <c r="O34" s="12"/>
      <c r="P34" s="13" t="str">
        <f>O34/D7*10000</f>
        <v>#DIV/0!</v>
      </c>
      <c r="Q34" s="47"/>
      <c r="R34" s="13" t="str">
        <f>Q34/E7*10000</f>
        <v>#DIV/0!</v>
      </c>
      <c r="S34" s="12"/>
      <c r="T34" s="13" t="str">
        <f>S34/F7*10000</f>
        <v>#DIV/0!</v>
      </c>
      <c r="U34" s="12"/>
      <c r="V34" s="13" t="str">
        <f>U34/G7*10000</f>
        <v>#DIV/0!</v>
      </c>
      <c r="W34" s="12"/>
      <c r="X34" s="13" t="str">
        <f>W34/H7*10000</f>
        <v>#DIV/0!</v>
      </c>
      <c r="Y34" s="13">
        <f t="shared" ref="Y34:Z34" si="41">((M34+O34+Q34+S34)/4)</f>
        <v>0</v>
      </c>
      <c r="Z34" s="13" t="str">
        <f t="shared" si="41"/>
        <v>#DIV/0!</v>
      </c>
      <c r="AA34" s="13">
        <f t="shared" si="3"/>
        <v>0</v>
      </c>
      <c r="AB34" s="13" t="str">
        <f t="shared" si="4"/>
        <v>#DIV/0!</v>
      </c>
      <c r="AC34" s="14" t="s">
        <v>48</v>
      </c>
    </row>
    <row r="35" ht="14.25" customHeight="1">
      <c r="A35" s="5"/>
      <c r="B35" s="32" t="s">
        <v>92</v>
      </c>
      <c r="C35" s="31"/>
      <c r="D35" s="31"/>
      <c r="E35" s="31"/>
      <c r="F35" s="31"/>
      <c r="G35" s="31"/>
      <c r="H35" s="31"/>
      <c r="I35" s="5"/>
      <c r="J35" s="5"/>
      <c r="K35" s="5"/>
      <c r="L35" s="11" t="s">
        <v>93</v>
      </c>
      <c r="M35" s="12"/>
      <c r="N35" s="13" t="str">
        <f>M35/M4*1000</f>
        <v>#DIV/0!</v>
      </c>
      <c r="O35" s="12"/>
      <c r="P35" s="13" t="str">
        <f>O35/O4*1000</f>
        <v>#DIV/0!</v>
      </c>
      <c r="Q35" s="47"/>
      <c r="R35" s="13" t="str">
        <f>Q35/Q4*1000</f>
        <v>#DIV/0!</v>
      </c>
      <c r="S35" s="12"/>
      <c r="T35" s="13" t="str">
        <f>S35/S4*1000</f>
        <v>#DIV/0!</v>
      </c>
      <c r="U35" s="12"/>
      <c r="V35" s="13" t="str">
        <f>U35/U4*1000</f>
        <v>#DIV/0!</v>
      </c>
      <c r="W35" s="12"/>
      <c r="X35" s="13" t="str">
        <f>W35/W4*1000</f>
        <v>#DIV/0!</v>
      </c>
      <c r="Y35" s="13">
        <f t="shared" ref="Y35:Z35" si="42">((M35+O35+Q35+S35)/4)</f>
        <v>0</v>
      </c>
      <c r="Z35" s="13" t="str">
        <f t="shared" si="42"/>
        <v>#DIV/0!</v>
      </c>
      <c r="AA35" s="13">
        <f t="shared" si="3"/>
        <v>0</v>
      </c>
      <c r="AB35" s="13" t="str">
        <f t="shared" si="4"/>
        <v>#DIV/0!</v>
      </c>
      <c r="AC35" s="14" t="s">
        <v>48</v>
      </c>
    </row>
    <row r="36" ht="14.25" customHeight="1">
      <c r="A36" s="5"/>
      <c r="B36" s="32" t="s">
        <v>94</v>
      </c>
      <c r="C36" s="31"/>
      <c r="D36" s="31"/>
      <c r="E36" s="31"/>
      <c r="F36" s="31"/>
      <c r="G36" s="31"/>
      <c r="H36" s="31"/>
      <c r="I36" s="5"/>
      <c r="J36" s="5"/>
      <c r="K36" s="5"/>
      <c r="L36" s="11" t="s">
        <v>95</v>
      </c>
      <c r="M36" s="12"/>
      <c r="N36" s="13" t="str">
        <f>M36/M4*1000</f>
        <v>#DIV/0!</v>
      </c>
      <c r="O36" s="12"/>
      <c r="P36" s="13" t="str">
        <f>O36/O4*1000</f>
        <v>#DIV/0!</v>
      </c>
      <c r="Q36" s="47"/>
      <c r="R36" s="13" t="str">
        <f>Q36/Q4*1000</f>
        <v>#DIV/0!</v>
      </c>
      <c r="S36" s="12"/>
      <c r="T36" s="13" t="str">
        <f>S36/S4*1000</f>
        <v>#DIV/0!</v>
      </c>
      <c r="U36" s="12"/>
      <c r="V36" s="13" t="str">
        <f>U36/U4*1000</f>
        <v>#DIV/0!</v>
      </c>
      <c r="W36" s="12"/>
      <c r="X36" s="13" t="str">
        <f>W36/W4*1000</f>
        <v>#DIV/0!</v>
      </c>
      <c r="Y36" s="13">
        <f t="shared" ref="Y36:Z36" si="43">((M36+O36+Q36+S36)/4)</f>
        <v>0</v>
      </c>
      <c r="Z36" s="13" t="str">
        <f t="shared" si="43"/>
        <v>#DIV/0!</v>
      </c>
      <c r="AA36" s="13">
        <f t="shared" si="3"/>
        <v>0</v>
      </c>
      <c r="AB36" s="13" t="str">
        <f t="shared" si="4"/>
        <v>#DIV/0!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13">
        <f t="shared" ref="Y37:Z37" si="44">((M37+O37+Q37+S37)/4)</f>
        <v>0</v>
      </c>
      <c r="Z37" s="13">
        <f t="shared" si="44"/>
        <v>0</v>
      </c>
      <c r="AA37" s="13">
        <f t="shared" si="3"/>
        <v>0</v>
      </c>
      <c r="AB37" s="13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 t="str">
        <f>M38/C7*10000</f>
        <v>#DIV/0!</v>
      </c>
      <c r="O38" s="12"/>
      <c r="P38" s="13" t="str">
        <f>O38/E7*10000</f>
        <v>#DIV/0!</v>
      </c>
      <c r="Q38" s="47"/>
      <c r="R38" s="13" t="str">
        <f>Q38/E7*10000</f>
        <v>#DIV/0!</v>
      </c>
      <c r="S38" s="12"/>
      <c r="T38" s="13" t="str">
        <f>S38/F7*10000</f>
        <v>#DIV/0!</v>
      </c>
      <c r="U38" s="12"/>
      <c r="V38" s="13" t="str">
        <f>U38/G7*10000</f>
        <v>#DIV/0!</v>
      </c>
      <c r="W38" s="12"/>
      <c r="X38" s="13" t="str">
        <f>W38/H7*10000</f>
        <v>#DIV/0!</v>
      </c>
      <c r="Y38" s="13">
        <f t="shared" ref="Y38:Z38" si="45">((M38+O38+Q38+S38)/4)</f>
        <v>0</v>
      </c>
      <c r="Z38" s="13" t="str">
        <f t="shared" si="45"/>
        <v>#DIV/0!</v>
      </c>
      <c r="AA38" s="13">
        <f t="shared" si="3"/>
        <v>0</v>
      </c>
      <c r="AB38" s="13" t="str">
        <f t="shared" si="4"/>
        <v>#DIV/0!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 t="str">
        <f>M39/C17*10000</f>
        <v>#DIV/0!</v>
      </c>
      <c r="O39" s="12"/>
      <c r="P39" s="13" t="str">
        <f>O39/D17*10000</f>
        <v>#DIV/0!</v>
      </c>
      <c r="Q39" s="47"/>
      <c r="R39" s="13" t="str">
        <f>Q39/E17*100000</f>
        <v>#DIV/0!</v>
      </c>
      <c r="S39" s="12"/>
      <c r="T39" s="13" t="str">
        <f>S39/F17*100000</f>
        <v>#DIV/0!</v>
      </c>
      <c r="U39" s="12"/>
      <c r="V39" s="13" t="str">
        <f>U39/G17*100000</f>
        <v>#DIV/0!</v>
      </c>
      <c r="W39" s="12"/>
      <c r="X39" s="13" t="str">
        <f>W39/H17*100000</f>
        <v>#DIV/0!</v>
      </c>
      <c r="Y39" s="13">
        <f t="shared" ref="Y39:Z39" si="46">((M39+O39+Q39+S39)/4)</f>
        <v>0</v>
      </c>
      <c r="Z39" s="13" t="str">
        <f t="shared" si="46"/>
        <v>#DIV/0!</v>
      </c>
      <c r="AA39" s="13">
        <f t="shared" si="3"/>
        <v>0</v>
      </c>
      <c r="AB39" s="13" t="str">
        <f t="shared" si="4"/>
        <v>#DIV/0!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 t="str">
        <f>M40/C7*100000</f>
        <v>#DIV/0!</v>
      </c>
      <c r="O40" s="12"/>
      <c r="P40" s="13" t="str">
        <f>O40/D7*100000</f>
        <v>#DIV/0!</v>
      </c>
      <c r="Q40" s="47"/>
      <c r="R40" s="13" t="str">
        <f>Q40/E7*100000</f>
        <v>#DIV/0!</v>
      </c>
      <c r="S40" s="12"/>
      <c r="T40" s="13" t="str">
        <f>S40/F7*100000</f>
        <v>#DIV/0!</v>
      </c>
      <c r="U40" s="12"/>
      <c r="V40" s="13" t="str">
        <f>U40/G7*100000</f>
        <v>#DIV/0!</v>
      </c>
      <c r="W40" s="12"/>
      <c r="X40" s="13" t="str">
        <f>W40/H7*100000</f>
        <v>#DIV/0!</v>
      </c>
      <c r="Y40" s="13">
        <f t="shared" ref="Y40:Z40" si="47">((M40+O40+Q40+S40)/4)</f>
        <v>0</v>
      </c>
      <c r="Z40" s="13" t="str">
        <f t="shared" si="47"/>
        <v>#DIV/0!</v>
      </c>
      <c r="AA40" s="13">
        <f t="shared" si="3"/>
        <v>0</v>
      </c>
      <c r="AB40" s="13" t="str">
        <f t="shared" si="4"/>
        <v>#DIV/0!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 t="str">
        <f>M41/C7*10000</f>
        <v>#DIV/0!</v>
      </c>
      <c r="O41" s="12"/>
      <c r="P41" s="28" t="str">
        <f>O41/D7*10000</f>
        <v>#DIV/0!</v>
      </c>
      <c r="Q41" s="47"/>
      <c r="R41" s="28" t="str">
        <f>Q41/E7*10000</f>
        <v>#DIV/0!</v>
      </c>
      <c r="S41" s="61"/>
      <c r="T41" s="28" t="str">
        <f>S41/F7*10000</f>
        <v>#DIV/0!</v>
      </c>
      <c r="U41" s="61"/>
      <c r="V41" s="28" t="str">
        <f>U41/G7*10000</f>
        <v>#DIV/0!</v>
      </c>
      <c r="W41" s="61"/>
      <c r="X41" s="28" t="str">
        <f>W41/H7*10000</f>
        <v>#DIV/0!</v>
      </c>
      <c r="Y41" s="13">
        <f t="shared" ref="Y41:Z41" si="48">((M41+O41+Q41+S41)/4)</f>
        <v>0</v>
      </c>
      <c r="Z41" s="13" t="str">
        <f t="shared" si="48"/>
        <v>#DIV/0!</v>
      </c>
      <c r="AA41" s="13">
        <f t="shared" si="3"/>
        <v>0</v>
      </c>
      <c r="AB41" s="13" t="str">
        <f t="shared" si="4"/>
        <v>#DIV/0!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 t="str">
        <f>M42/C7*10000</f>
        <v>#DIV/0!</v>
      </c>
      <c r="O42" s="12"/>
      <c r="P42" s="28" t="str">
        <f>O42/D7*10000</f>
        <v>#DIV/0!</v>
      </c>
      <c r="Q42" s="47"/>
      <c r="R42" s="28" t="str">
        <f>Q42/E7*10000</f>
        <v>#DIV/0!</v>
      </c>
      <c r="S42" s="61"/>
      <c r="T42" s="28" t="str">
        <f>S42/F7*10000</f>
        <v>#DIV/0!</v>
      </c>
      <c r="U42" s="61"/>
      <c r="V42" s="28" t="str">
        <f>U42/G7*10000</f>
        <v>#DIV/0!</v>
      </c>
      <c r="W42" s="61"/>
      <c r="X42" s="28" t="str">
        <f>W42/H7*10000</f>
        <v>#DIV/0!</v>
      </c>
      <c r="Y42" s="13">
        <f t="shared" ref="Y42:Z42" si="49">((M42+O42+Q42+S42)/4)</f>
        <v>0</v>
      </c>
      <c r="Z42" s="13" t="str">
        <f t="shared" si="49"/>
        <v>#DIV/0!</v>
      </c>
      <c r="AA42" s="13">
        <f t="shared" si="3"/>
        <v>0</v>
      </c>
      <c r="AB42" s="13" t="str">
        <f t="shared" si="4"/>
        <v>#DIV/0!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 t="str">
        <f>M43/C16*10000</f>
        <v>#DIV/0!</v>
      </c>
      <c r="O43" s="12"/>
      <c r="P43" s="28" t="str">
        <f>O43/D16*10000</f>
        <v>#DIV/0!</v>
      </c>
      <c r="Q43" s="47"/>
      <c r="R43" s="28" t="str">
        <f>Q43/E16*100000</f>
        <v>#DIV/0!</v>
      </c>
      <c r="S43" s="61"/>
      <c r="T43" s="28" t="str">
        <f>S43/F16*100000</f>
        <v>#DIV/0!</v>
      </c>
      <c r="U43" s="61"/>
      <c r="V43" s="28" t="str">
        <f>U43/G16*100000</f>
        <v>#DIV/0!</v>
      </c>
      <c r="W43" s="61"/>
      <c r="X43" s="28" t="str">
        <f>W43/H16*100000</f>
        <v>#DIV/0!</v>
      </c>
      <c r="Y43" s="13">
        <f t="shared" ref="Y43:Z43" si="50">((M43+O43+Q43+S43)/4)</f>
        <v>0</v>
      </c>
      <c r="Z43" s="13" t="str">
        <f t="shared" si="50"/>
        <v>#DIV/0!</v>
      </c>
      <c r="AA43" s="13">
        <f t="shared" si="3"/>
        <v>0</v>
      </c>
      <c r="AB43" s="13" t="str">
        <f t="shared" si="4"/>
        <v>#DIV/0!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 t="str">
        <f>M44/C7*100000</f>
        <v>#DIV/0!</v>
      </c>
      <c r="O44" s="12"/>
      <c r="P44" s="28" t="str">
        <f>O44/D7*100000</f>
        <v>#DIV/0!</v>
      </c>
      <c r="Q44" s="12"/>
      <c r="R44" s="13" t="str">
        <f>Q44/E7*100000</f>
        <v>#DIV/0!</v>
      </c>
      <c r="S44" s="12"/>
      <c r="T44" s="13" t="str">
        <f>S44/F7*100000</f>
        <v>#DIV/0!</v>
      </c>
      <c r="U44" s="12"/>
      <c r="V44" s="13" t="str">
        <f>U44/G7*100000</f>
        <v>#DIV/0!</v>
      </c>
      <c r="W44" s="12"/>
      <c r="X44" s="13" t="str">
        <f>W44/H7*100000</f>
        <v>#DIV/0!</v>
      </c>
      <c r="Y44" s="13">
        <f t="shared" ref="Y44:Z44" si="51">((M44+O44+Q44+S44)/4)</f>
        <v>0</v>
      </c>
      <c r="Z44" s="13" t="str">
        <f t="shared" si="51"/>
        <v>#DIV/0!</v>
      </c>
      <c r="AA44" s="13">
        <f t="shared" si="3"/>
        <v>0</v>
      </c>
      <c r="AB44" s="13" t="str">
        <f t="shared" si="4"/>
        <v>#DIV/0!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 t="str">
        <f>M45/M4*100</f>
        <v>#DIV/0!</v>
      </c>
      <c r="O45" s="12"/>
      <c r="P45" s="28" t="str">
        <f>O45/O4*100</f>
        <v>#DIV/0!</v>
      </c>
      <c r="Q45" s="12"/>
      <c r="R45" s="13" t="str">
        <f>Q45/Q4*100</f>
        <v>#DIV/0!</v>
      </c>
      <c r="S45" s="12"/>
      <c r="T45" s="13" t="str">
        <f>S45/S4*100</f>
        <v>#DIV/0!</v>
      </c>
      <c r="U45" s="12"/>
      <c r="V45" s="13" t="str">
        <f>U45/U4*100</f>
        <v>#DIV/0!</v>
      </c>
      <c r="W45" s="12"/>
      <c r="X45" s="13" t="str">
        <f>W45/W4*100</f>
        <v>#DIV/0!</v>
      </c>
      <c r="Y45" s="13">
        <f t="shared" ref="Y45:Z45" si="52">((M45+O45+Q45+S45)/4)</f>
        <v>0</v>
      </c>
      <c r="Z45" s="13" t="str">
        <f t="shared" si="52"/>
        <v>#DIV/0!</v>
      </c>
      <c r="AA45" s="13">
        <f t="shared" si="3"/>
        <v>0</v>
      </c>
      <c r="AB45" s="13" t="str">
        <f t="shared" si="4"/>
        <v>#DIV/0!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 t="str">
        <f>M46/M4*100</f>
        <v>#DIV/0!</v>
      </c>
      <c r="O46" s="12"/>
      <c r="P46" s="28" t="str">
        <f>O46/O4*100</f>
        <v>#DIV/0!</v>
      </c>
      <c r="Q46" s="12"/>
      <c r="R46" s="13" t="str">
        <f>Q46/Q4*100</f>
        <v>#DIV/0!</v>
      </c>
      <c r="S46" s="12"/>
      <c r="T46" s="13" t="str">
        <f>S46/S4*100</f>
        <v>#DIV/0!</v>
      </c>
      <c r="U46" s="12"/>
      <c r="V46" s="13" t="str">
        <f>U46/U4*100</f>
        <v>#DIV/0!</v>
      </c>
      <c r="W46" s="12"/>
      <c r="X46" s="13" t="str">
        <f>W46/W4*100</f>
        <v>#DIV/0!</v>
      </c>
      <c r="Y46" s="13">
        <f t="shared" ref="Y46:Z46" si="53">((M46+O46+Q46+S46)/4)</f>
        <v>0</v>
      </c>
      <c r="Z46" s="13" t="str">
        <f t="shared" si="53"/>
        <v>#DIV/0!</v>
      </c>
      <c r="AA46" s="13">
        <f t="shared" si="3"/>
        <v>0</v>
      </c>
      <c r="AB46" s="13" t="str">
        <f t="shared" si="4"/>
        <v>#DIV/0!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 t="str">
        <f>M47/C7*100000</f>
        <v>#DIV/0!</v>
      </c>
      <c r="O47" s="47"/>
      <c r="P47" s="13" t="str">
        <f>O47/D7*100000</f>
        <v>#DIV/0!</v>
      </c>
      <c r="Q47" s="47"/>
      <c r="R47" s="13" t="str">
        <f>Q47/E7*100000</f>
        <v>#DIV/0!</v>
      </c>
      <c r="S47" s="12"/>
      <c r="T47" s="13" t="str">
        <f>S47/F7*100000</f>
        <v>#DIV/0!</v>
      </c>
      <c r="U47" s="12"/>
      <c r="V47" s="13" t="str">
        <f>U47/G7*100000</f>
        <v>#DIV/0!</v>
      </c>
      <c r="W47" s="12"/>
      <c r="X47" s="13" t="str">
        <f>W47/H7*100000</f>
        <v>#DIV/0!</v>
      </c>
      <c r="Y47" s="13">
        <f t="shared" ref="Y47:Z47" si="54">((M47+O47+Q47+S47)/4)</f>
        <v>0</v>
      </c>
      <c r="Z47" s="13" t="str">
        <f t="shared" si="54"/>
        <v>#DIV/0!</v>
      </c>
      <c r="AA47" s="13">
        <f t="shared" si="3"/>
        <v>0</v>
      </c>
      <c r="AB47" s="13" t="str">
        <f t="shared" si="4"/>
        <v>#DIV/0!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 t="str">
        <f>M48/C7*100000</f>
        <v>#DIV/0!</v>
      </c>
      <c r="O48" s="12"/>
      <c r="P48" s="13" t="str">
        <f>O48/D7*100000</f>
        <v>#DIV/0!</v>
      </c>
      <c r="Q48" s="47"/>
      <c r="R48" s="13" t="str">
        <f>Q48/E7*100000</f>
        <v>#DIV/0!</v>
      </c>
      <c r="S48" s="12"/>
      <c r="T48" s="13" t="str">
        <f>S48/F7*100000</f>
        <v>#DIV/0!</v>
      </c>
      <c r="U48" s="12"/>
      <c r="V48" s="13" t="str">
        <f>U48/G7*100000</f>
        <v>#DIV/0!</v>
      </c>
      <c r="W48" s="12"/>
      <c r="X48" s="13" t="str">
        <f>W48/H7*100000</f>
        <v>#DIV/0!</v>
      </c>
      <c r="Y48" s="13">
        <f t="shared" ref="Y48:Z48" si="55">((M48+O48+Q48+S48)/4)</f>
        <v>0</v>
      </c>
      <c r="Z48" s="13" t="str">
        <f t="shared" si="55"/>
        <v>#DIV/0!</v>
      </c>
      <c r="AA48" s="13">
        <f t="shared" si="3"/>
        <v>0</v>
      </c>
      <c r="AB48" s="13" t="str">
        <f t="shared" si="4"/>
        <v>#DIV/0!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 t="str">
        <f>M49/C7*100000</f>
        <v>#DIV/0!</v>
      </c>
      <c r="O49" s="12"/>
      <c r="P49" s="13" t="str">
        <f>O49/D7*100000</f>
        <v>#DIV/0!</v>
      </c>
      <c r="Q49" s="47"/>
      <c r="R49" s="13" t="str">
        <f>Q49/E7*100000</f>
        <v>#DIV/0!</v>
      </c>
      <c r="S49" s="12"/>
      <c r="T49" s="13" t="str">
        <f>S49/F7*100000</f>
        <v>#DIV/0!</v>
      </c>
      <c r="U49" s="12"/>
      <c r="V49" s="13" t="str">
        <f>U49/G7*100000</f>
        <v>#DIV/0!</v>
      </c>
      <c r="W49" s="12"/>
      <c r="X49" s="13" t="str">
        <f>W49/H7*100000</f>
        <v>#DIV/0!</v>
      </c>
      <c r="Y49" s="13">
        <f t="shared" ref="Y49:Z49" si="56">((M49+O49+Q49+S49)/4)</f>
        <v>0</v>
      </c>
      <c r="Z49" s="13" t="str">
        <f t="shared" si="56"/>
        <v>#DIV/0!</v>
      </c>
      <c r="AA49" s="13">
        <f t="shared" si="3"/>
        <v>0</v>
      </c>
      <c r="AB49" s="13" t="str">
        <f t="shared" si="4"/>
        <v>#DIV/0!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 t="str">
        <f>M50/C7*100000</f>
        <v>#DIV/0!</v>
      </c>
      <c r="O50" s="47"/>
      <c r="P50" s="13" t="str">
        <f>O50/D7*100000</f>
        <v>#DIV/0!</v>
      </c>
      <c r="Q50" s="47"/>
      <c r="R50" s="13" t="str">
        <f>Q50/E7*100000</f>
        <v>#DIV/0!</v>
      </c>
      <c r="S50" s="12"/>
      <c r="T50" s="13" t="str">
        <f>S50/F7*100000</f>
        <v>#DIV/0!</v>
      </c>
      <c r="U50" s="12"/>
      <c r="V50" s="13" t="str">
        <f>U50/G7*100000</f>
        <v>#DIV/0!</v>
      </c>
      <c r="W50" s="12"/>
      <c r="X50" s="13" t="str">
        <f>W50/H7*100000</f>
        <v>#DIV/0!</v>
      </c>
      <c r="Y50" s="13">
        <f t="shared" ref="Y50:Z50" si="57">((M50+O50+Q50+S50)/4)</f>
        <v>0</v>
      </c>
      <c r="Z50" s="13" t="str">
        <f t="shared" si="57"/>
        <v>#DIV/0!</v>
      </c>
      <c r="AA50" s="13">
        <f t="shared" si="3"/>
        <v>0</v>
      </c>
      <c r="AB50" s="13" t="str">
        <f t="shared" si="4"/>
        <v>#DIV/0!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 t="str">
        <f>M51/C7*100000</f>
        <v>#DIV/0!</v>
      </c>
      <c r="O51" s="47"/>
      <c r="P51" s="13" t="str">
        <f>O51/D7*100000</f>
        <v>#DIV/0!</v>
      </c>
      <c r="Q51" s="47"/>
      <c r="R51" s="13" t="str">
        <f>Q51/E7*100000</f>
        <v>#DIV/0!</v>
      </c>
      <c r="S51" s="12"/>
      <c r="T51" s="13" t="str">
        <f>S51/F7*100000</f>
        <v>#DIV/0!</v>
      </c>
      <c r="U51" s="12"/>
      <c r="V51" s="13" t="str">
        <f>U51/G7*100000</f>
        <v>#DIV/0!</v>
      </c>
      <c r="W51" s="12"/>
      <c r="X51" s="13" t="str">
        <f>W51/H7*100000</f>
        <v>#DIV/0!</v>
      </c>
      <c r="Y51" s="13">
        <f t="shared" ref="Y51:Z51" si="58">((M51+O51+Q51+S51)/4)</f>
        <v>0</v>
      </c>
      <c r="Z51" s="13" t="str">
        <f t="shared" si="58"/>
        <v>#DIV/0!</v>
      </c>
      <c r="AA51" s="13">
        <f t="shared" si="3"/>
        <v>0</v>
      </c>
      <c r="AB51" s="13" t="str">
        <f t="shared" si="4"/>
        <v>#DIV/0!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 t="str">
        <f>M52/C7*100000</f>
        <v>#DIV/0!</v>
      </c>
      <c r="O52" s="47"/>
      <c r="P52" s="13" t="str">
        <f>O52/D7*100000</f>
        <v>#DIV/0!</v>
      </c>
      <c r="Q52" s="47"/>
      <c r="R52" s="13" t="str">
        <f>Q52/E7*100000</f>
        <v>#DIV/0!</v>
      </c>
      <c r="S52" s="12"/>
      <c r="T52" s="13" t="str">
        <f>S52/F7*100000</f>
        <v>#DIV/0!</v>
      </c>
      <c r="U52" s="12"/>
      <c r="V52" s="13" t="str">
        <f>U52/G7*100000</f>
        <v>#DIV/0!</v>
      </c>
      <c r="W52" s="12"/>
      <c r="X52" s="13" t="str">
        <f>W52/H7*100000</f>
        <v>#DIV/0!</v>
      </c>
      <c r="Y52" s="13">
        <f t="shared" ref="Y52:Z52" si="59">((M52+O52+Q52+S52)/4)</f>
        <v>0</v>
      </c>
      <c r="Z52" s="13" t="str">
        <f t="shared" si="59"/>
        <v>#DIV/0!</v>
      </c>
      <c r="AA52" s="13">
        <f t="shared" si="3"/>
        <v>0</v>
      </c>
      <c r="AB52" s="13" t="str">
        <f t="shared" si="4"/>
        <v>#DIV/0!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 t="str">
        <f>M53/C17*100000</f>
        <v>#DIV/0!</v>
      </c>
      <c r="O53" s="47"/>
      <c r="P53" s="13" t="str">
        <f>O53/D17*100000</f>
        <v>#DIV/0!</v>
      </c>
      <c r="Q53" s="47"/>
      <c r="R53" s="13" t="str">
        <f>Q53/E17*100000</f>
        <v>#DIV/0!</v>
      </c>
      <c r="S53" s="12"/>
      <c r="T53" s="13" t="str">
        <f>S53/F17*100000</f>
        <v>#DIV/0!</v>
      </c>
      <c r="U53" s="12"/>
      <c r="V53" s="13" t="str">
        <f>U53/G17*100000</f>
        <v>#DIV/0!</v>
      </c>
      <c r="W53" s="12"/>
      <c r="X53" s="13" t="str">
        <f>W53/H17*100000</f>
        <v>#DIV/0!</v>
      </c>
      <c r="Y53" s="13">
        <f t="shared" ref="Y53:Z53" si="60">((M53+O53+Q53+S53)/4)</f>
        <v>0</v>
      </c>
      <c r="Z53" s="13" t="str">
        <f t="shared" si="60"/>
        <v>#DIV/0!</v>
      </c>
      <c r="AA53" s="13">
        <f t="shared" si="3"/>
        <v>0</v>
      </c>
      <c r="AB53" s="13" t="str">
        <f t="shared" si="4"/>
        <v>#DIV/0!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 t="str">
        <f>M54/C19*100000</f>
        <v>#DIV/0!</v>
      </c>
      <c r="O54" s="47"/>
      <c r="P54" s="13" t="str">
        <f>O54/D19*100000</f>
        <v>#DIV/0!</v>
      </c>
      <c r="Q54" s="47"/>
      <c r="R54" s="13" t="str">
        <f>Q54/E19*100000</f>
        <v>#DIV/0!</v>
      </c>
      <c r="S54" s="12"/>
      <c r="T54" s="13" t="str">
        <f>S54/F19*100000</f>
        <v>#DIV/0!</v>
      </c>
      <c r="U54" s="12"/>
      <c r="V54" s="13" t="str">
        <f>U54/G19*100000</f>
        <v>#DIV/0!</v>
      </c>
      <c r="W54" s="12"/>
      <c r="X54" s="13" t="str">
        <f>W54/H19*100000</f>
        <v>#DIV/0!</v>
      </c>
      <c r="Y54" s="13">
        <f t="shared" ref="Y54:Z54" si="61">((M54+O54+Q54+S54)/4)</f>
        <v>0</v>
      </c>
      <c r="Z54" s="13" t="str">
        <f t="shared" si="61"/>
        <v>#DIV/0!</v>
      </c>
      <c r="AA54" s="13">
        <f t="shared" si="3"/>
        <v>0</v>
      </c>
      <c r="AB54" s="13" t="str">
        <f t="shared" si="4"/>
        <v>#DIV/0!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 t="str">
        <f>M55/C19*100000</f>
        <v>#DIV/0!</v>
      </c>
      <c r="O55" s="47"/>
      <c r="P55" s="13" t="str">
        <f>O55/D19*100000</f>
        <v>#DIV/0!</v>
      </c>
      <c r="Q55" s="47"/>
      <c r="R55" s="13" t="str">
        <f>Q55/E19*100000</f>
        <v>#DIV/0!</v>
      </c>
      <c r="S55" s="12"/>
      <c r="T55" s="13" t="str">
        <f>S55/F19*100000</f>
        <v>#DIV/0!</v>
      </c>
      <c r="U55" s="12"/>
      <c r="V55" s="13" t="str">
        <f>U55/G19*100000</f>
        <v>#DIV/0!</v>
      </c>
      <c r="W55" s="12"/>
      <c r="X55" s="13" t="str">
        <f>W55/H19*100000</f>
        <v>#DIV/0!</v>
      </c>
      <c r="Y55" s="13">
        <f t="shared" ref="Y55:Z55" si="62">((M55+O55+Q55+S55)/4)</f>
        <v>0</v>
      </c>
      <c r="Z55" s="13" t="str">
        <f t="shared" si="62"/>
        <v>#DIV/0!</v>
      </c>
      <c r="AA55" s="13">
        <f t="shared" si="3"/>
        <v>0</v>
      </c>
      <c r="AB55" s="13" t="str">
        <f t="shared" si="4"/>
        <v>#DIV/0!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 t="str">
        <f>M56/C7*100000</f>
        <v>#DIV/0!</v>
      </c>
      <c r="O56" s="47"/>
      <c r="P56" s="13" t="str">
        <f>O56/D7*100000</f>
        <v>#DIV/0!</v>
      </c>
      <c r="Q56" s="47"/>
      <c r="R56" s="13" t="str">
        <f>Q56/E7*100000</f>
        <v>#DIV/0!</v>
      </c>
      <c r="S56" s="12"/>
      <c r="T56" s="13" t="str">
        <f>S56/F7*100000</f>
        <v>#DIV/0!</v>
      </c>
      <c r="U56" s="12"/>
      <c r="V56" s="13" t="str">
        <f>U56/G7*100000</f>
        <v>#DIV/0!</v>
      </c>
      <c r="W56" s="12"/>
      <c r="X56" s="13" t="str">
        <f>W56/H7*100000</f>
        <v>#DIV/0!</v>
      </c>
      <c r="Y56" s="13">
        <f t="shared" ref="Y56:Z56" si="63">((M56+O56+Q56+S56)/4)</f>
        <v>0</v>
      </c>
      <c r="Z56" s="13" t="str">
        <f t="shared" si="63"/>
        <v>#DIV/0!</v>
      </c>
      <c r="AA56" s="13">
        <f t="shared" si="3"/>
        <v>0</v>
      </c>
      <c r="AB56" s="13" t="str">
        <f t="shared" si="4"/>
        <v>#DIV/0!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 t="str">
        <f>M57/M4*100000</f>
        <v>#DIV/0!</v>
      </c>
      <c r="O57" s="47"/>
      <c r="P57" s="13" t="str">
        <f>O57/O4*100000</f>
        <v>#DIV/0!</v>
      </c>
      <c r="Q57" s="47"/>
      <c r="R57" s="13" t="str">
        <f>Q57/Q4*100000</f>
        <v>#DIV/0!</v>
      </c>
      <c r="S57" s="12"/>
      <c r="T57" s="13" t="str">
        <f>S57/S4*100000</f>
        <v>#DIV/0!</v>
      </c>
      <c r="U57" s="12"/>
      <c r="V57" s="13" t="str">
        <f>U57/U4*100000</f>
        <v>#DIV/0!</v>
      </c>
      <c r="W57" s="12"/>
      <c r="X57" s="13" t="str">
        <f>W57/W4*100000</f>
        <v>#DIV/0!</v>
      </c>
      <c r="Y57" s="13">
        <f t="shared" ref="Y57:Z57" si="64">((M57+O57+Q57+S57)/4)</f>
        <v>0</v>
      </c>
      <c r="Z57" s="13" t="str">
        <f t="shared" si="64"/>
        <v>#DIV/0!</v>
      </c>
      <c r="AA57" s="13">
        <f t="shared" si="3"/>
        <v>0</v>
      </c>
      <c r="AB57" s="13" t="str">
        <f t="shared" si="4"/>
        <v>#DIV/0!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 t="str">
        <f>M58/C7*100000</f>
        <v>#DIV/0!</v>
      </c>
      <c r="O58" s="71"/>
      <c r="P58" s="28" t="str">
        <f>O58/D7*100000</f>
        <v>#DIV/0!</v>
      </c>
      <c r="Q58" s="71"/>
      <c r="R58" s="28" t="str">
        <f>Q58/E7*100000</f>
        <v>#DIV/0!</v>
      </c>
      <c r="S58" s="61"/>
      <c r="T58" s="28" t="str">
        <f>S58/F7*100000</f>
        <v>#DIV/0!</v>
      </c>
      <c r="U58" s="61"/>
      <c r="V58" s="28" t="str">
        <f>U58/G7*100000</f>
        <v>#DIV/0!</v>
      </c>
      <c r="W58" s="61"/>
      <c r="X58" s="28" t="str">
        <f>W58/H7*100000</f>
        <v>#DIV/0!</v>
      </c>
      <c r="Y58" s="13">
        <f t="shared" ref="Y58:Z58" si="65">((M58+O58+Q58+S58)/4)</f>
        <v>0</v>
      </c>
      <c r="Z58" s="13" t="str">
        <f t="shared" si="65"/>
        <v>#DIV/0!</v>
      </c>
      <c r="AA58" s="13">
        <f t="shared" si="3"/>
        <v>0</v>
      </c>
      <c r="AB58" s="13" t="str">
        <f t="shared" si="4"/>
        <v>#DIV/0!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 t="str">
        <f>M59/C7*100000</f>
        <v>#DIV/0!</v>
      </c>
      <c r="O59" s="71"/>
      <c r="P59" s="28" t="str">
        <f>O59/D7*100000</f>
        <v>#DIV/0!</v>
      </c>
      <c r="Q59" s="71"/>
      <c r="R59" s="28" t="str">
        <f>Q59/E7*100000</f>
        <v>#DIV/0!</v>
      </c>
      <c r="S59" s="76"/>
      <c r="T59" s="39" t="str">
        <f>S59/F7*100000</f>
        <v>#DIV/0!</v>
      </c>
      <c r="U59" s="76"/>
      <c r="V59" s="39" t="str">
        <f>U59/G7*100000</f>
        <v>#DIV/0!</v>
      </c>
      <c r="W59" s="76"/>
      <c r="X59" s="39" t="str">
        <f>W59/H7*100000</f>
        <v>#DIV/0!</v>
      </c>
      <c r="Y59" s="40">
        <f t="shared" ref="Y59:Z59" si="66">((M59+O59+Q59+S59)/4)</f>
        <v>0</v>
      </c>
      <c r="Z59" s="40" t="str">
        <f t="shared" si="66"/>
        <v>#DIV/0!</v>
      </c>
      <c r="AA59" s="13">
        <f t="shared" si="3"/>
        <v>0</v>
      </c>
      <c r="AB59" s="13" t="str">
        <f t="shared" si="4"/>
        <v>#DIV/0!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 t="str">
        <f>M60/C17*100000</f>
        <v>#DIV/0!</v>
      </c>
      <c r="O60" s="71"/>
      <c r="P60" s="28" t="str">
        <f>O60/D17*100000</f>
        <v>#DIV/0!</v>
      </c>
      <c r="Q60" s="71"/>
      <c r="R60" s="28" t="str">
        <f>Q60/E17*100000</f>
        <v>#DIV/0!</v>
      </c>
      <c r="S60" s="61"/>
      <c r="T60" s="28" t="str">
        <f>S60/F17*100000</f>
        <v>#DIV/0!</v>
      </c>
      <c r="U60" s="61"/>
      <c r="V60" s="28" t="str">
        <f>U60/G17*100000</f>
        <v>#DIV/0!</v>
      </c>
      <c r="W60" s="61"/>
      <c r="X60" s="28" t="str">
        <f>W60/H17*100000</f>
        <v>#DIV/0!</v>
      </c>
      <c r="Y60" s="40">
        <f>((M60+O60+Q60+S60)/4)</f>
        <v>0</v>
      </c>
      <c r="Z60" s="40" t="str">
        <f>((N60+P60+R60+T60)/1)</f>
        <v>#DIV/0!</v>
      </c>
      <c r="AA60" s="13">
        <f t="shared" si="3"/>
        <v>0</v>
      </c>
      <c r="AB60" s="13" t="str">
        <f t="shared" si="4"/>
        <v>#DIV/0!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 t="str">
        <f>M61/C15*1000</f>
        <v>#DIV/0!</v>
      </c>
      <c r="O61" s="71"/>
      <c r="P61" s="28" t="str">
        <f>O61/D15*1000</f>
        <v>#DIV/0!</v>
      </c>
      <c r="Q61" s="71"/>
      <c r="R61" s="28" t="str">
        <f>Q61/E15*1000</f>
        <v>#DIV/0!</v>
      </c>
      <c r="S61" s="61"/>
      <c r="T61" s="28" t="str">
        <f>S61/F15*1000</f>
        <v>#DIV/0!</v>
      </c>
      <c r="U61" s="61"/>
      <c r="V61" s="28" t="str">
        <f>U61/G15*1000</f>
        <v>#DIV/0!</v>
      </c>
      <c r="W61" s="61"/>
      <c r="X61" s="28" t="str">
        <f>W61/H23*1000</f>
        <v>#DIV/0!</v>
      </c>
      <c r="Y61" s="40">
        <f t="shared" ref="Y61:Z61" si="67">((M61+O61+Q61+S61)/1)</f>
        <v>0</v>
      </c>
      <c r="Z61" s="40" t="str">
        <f t="shared" si="67"/>
        <v>#DIV/0!</v>
      </c>
      <c r="AA61" s="13">
        <f t="shared" si="3"/>
        <v>0</v>
      </c>
      <c r="AB61" s="13" t="str">
        <f t="shared" si="4"/>
        <v>#DIV/0!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 t="str">
        <f>M62/C15*1000</f>
        <v>#DIV/0!</v>
      </c>
      <c r="O62" s="71"/>
      <c r="P62" s="28" t="str">
        <f>O62/D15*1000</f>
        <v>#DIV/0!</v>
      </c>
      <c r="Q62" s="71"/>
      <c r="R62" s="28" t="str">
        <f>Q62/E15*1000</f>
        <v>#DIV/0!</v>
      </c>
      <c r="S62" s="61"/>
      <c r="T62" s="28" t="str">
        <f>S62/F15*1000</f>
        <v>#DIV/0!</v>
      </c>
      <c r="U62" s="61"/>
      <c r="V62" s="28" t="str">
        <f>U62/G15*1000</f>
        <v>#DIV/0!</v>
      </c>
      <c r="W62" s="61"/>
      <c r="X62" s="28" t="str">
        <f>W62/H15*1000</f>
        <v>#DIV/0!</v>
      </c>
      <c r="Y62" s="40">
        <f t="shared" ref="Y62:Z62" si="68">((M62+O62+Q62+S62)/1)</f>
        <v>0</v>
      </c>
      <c r="Z62" s="40" t="str">
        <f t="shared" si="68"/>
        <v>#DIV/0!</v>
      </c>
      <c r="AA62" s="13">
        <f t="shared" si="3"/>
        <v>0</v>
      </c>
      <c r="AB62" s="13" t="str">
        <f t="shared" si="4"/>
        <v>#DIV/0!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 t="str">
        <f>M63/C17*100000</f>
        <v>#DIV/0!</v>
      </c>
      <c r="O63" s="71"/>
      <c r="P63" s="28" t="str">
        <f>O63/D17*100000</f>
        <v>#DIV/0!</v>
      </c>
      <c r="Q63" s="71"/>
      <c r="R63" s="28" t="str">
        <f>Q63/E17*100000</f>
        <v>#DIV/0!</v>
      </c>
      <c r="S63" s="61"/>
      <c r="T63" s="28" t="str">
        <f>S63/F17*100000</f>
        <v>#DIV/0!</v>
      </c>
      <c r="U63" s="61"/>
      <c r="V63" s="28" t="str">
        <f>U63/G17*100000</f>
        <v>#DIV/0!</v>
      </c>
      <c r="W63" s="61"/>
      <c r="X63" s="28" t="str">
        <f>W63/H17*100000</f>
        <v>#DIV/0!</v>
      </c>
      <c r="Y63" s="40">
        <f t="shared" ref="Y63:Z63" si="69">((M63+O63+Q63+S63)/1)</f>
        <v>0</v>
      </c>
      <c r="Z63" s="40" t="str">
        <f t="shared" si="69"/>
        <v>#DIV/0!</v>
      </c>
      <c r="AA63" s="13">
        <f t="shared" si="3"/>
        <v>0</v>
      </c>
      <c r="AB63" s="13" t="str">
        <f t="shared" si="4"/>
        <v>#DIV/0!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 t="str">
        <f>M64/C17*100000</f>
        <v>#DIV/0!</v>
      </c>
      <c r="O64" s="71"/>
      <c r="P64" s="28" t="str">
        <f>O64/D17*100000</f>
        <v>#DIV/0!</v>
      </c>
      <c r="Q64" s="71"/>
      <c r="R64" s="28" t="str">
        <f>Q64/E17*100000</f>
        <v>#DIV/0!</v>
      </c>
      <c r="S64" s="61"/>
      <c r="T64" s="28" t="str">
        <f>S64/F17*100000</f>
        <v>#DIV/0!</v>
      </c>
      <c r="U64" s="28"/>
      <c r="V64" s="28" t="str">
        <f>U64/G17*100000</f>
        <v>#DIV/0!</v>
      </c>
      <c r="W64" s="61"/>
      <c r="X64" s="28" t="str">
        <f>W64/H17*100000</f>
        <v>#DIV/0!</v>
      </c>
      <c r="Y64" s="40">
        <f t="shared" ref="Y64:Z64" si="70">((M64+O64+Q64+S64)/1)</f>
        <v>0</v>
      </c>
      <c r="Z64" s="40" t="str">
        <f t="shared" si="70"/>
        <v>#DIV/0!</v>
      </c>
      <c r="AA64" s="13">
        <f t="shared" si="3"/>
        <v>0</v>
      </c>
      <c r="AB64" s="13" t="str">
        <f t="shared" si="4"/>
        <v>#DIV/0!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 t="str">
        <f>M65/C17*100000</f>
        <v>#DIV/0!</v>
      </c>
      <c r="O65" s="71"/>
      <c r="P65" s="28" t="str">
        <f>O65/D17*100000</f>
        <v>#DIV/0!</v>
      </c>
      <c r="Q65" s="71"/>
      <c r="R65" s="28" t="str">
        <f>Q65/E17*100000</f>
        <v>#DIV/0!</v>
      </c>
      <c r="S65" s="71"/>
      <c r="T65" s="28" t="str">
        <f>S65/F17*100000</f>
        <v>#DIV/0!</v>
      </c>
      <c r="U65" s="71"/>
      <c r="V65" s="28" t="str">
        <f>U65/G17*100000</f>
        <v>#DIV/0!</v>
      </c>
      <c r="W65" s="61"/>
      <c r="X65" s="28" t="str">
        <f>W65/H17*100000</f>
        <v>#DIV/0!</v>
      </c>
      <c r="Y65" s="40">
        <f t="shared" ref="Y65:Z65" si="71">((M65+O65+Q65+S65)/1)</f>
        <v>0</v>
      </c>
      <c r="Z65" s="40" t="str">
        <f t="shared" si="71"/>
        <v>#DIV/0!</v>
      </c>
      <c r="AA65" s="13">
        <f t="shared" si="3"/>
        <v>0</v>
      </c>
      <c r="AB65" s="13" t="str">
        <f t="shared" si="4"/>
        <v>#DIV/0!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 t="str">
        <f>M66/C17*100000</f>
        <v>#DIV/0!</v>
      </c>
      <c r="O66" s="71"/>
      <c r="P66" s="28" t="str">
        <f>O66/D17*100000</f>
        <v>#DIV/0!</v>
      </c>
      <c r="Q66" s="71"/>
      <c r="R66" s="28" t="str">
        <f>Q66/E17*100000</f>
        <v>#DIV/0!</v>
      </c>
      <c r="S66" s="71"/>
      <c r="T66" s="28" t="str">
        <f>S66/F17*100000</f>
        <v>#DIV/0!</v>
      </c>
      <c r="U66" s="71"/>
      <c r="V66" s="28" t="str">
        <f>U66/G17*100000</f>
        <v>#DIV/0!</v>
      </c>
      <c r="W66" s="61"/>
      <c r="X66" s="28" t="str">
        <f>W66/H17*100000</f>
        <v>#DIV/0!</v>
      </c>
      <c r="Y66" s="40">
        <f t="shared" ref="Y66:Z66" si="72">((M66+O66+Q66+S66)/1)</f>
        <v>0</v>
      </c>
      <c r="Z66" s="40" t="str">
        <f t="shared" si="72"/>
        <v>#DIV/0!</v>
      </c>
      <c r="AA66" s="13">
        <f t="shared" si="3"/>
        <v>0</v>
      </c>
      <c r="AB66" s="13" t="str">
        <f t="shared" si="4"/>
        <v>#DIV/0!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 t="str">
        <f>M67/C17*100000</f>
        <v>#DIV/0!</v>
      </c>
      <c r="O67" s="71"/>
      <c r="P67" s="28" t="str">
        <f>O67/D17*100000</f>
        <v>#DIV/0!</v>
      </c>
      <c r="Q67" s="71"/>
      <c r="R67" s="28" t="str">
        <f>Q67/E17*100000</f>
        <v>#DIV/0!</v>
      </c>
      <c r="S67" s="71"/>
      <c r="T67" s="28" t="str">
        <f>S67/F17*100000</f>
        <v>#DIV/0!</v>
      </c>
      <c r="U67" s="71"/>
      <c r="V67" s="28" t="str">
        <f>U67/G17*100000</f>
        <v>#DIV/0!</v>
      </c>
      <c r="W67" s="61"/>
      <c r="X67" s="28" t="str">
        <f>W67/H17*100000</f>
        <v>#DIV/0!</v>
      </c>
      <c r="Y67" s="40">
        <f t="shared" ref="Y67:Z67" si="73">((M67+O67+Q67+S67)/1)</f>
        <v>0</v>
      </c>
      <c r="Z67" s="40" t="str">
        <f t="shared" si="73"/>
        <v>#DIV/0!</v>
      </c>
      <c r="AA67" s="13">
        <f t="shared" si="3"/>
        <v>0</v>
      </c>
      <c r="AB67" s="13" t="str">
        <f t="shared" si="4"/>
        <v>#DIV/0!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 t="str">
        <f>M68/C11*100000</f>
        <v>#DIV/0!</v>
      </c>
      <c r="O68" s="71"/>
      <c r="P68" s="28" t="str">
        <f>O68/D11*100000</f>
        <v>#DIV/0!</v>
      </c>
      <c r="Q68" s="71"/>
      <c r="R68" s="28" t="str">
        <f>Q68/E11*100000</f>
        <v>#DIV/0!</v>
      </c>
      <c r="S68" s="71"/>
      <c r="T68" s="28" t="str">
        <f>S68/F11*100000</f>
        <v>#DIV/0!</v>
      </c>
      <c r="U68" s="71"/>
      <c r="V68" s="28" t="str">
        <f>U68/G11*100000</f>
        <v>#DIV/0!</v>
      </c>
      <c r="W68" s="61"/>
      <c r="X68" s="28" t="str">
        <f>W68/H11*100000</f>
        <v>#DIV/0!</v>
      </c>
      <c r="Y68" s="40">
        <f t="shared" ref="Y68:Z68" si="74">((M68+O68+Q68+S68)/2)</f>
        <v>0</v>
      </c>
      <c r="Z68" s="40" t="str">
        <f t="shared" si="74"/>
        <v>#DIV/0!</v>
      </c>
      <c r="AA68" s="13">
        <f t="shared" si="3"/>
        <v>0</v>
      </c>
      <c r="AB68" s="13" t="str">
        <f t="shared" si="4"/>
        <v>#DIV/0!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 t="str">
        <f>M69/C11*100000</f>
        <v>#DIV/0!</v>
      </c>
      <c r="O69" s="71"/>
      <c r="P69" s="28" t="str">
        <f>O69/D11*100000</f>
        <v>#DIV/0!</v>
      </c>
      <c r="Q69" s="71"/>
      <c r="R69" s="28" t="str">
        <f>Q69/E11*100000</f>
        <v>#DIV/0!</v>
      </c>
      <c r="S69" s="71"/>
      <c r="T69" s="28" t="str">
        <f>S69/F11*100000</f>
        <v>#DIV/0!</v>
      </c>
      <c r="U69" s="71"/>
      <c r="V69" s="28" t="str">
        <f>U69/G11*100000</f>
        <v>#DIV/0!</v>
      </c>
      <c r="W69" s="61"/>
      <c r="X69" s="28" t="str">
        <f>W69/H11*100000</f>
        <v>#DIV/0!</v>
      </c>
      <c r="Y69" s="13">
        <f t="shared" ref="Y69:Z69" si="75">((M69+O69+Q69+S69)/2)</f>
        <v>0</v>
      </c>
      <c r="Z69" s="13" t="str">
        <f t="shared" si="75"/>
        <v>#DIV/0!</v>
      </c>
      <c r="AA69" s="13">
        <f t="shared" si="3"/>
        <v>0</v>
      </c>
      <c r="AB69" s="13" t="str">
        <f t="shared" si="4"/>
        <v>#DIV/0!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 t="str">
        <f>M70/C7*100000</f>
        <v>#DIV/0!</v>
      </c>
      <c r="O70" s="77"/>
      <c r="P70" s="39" t="str">
        <f>O70/D7*100000</f>
        <v>#DIV/0!</v>
      </c>
      <c r="Q70" s="77"/>
      <c r="R70" s="39" t="str">
        <f>Q70/E7*100000</f>
        <v>#DIV/0!</v>
      </c>
      <c r="S70" s="77"/>
      <c r="T70" s="39" t="str">
        <f>S70/F7*100000</f>
        <v>#DIV/0!</v>
      </c>
      <c r="U70" s="77"/>
      <c r="V70" s="39" t="str">
        <f>U70/G7*100000</f>
        <v>#DIV/0!</v>
      </c>
      <c r="W70" s="76"/>
      <c r="X70" s="39" t="str">
        <f>W70/H7*100000</f>
        <v>#DIV/0!</v>
      </c>
      <c r="Y70" s="40">
        <f t="shared" ref="Y70:Z70" si="76">((M70+O70+Q70+S70)/1)</f>
        <v>0</v>
      </c>
      <c r="Z70" s="40" t="str">
        <f t="shared" si="76"/>
        <v>#DIV/0!</v>
      </c>
      <c r="AA70" s="40">
        <f t="shared" si="3"/>
        <v>0</v>
      </c>
      <c r="AB70" s="40" t="str">
        <f t="shared" si="4"/>
        <v>#DIV/0!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4.29"/>
    <col customWidth="1" min="2" max="2" width="21.43"/>
    <col customWidth="1" min="3" max="3" width="11.43"/>
    <col customWidth="1" min="4" max="4" width="11.0"/>
    <col customWidth="1" min="5" max="5" width="11.14"/>
    <col customWidth="1" min="6" max="6" width="11.0"/>
    <col customWidth="1" min="7" max="7" width="9.14"/>
    <col customWidth="1" min="8" max="8" width="8.71"/>
    <col customWidth="1" min="9" max="9" width="1.29"/>
    <col customWidth="1" min="10" max="10" width="1.43"/>
    <col customWidth="1" min="11" max="11" width="1.14"/>
    <col customWidth="1" min="12" max="12" width="28.43"/>
    <col customWidth="1" min="13" max="13" width="9.29"/>
    <col customWidth="1" min="14" max="14" width="13.29"/>
    <col customWidth="1" min="15" max="15" width="10.29"/>
    <col customWidth="1" min="16" max="16" width="15.43"/>
    <col customWidth="1" min="17" max="17" width="11.29"/>
    <col customWidth="1" min="18" max="18" width="10.86"/>
    <col customWidth="1" min="19" max="19" width="11.43"/>
    <col customWidth="1" min="20" max="20" width="14.71"/>
    <col customWidth="1" min="21" max="21" width="10.0"/>
    <col customWidth="1" min="22" max="22" width="16.71"/>
    <col customWidth="1" min="23" max="23" width="9.86"/>
    <col customWidth="1" min="24" max="29" width="12.86"/>
  </cols>
  <sheetData>
    <row r="1" ht="78.75" customHeight="1">
      <c r="B1" s="1"/>
      <c r="C1" s="2" t="s">
        <v>132</v>
      </c>
      <c r="D1" s="3"/>
      <c r="E1" s="3"/>
      <c r="F1" s="3"/>
      <c r="G1" s="3"/>
      <c r="H1" s="4"/>
      <c r="I1" s="5"/>
      <c r="J1" s="5"/>
      <c r="K1" s="5"/>
      <c r="L1" s="81" t="s">
        <v>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73.5" customHeight="1">
      <c r="A2" s="5"/>
      <c r="B2" s="45" t="s">
        <v>147</v>
      </c>
      <c r="I2" s="5"/>
      <c r="J2" s="5"/>
      <c r="K2" s="5"/>
      <c r="L2" s="8" t="s">
        <v>3</v>
      </c>
      <c r="M2" s="9" t="s">
        <v>4</v>
      </c>
      <c r="N2" s="9" t="s">
        <v>5</v>
      </c>
      <c r="O2" s="9" t="s">
        <v>6</v>
      </c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134</v>
      </c>
      <c r="Y2" s="9" t="s">
        <v>16</v>
      </c>
      <c r="Z2" s="9" t="s">
        <v>17</v>
      </c>
      <c r="AA2" s="9" t="s">
        <v>18</v>
      </c>
      <c r="AB2" s="9" t="s">
        <v>19</v>
      </c>
      <c r="AC2" s="10" t="s">
        <v>20</v>
      </c>
    </row>
    <row r="3" ht="14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1" t="s">
        <v>21</v>
      </c>
      <c r="M3" s="12"/>
      <c r="N3" s="13" t="str">
        <f>M3/C7*1000</f>
        <v>#DIV/0!</v>
      </c>
      <c r="O3" s="12"/>
      <c r="P3" s="13" t="str">
        <f>O3/D7*1000</f>
        <v>#DIV/0!</v>
      </c>
      <c r="Q3" s="47"/>
      <c r="R3" s="13" t="str">
        <f>Q3/E7*1000</f>
        <v>#DIV/0!</v>
      </c>
      <c r="S3" s="12"/>
      <c r="T3" s="13" t="str">
        <f>S3/F7*1000</f>
        <v>#DIV/0!</v>
      </c>
      <c r="U3" s="12"/>
      <c r="V3" s="13" t="str">
        <f>U3/G7*1000</f>
        <v>#DIV/0!</v>
      </c>
      <c r="W3" s="12"/>
      <c r="X3" s="13" t="str">
        <f>W3/H7*1000</f>
        <v>#DIV/0!</v>
      </c>
      <c r="Y3" s="13">
        <f t="shared" ref="Y3:Z3" si="1">((M3+O3+Q3+S3)/4)</f>
        <v>0</v>
      </c>
      <c r="Z3" s="13" t="str">
        <f t="shared" si="1"/>
        <v>#DIV/0!</v>
      </c>
      <c r="AA3" s="13">
        <f t="shared" ref="AA3:AA70" si="3">((S3+U3)/2)</f>
        <v>0</v>
      </c>
      <c r="AB3" s="13" t="str">
        <f t="shared" ref="AB3:AB70" si="4">(V3+X3)/2</f>
        <v>#DIV/0!</v>
      </c>
      <c r="AC3" s="14" t="s">
        <v>22</v>
      </c>
    </row>
    <row r="4" ht="14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1" t="s">
        <v>23</v>
      </c>
      <c r="M4" s="12"/>
      <c r="N4" s="13" t="str">
        <f>M4/C7*1000</f>
        <v>#DIV/0!</v>
      </c>
      <c r="O4" s="12"/>
      <c r="P4" s="13" t="str">
        <f>O4/D7*1000</f>
        <v>#DIV/0!</v>
      </c>
      <c r="Q4" s="47"/>
      <c r="R4" s="13" t="str">
        <f>Q4/E7*1000</f>
        <v>#DIV/0!</v>
      </c>
      <c r="S4" s="12"/>
      <c r="T4" s="13" t="str">
        <f>S4/F7*1000</f>
        <v>#DIV/0!</v>
      </c>
      <c r="U4" s="12"/>
      <c r="V4" s="13" t="str">
        <f>U4/G7*1000</f>
        <v>#DIV/0!</v>
      </c>
      <c r="W4" s="12"/>
      <c r="X4" s="13" t="str">
        <f>W4/H7*1000</f>
        <v>#DIV/0!</v>
      </c>
      <c r="Y4" s="13">
        <f t="shared" ref="Y4:Z4" si="2">((M4+O4+Q4+S4)/4)</f>
        <v>0</v>
      </c>
      <c r="Z4" s="13" t="str">
        <f t="shared" si="2"/>
        <v>#DIV/0!</v>
      </c>
      <c r="AA4" s="13">
        <f t="shared" si="3"/>
        <v>0</v>
      </c>
      <c r="AB4" s="13" t="str">
        <f t="shared" si="4"/>
        <v>#DIV/0!</v>
      </c>
      <c r="AC4" s="14" t="s">
        <v>24</v>
      </c>
    </row>
    <row r="5" ht="14.25" customHeight="1">
      <c r="A5" s="5"/>
      <c r="B5" s="49" t="s">
        <v>135</v>
      </c>
      <c r="C5" s="50" t="s">
        <v>26</v>
      </c>
      <c r="D5" s="50" t="s">
        <v>27</v>
      </c>
      <c r="E5" s="50" t="s">
        <v>28</v>
      </c>
      <c r="F5" s="50" t="s">
        <v>29</v>
      </c>
      <c r="G5" s="50" t="s">
        <v>30</v>
      </c>
      <c r="H5" s="51" t="s">
        <v>31</v>
      </c>
      <c r="I5" s="5"/>
      <c r="J5" s="5"/>
      <c r="K5" s="5"/>
      <c r="L5" s="11" t="s">
        <v>32</v>
      </c>
      <c r="M5" s="12"/>
      <c r="N5" s="13" t="str">
        <f>M5/C12*100000</f>
        <v>#DIV/0!</v>
      </c>
      <c r="O5" s="12"/>
      <c r="P5" s="13" t="str">
        <f>O5/D12*100000</f>
        <v>#DIV/0!</v>
      </c>
      <c r="Q5" s="47"/>
      <c r="R5" s="13" t="str">
        <f>Q5/E12*100000</f>
        <v>#DIV/0!</v>
      </c>
      <c r="S5" s="12"/>
      <c r="T5" s="13" t="str">
        <f>S5/F12*100000</f>
        <v>#DIV/0!</v>
      </c>
      <c r="U5" s="12"/>
      <c r="V5" s="13" t="str">
        <f>U5/G12*100000</f>
        <v>#DIV/0!</v>
      </c>
      <c r="W5" s="12"/>
      <c r="X5" s="13" t="str">
        <f>W5/H12*100000</f>
        <v>#DIV/0!</v>
      </c>
      <c r="Y5" s="13">
        <f t="shared" ref="Y5:Z5" si="5">((M5+O5+Q5+S5)/4)</f>
        <v>0</v>
      </c>
      <c r="Z5" s="13" t="str">
        <f t="shared" si="5"/>
        <v>#DIV/0!</v>
      </c>
      <c r="AA5" s="13">
        <f t="shared" si="3"/>
        <v>0</v>
      </c>
      <c r="AB5" s="13" t="str">
        <f t="shared" si="4"/>
        <v>#DIV/0!</v>
      </c>
      <c r="AC5" s="14" t="s">
        <v>33</v>
      </c>
    </row>
    <row r="6" ht="14.25" customHeight="1">
      <c r="A6" s="5"/>
      <c r="B6" s="52"/>
      <c r="C6" s="53"/>
      <c r="D6" s="53"/>
      <c r="E6" s="53"/>
      <c r="F6" s="53"/>
      <c r="G6" s="53"/>
      <c r="H6" s="54"/>
      <c r="I6" s="5"/>
      <c r="J6" s="5"/>
      <c r="K6" s="5"/>
      <c r="L6" s="11" t="s">
        <v>34</v>
      </c>
      <c r="M6" s="12"/>
      <c r="N6" s="13" t="str">
        <f>M6/M4*1000</f>
        <v>#DIV/0!</v>
      </c>
      <c r="O6" s="12"/>
      <c r="P6" s="13" t="str">
        <f>O6/O4*1000</f>
        <v>#DIV/0!</v>
      </c>
      <c r="Q6" s="47"/>
      <c r="R6" s="13" t="str">
        <f>Q6/Q4*1000</f>
        <v>#DIV/0!</v>
      </c>
      <c r="S6" s="12"/>
      <c r="T6" s="13" t="str">
        <f>S6/S4*1000</f>
        <v>#DIV/0!</v>
      </c>
      <c r="U6" s="12"/>
      <c r="V6" s="13" t="str">
        <f>U6/U4*1000</f>
        <v>#DIV/0!</v>
      </c>
      <c r="W6" s="12"/>
      <c r="X6" s="13" t="str">
        <f>W6/W4*1000</f>
        <v>#DIV/0!</v>
      </c>
      <c r="Y6" s="13">
        <f t="shared" ref="Y6:Z6" si="6">((M6+O6+Q6+S6)/4)</f>
        <v>0</v>
      </c>
      <c r="Z6" s="13" t="str">
        <f t="shared" si="6"/>
        <v>#DIV/0!</v>
      </c>
      <c r="AA6" s="13">
        <f t="shared" si="3"/>
        <v>0</v>
      </c>
      <c r="AB6" s="13" t="str">
        <f t="shared" si="4"/>
        <v>#DIV/0!</v>
      </c>
      <c r="AC6" s="14" t="s">
        <v>22</v>
      </c>
    </row>
    <row r="7" ht="14.25" customHeight="1">
      <c r="A7" s="5"/>
      <c r="B7" s="55" t="s">
        <v>35</v>
      </c>
      <c r="C7" s="106"/>
      <c r="D7" s="56"/>
      <c r="E7" s="106"/>
      <c r="F7" s="57"/>
      <c r="G7" s="57"/>
      <c r="H7" s="58"/>
      <c r="I7" s="5"/>
      <c r="J7" s="5"/>
      <c r="K7" s="5"/>
      <c r="L7" s="11" t="s">
        <v>36</v>
      </c>
      <c r="M7" s="12"/>
      <c r="N7" s="59"/>
      <c r="O7" s="12"/>
      <c r="P7" s="59"/>
      <c r="Q7" s="47"/>
      <c r="R7" s="59"/>
      <c r="S7" s="12"/>
      <c r="T7" s="59"/>
      <c r="U7" s="12"/>
      <c r="V7" s="59"/>
      <c r="W7" s="12"/>
      <c r="X7" s="59"/>
      <c r="Y7" s="13">
        <f t="shared" ref="Y7:Z7" si="7">((M7+O7+Q7+S7)/4)</f>
        <v>0</v>
      </c>
      <c r="Z7" s="13">
        <f t="shared" si="7"/>
        <v>0</v>
      </c>
      <c r="AA7" s="13">
        <f t="shared" si="3"/>
        <v>0</v>
      </c>
      <c r="AB7" s="13">
        <f t="shared" si="4"/>
        <v>0</v>
      </c>
      <c r="AC7" s="14" t="s">
        <v>37</v>
      </c>
    </row>
    <row r="8" ht="14.25" customHeight="1">
      <c r="A8" s="5"/>
      <c r="B8" s="55" t="s">
        <v>38</v>
      </c>
      <c r="C8" s="57"/>
      <c r="D8" s="53"/>
      <c r="E8" s="57"/>
      <c r="F8" s="57"/>
      <c r="G8" s="57"/>
      <c r="H8" s="58"/>
      <c r="I8" s="5"/>
      <c r="J8" s="5"/>
      <c r="K8" s="5"/>
      <c r="L8" s="11" t="s">
        <v>39</v>
      </c>
      <c r="M8" s="12"/>
      <c r="N8" s="13" t="str">
        <f>M8/C15*1000</f>
        <v>#DIV/0!</v>
      </c>
      <c r="O8" s="12"/>
      <c r="P8" s="13" t="str">
        <f>O8/D15*1000</f>
        <v>#DIV/0!</v>
      </c>
      <c r="Q8" s="47"/>
      <c r="R8" s="13" t="str">
        <f>Q8/E15*1000</f>
        <v>#DIV/0!</v>
      </c>
      <c r="S8" s="12"/>
      <c r="T8" s="13" t="str">
        <f>S8/F15*1000</f>
        <v>#DIV/0!</v>
      </c>
      <c r="U8" s="12"/>
      <c r="V8" s="13" t="str">
        <f>U8/G15*1000</f>
        <v>#DIV/0!</v>
      </c>
      <c r="W8" s="12"/>
      <c r="X8" s="13" t="str">
        <f>W8/H15*1000</f>
        <v>#DIV/0!</v>
      </c>
      <c r="Y8" s="13">
        <f t="shared" ref="Y8:Z8" si="8">((M8+O8+Q8+S8)/4)</f>
        <v>0</v>
      </c>
      <c r="Z8" s="13" t="str">
        <f t="shared" si="8"/>
        <v>#DIV/0!</v>
      </c>
      <c r="AA8" s="13">
        <f t="shared" si="3"/>
        <v>0</v>
      </c>
      <c r="AB8" s="13" t="str">
        <f t="shared" si="4"/>
        <v>#DIV/0!</v>
      </c>
      <c r="AC8" s="14" t="s">
        <v>37</v>
      </c>
    </row>
    <row r="9" ht="14.25" customHeight="1">
      <c r="A9" s="5"/>
      <c r="B9" s="55" t="s">
        <v>40</v>
      </c>
      <c r="C9" s="57"/>
      <c r="D9" s="53"/>
      <c r="E9" s="57"/>
      <c r="F9" s="57"/>
      <c r="G9" s="57"/>
      <c r="H9" s="58"/>
      <c r="I9" s="5"/>
      <c r="J9" s="5"/>
      <c r="K9" s="5"/>
      <c r="L9" s="11" t="s">
        <v>41</v>
      </c>
      <c r="M9" s="12"/>
      <c r="N9" s="13" t="str">
        <f>M9/C7*100000</f>
        <v>#DIV/0!</v>
      </c>
      <c r="O9" s="12"/>
      <c r="P9" s="13" t="str">
        <f>O9/D7*100000</f>
        <v>#DIV/0!</v>
      </c>
      <c r="Q9" s="47"/>
      <c r="R9" s="13" t="str">
        <f>Q9/E7*100000</f>
        <v>#DIV/0!</v>
      </c>
      <c r="S9" s="12"/>
      <c r="T9" s="13" t="str">
        <f>S9/F7*100000</f>
        <v>#DIV/0!</v>
      </c>
      <c r="U9" s="12"/>
      <c r="V9" s="13" t="str">
        <f>U9/G7*100000</f>
        <v>#DIV/0!</v>
      </c>
      <c r="W9" s="12"/>
      <c r="X9" s="13" t="str">
        <f>W9/H7*100000</f>
        <v>#DIV/0!</v>
      </c>
      <c r="Y9" s="13">
        <f t="shared" ref="Y9:Z9" si="9">((M9+O9+Q9+S9)/4)</f>
        <v>0</v>
      </c>
      <c r="Z9" s="13" t="str">
        <f t="shared" si="9"/>
        <v>#DIV/0!</v>
      </c>
      <c r="AA9" s="13">
        <f t="shared" si="3"/>
        <v>0</v>
      </c>
      <c r="AB9" s="13" t="str">
        <f t="shared" si="4"/>
        <v>#DIV/0!</v>
      </c>
      <c r="AC9" s="14" t="s">
        <v>22</v>
      </c>
    </row>
    <row r="10" ht="14.25" customHeight="1">
      <c r="A10" s="5"/>
      <c r="B10" s="55" t="s">
        <v>42</v>
      </c>
      <c r="C10" s="57"/>
      <c r="D10" s="57"/>
      <c r="E10" s="57"/>
      <c r="F10" s="107"/>
      <c r="G10" s="53"/>
      <c r="H10" s="58"/>
      <c r="I10" s="5"/>
      <c r="J10" s="5"/>
      <c r="K10" s="5"/>
      <c r="L10" s="11" t="s">
        <v>43</v>
      </c>
      <c r="M10" s="12"/>
      <c r="N10" s="13" t="str">
        <f>M10/C15*100000</f>
        <v>#DIV/0!</v>
      </c>
      <c r="O10" s="12"/>
      <c r="P10" s="13" t="str">
        <f t="shared" ref="P10:P11" si="11">O10/D15*100000</f>
        <v>#DIV/0!</v>
      </c>
      <c r="Q10" s="47"/>
      <c r="R10" s="13" t="str">
        <f>Q10/E15*100000</f>
        <v>#DIV/0!</v>
      </c>
      <c r="S10" s="12"/>
      <c r="T10" s="13" t="str">
        <f>S10/F15*100000</f>
        <v>#DIV/0!</v>
      </c>
      <c r="U10" s="12"/>
      <c r="V10" s="13" t="str">
        <f>U10/G15*100000</f>
        <v>#DIV/0!</v>
      </c>
      <c r="W10" s="12"/>
      <c r="X10" s="13" t="str">
        <f>W10/H15*100000</f>
        <v>#DIV/0!</v>
      </c>
      <c r="Y10" s="13">
        <f t="shared" ref="Y10:Z10" si="10">((M10+O10+Q10+S10)/4)</f>
        <v>0</v>
      </c>
      <c r="Z10" s="13" t="str">
        <f t="shared" si="10"/>
        <v>#DIV/0!</v>
      </c>
      <c r="AA10" s="13">
        <f t="shared" si="3"/>
        <v>0</v>
      </c>
      <c r="AB10" s="13" t="str">
        <f t="shared" si="4"/>
        <v>#DIV/0!</v>
      </c>
      <c r="AC10" s="14" t="s">
        <v>22</v>
      </c>
    </row>
    <row r="11" ht="14.25" customHeight="1">
      <c r="A11" s="5"/>
      <c r="B11" s="55" t="s">
        <v>44</v>
      </c>
      <c r="C11" s="57"/>
      <c r="D11" s="57"/>
      <c r="E11" s="57"/>
      <c r="F11" s="107"/>
      <c r="G11" s="53"/>
      <c r="H11" s="58"/>
      <c r="I11" s="5"/>
      <c r="J11" s="5"/>
      <c r="K11" s="5"/>
      <c r="L11" s="11" t="s">
        <v>45</v>
      </c>
      <c r="M11" s="12"/>
      <c r="N11" s="13" t="str">
        <f>M11/C15*100000</f>
        <v>#DIV/0!</v>
      </c>
      <c r="O11" s="12"/>
      <c r="P11" s="13" t="str">
        <f t="shared" si="11"/>
        <v>#DIV/0!</v>
      </c>
      <c r="Q11" s="47"/>
      <c r="R11" s="13" t="str">
        <f>Q11/F16*100000</f>
        <v>#DIV/0!</v>
      </c>
      <c r="S11" s="12"/>
      <c r="T11" s="13" t="str">
        <f>S11/F15*100000</f>
        <v>#DIV/0!</v>
      </c>
      <c r="U11" s="12"/>
      <c r="V11" s="13" t="str">
        <f>U11/G15*100000</f>
        <v>#DIV/0!</v>
      </c>
      <c r="W11" s="12"/>
      <c r="X11" s="13" t="str">
        <f>W11/H15*100000</f>
        <v>#DIV/0!</v>
      </c>
      <c r="Y11" s="13">
        <f t="shared" ref="Y11:Z11" si="12">((M11+O11+Q11+S11)/4)</f>
        <v>0</v>
      </c>
      <c r="Z11" s="13" t="str">
        <f t="shared" si="12"/>
        <v>#DIV/0!</v>
      </c>
      <c r="AA11" s="13">
        <f t="shared" si="3"/>
        <v>0</v>
      </c>
      <c r="AB11" s="13" t="str">
        <f t="shared" si="4"/>
        <v>#DIV/0!</v>
      </c>
      <c r="AC11" s="14" t="s">
        <v>22</v>
      </c>
    </row>
    <row r="12" ht="14.25" customHeight="1">
      <c r="A12" s="5"/>
      <c r="B12" s="55" t="s">
        <v>46</v>
      </c>
      <c r="C12" s="53"/>
      <c r="D12" s="57"/>
      <c r="E12" s="53"/>
      <c r="F12" s="53"/>
      <c r="G12" s="57"/>
      <c r="H12" s="58"/>
      <c r="I12" s="5"/>
      <c r="J12" s="5"/>
      <c r="K12" s="5"/>
      <c r="L12" s="11" t="s">
        <v>47</v>
      </c>
      <c r="M12" s="12"/>
      <c r="N12" s="13" t="str">
        <f>M12/C7*100000</f>
        <v>#DIV/0!</v>
      </c>
      <c r="O12" s="12"/>
      <c r="P12" s="13" t="str">
        <f>O12/D7*100000</f>
        <v>#DIV/0!</v>
      </c>
      <c r="Q12" s="47"/>
      <c r="R12" s="13" t="str">
        <f>Q12/E7*100000</f>
        <v>#DIV/0!</v>
      </c>
      <c r="S12" s="12"/>
      <c r="T12" s="13" t="str">
        <f>S12/F7*100000</f>
        <v>#DIV/0!</v>
      </c>
      <c r="U12" s="12"/>
      <c r="V12" s="13" t="str">
        <f>U12/G7*100000</f>
        <v>#DIV/0!</v>
      </c>
      <c r="W12" s="12"/>
      <c r="X12" s="13" t="str">
        <f>W12/H7*100000</f>
        <v>#DIV/0!</v>
      </c>
      <c r="Y12" s="13">
        <f t="shared" ref="Y12:Z12" si="13">((M12+O12+Q12+S12)/4)</f>
        <v>0</v>
      </c>
      <c r="Z12" s="13" t="str">
        <f t="shared" si="13"/>
        <v>#DIV/0!</v>
      </c>
      <c r="AA12" s="13">
        <f t="shared" si="3"/>
        <v>0</v>
      </c>
      <c r="AB12" s="13" t="str">
        <f t="shared" si="4"/>
        <v>#DIV/0!</v>
      </c>
      <c r="AC12" s="14" t="s">
        <v>48</v>
      </c>
    </row>
    <row r="13" ht="14.25" customHeight="1">
      <c r="A13" s="5"/>
      <c r="B13" s="55" t="s">
        <v>49</v>
      </c>
      <c r="C13" s="53"/>
      <c r="D13" s="57"/>
      <c r="E13" s="53"/>
      <c r="F13" s="53"/>
      <c r="G13" s="57"/>
      <c r="H13" s="58"/>
      <c r="I13" s="5"/>
      <c r="J13" s="5"/>
      <c r="K13" s="5"/>
      <c r="L13" s="11" t="s">
        <v>50</v>
      </c>
      <c r="M13" s="12"/>
      <c r="N13" s="13" t="str">
        <f>M13/C11*100000</f>
        <v>#DIV/0!</v>
      </c>
      <c r="O13" s="12"/>
      <c r="P13" s="13" t="str">
        <f>O13/D11*100000</f>
        <v>#DIV/0!</v>
      </c>
      <c r="Q13" s="47"/>
      <c r="R13" s="13" t="str">
        <f>Q13/E11*100000</f>
        <v>#DIV/0!</v>
      </c>
      <c r="S13" s="12"/>
      <c r="T13" s="13" t="str">
        <f>S13/F11*100000</f>
        <v>#DIV/0!</v>
      </c>
      <c r="U13" s="12"/>
      <c r="V13" s="13" t="str">
        <f>U13/G11*100000</f>
        <v>#DIV/0!</v>
      </c>
      <c r="W13" s="12"/>
      <c r="X13" s="13" t="str">
        <f>W13/H11*100000</f>
        <v>#DIV/0!</v>
      </c>
      <c r="Y13" s="13">
        <f t="shared" ref="Y13:Z13" si="14">((M13+O13+Q13+S13)/4)</f>
        <v>0</v>
      </c>
      <c r="Z13" s="13" t="str">
        <f t="shared" si="14"/>
        <v>#DIV/0!</v>
      </c>
      <c r="AA13" s="13">
        <f t="shared" si="3"/>
        <v>0</v>
      </c>
      <c r="AB13" s="13" t="str">
        <f t="shared" si="4"/>
        <v>#DIV/0!</v>
      </c>
      <c r="AC13" s="14" t="s">
        <v>48</v>
      </c>
    </row>
    <row r="14" ht="14.25" customHeight="1">
      <c r="A14" s="5"/>
      <c r="B14" s="55" t="s">
        <v>51</v>
      </c>
      <c r="C14" s="53"/>
      <c r="D14" s="53"/>
      <c r="E14" s="53"/>
      <c r="F14" s="53"/>
      <c r="G14" s="53"/>
      <c r="H14" s="58"/>
      <c r="I14" s="5"/>
      <c r="J14" s="5"/>
      <c r="K14" s="5"/>
      <c r="L14" s="11" t="s">
        <v>52</v>
      </c>
      <c r="M14" s="12"/>
      <c r="N14" s="13" t="str">
        <f>M14/M4*1000</f>
        <v>#DIV/0!</v>
      </c>
      <c r="O14" s="12"/>
      <c r="P14" s="13" t="str">
        <f>O14/O4*1000</f>
        <v>#DIV/0!</v>
      </c>
      <c r="Q14" s="47"/>
      <c r="R14" s="13" t="str">
        <f>Q14/Q4*1000</f>
        <v>#DIV/0!</v>
      </c>
      <c r="S14" s="12"/>
      <c r="T14" s="13" t="str">
        <f>S14/S4*1000</f>
        <v>#DIV/0!</v>
      </c>
      <c r="U14" s="12"/>
      <c r="V14" s="13" t="str">
        <f>U14/U4*1000</f>
        <v>#DIV/0!</v>
      </c>
      <c r="W14" s="12"/>
      <c r="X14" s="13" t="str">
        <f>W14/W4*1000</f>
        <v>#DIV/0!</v>
      </c>
      <c r="Y14" s="13">
        <f t="shared" ref="Y14:Z14" si="15">((M14+O14+Q14+S14)/4)</f>
        <v>0</v>
      </c>
      <c r="Z14" s="13" t="str">
        <f t="shared" si="15"/>
        <v>#DIV/0!</v>
      </c>
      <c r="AA14" s="13">
        <f t="shared" si="3"/>
        <v>0</v>
      </c>
      <c r="AB14" s="13" t="str">
        <f t="shared" si="4"/>
        <v>#DIV/0!</v>
      </c>
      <c r="AC14" s="14" t="s">
        <v>22</v>
      </c>
    </row>
    <row r="15" ht="14.25" customHeight="1">
      <c r="A15" s="5"/>
      <c r="B15" s="55" t="s">
        <v>53</v>
      </c>
      <c r="C15" s="53"/>
      <c r="D15" s="53"/>
      <c r="E15" s="53"/>
      <c r="F15" s="53"/>
      <c r="G15" s="53"/>
      <c r="H15" s="58"/>
      <c r="I15" s="5"/>
      <c r="J15" s="5"/>
      <c r="K15" s="5"/>
      <c r="L15" s="11" t="s">
        <v>54</v>
      </c>
      <c r="M15" s="12"/>
      <c r="N15" s="13" t="str">
        <f>M15/C15*100000</f>
        <v>#DIV/0!</v>
      </c>
      <c r="O15" s="12"/>
      <c r="P15" s="13" t="str">
        <f>O15/D15*100000</f>
        <v>#DIV/0!</v>
      </c>
      <c r="Q15" s="47"/>
      <c r="R15" s="13" t="str">
        <f>Q15/E15*100000</f>
        <v>#DIV/0!</v>
      </c>
      <c r="S15" s="12"/>
      <c r="T15" s="13" t="str">
        <f>S15/F15*100000</f>
        <v>#DIV/0!</v>
      </c>
      <c r="U15" s="12"/>
      <c r="V15" s="13" t="str">
        <f>U15/G15*100000</f>
        <v>#DIV/0!</v>
      </c>
      <c r="W15" s="12"/>
      <c r="X15" s="13" t="str">
        <f>W15/H15*100000</f>
        <v>#DIV/0!</v>
      </c>
      <c r="Y15" s="13">
        <f t="shared" ref="Y15:Z15" si="16">((M15+O15+Q15+S15)/4)</f>
        <v>0</v>
      </c>
      <c r="Z15" s="13" t="str">
        <f t="shared" si="16"/>
        <v>#DIV/0!</v>
      </c>
      <c r="AA15" s="13">
        <f t="shared" si="3"/>
        <v>0</v>
      </c>
      <c r="AB15" s="13" t="str">
        <f t="shared" si="4"/>
        <v>#DIV/0!</v>
      </c>
      <c r="AC15" s="14" t="s">
        <v>22</v>
      </c>
    </row>
    <row r="16" ht="14.25" customHeight="1">
      <c r="A16" s="5"/>
      <c r="B16" s="55" t="s">
        <v>55</v>
      </c>
      <c r="C16" s="53"/>
      <c r="D16" s="53"/>
      <c r="E16" s="53"/>
      <c r="F16" s="53"/>
      <c r="G16" s="53"/>
      <c r="H16" s="58"/>
      <c r="I16" s="5"/>
      <c r="J16" s="5"/>
      <c r="K16" s="5"/>
      <c r="L16" s="11" t="s">
        <v>56</v>
      </c>
      <c r="M16" s="12"/>
      <c r="N16" s="13" t="str">
        <f>M16/M4*100</f>
        <v>#DIV/0!</v>
      </c>
      <c r="O16" s="12"/>
      <c r="P16" s="13" t="str">
        <f>O16/O4*100</f>
        <v>#DIV/0!</v>
      </c>
      <c r="Q16" s="47"/>
      <c r="R16" s="13" t="str">
        <f>Q16/Q4*100</f>
        <v>#DIV/0!</v>
      </c>
      <c r="S16" s="12"/>
      <c r="T16" s="13" t="str">
        <f>S16/S4*100</f>
        <v>#DIV/0!</v>
      </c>
      <c r="U16" s="12"/>
      <c r="V16" s="13" t="str">
        <f>U16/U4*100</f>
        <v>#DIV/0!</v>
      </c>
      <c r="W16" s="12"/>
      <c r="X16" s="13" t="str">
        <f>W16/W4*100</f>
        <v>#DIV/0!</v>
      </c>
      <c r="Y16" s="13">
        <f t="shared" ref="Y16:Z16" si="17">((M16+O16+Q16+S16)/4)</f>
        <v>0</v>
      </c>
      <c r="Z16" s="13" t="str">
        <f t="shared" si="17"/>
        <v>#DIV/0!</v>
      </c>
      <c r="AA16" s="13">
        <f t="shared" si="3"/>
        <v>0</v>
      </c>
      <c r="AB16" s="13" t="str">
        <f t="shared" si="4"/>
        <v>#DIV/0!</v>
      </c>
      <c r="AC16" s="14" t="s">
        <v>24</v>
      </c>
    </row>
    <row r="17" ht="14.25" customHeight="1">
      <c r="A17" s="5"/>
      <c r="B17" s="55" t="s">
        <v>57</v>
      </c>
      <c r="C17" s="53"/>
      <c r="D17" s="53"/>
      <c r="E17" s="53"/>
      <c r="F17" s="53"/>
      <c r="G17" s="53"/>
      <c r="H17" s="58"/>
      <c r="I17" s="5"/>
      <c r="J17" s="5"/>
      <c r="K17" s="5"/>
      <c r="L17" s="11" t="s">
        <v>58</v>
      </c>
      <c r="M17" s="12"/>
      <c r="N17" s="13" t="str">
        <f>M17/M4*100</f>
        <v>#DIV/0!</v>
      </c>
      <c r="O17" s="12"/>
      <c r="P17" s="13" t="str">
        <f>O17/O4*100</f>
        <v>#DIV/0!</v>
      </c>
      <c r="Q17" s="47"/>
      <c r="R17" s="13" t="str">
        <f>Q17/Q4*100</f>
        <v>#DIV/0!</v>
      </c>
      <c r="S17" s="12"/>
      <c r="T17" s="13" t="str">
        <f>S17/S4*100</f>
        <v>#DIV/0!</v>
      </c>
      <c r="U17" s="12"/>
      <c r="V17" s="13" t="str">
        <f>U17/U4*100</f>
        <v>#DIV/0!</v>
      </c>
      <c r="W17" s="12"/>
      <c r="X17" s="13" t="str">
        <f>W17/W4*100</f>
        <v>#DIV/0!</v>
      </c>
      <c r="Y17" s="13">
        <f t="shared" ref="Y17:Z17" si="18">((M17+O17+Q17+S17)/4)</f>
        <v>0</v>
      </c>
      <c r="Z17" s="13" t="str">
        <f t="shared" si="18"/>
        <v>#DIV/0!</v>
      </c>
      <c r="AA17" s="13">
        <f t="shared" si="3"/>
        <v>0</v>
      </c>
      <c r="AB17" s="13" t="str">
        <f t="shared" si="4"/>
        <v>#DIV/0!</v>
      </c>
      <c r="AC17" s="14" t="s">
        <v>24</v>
      </c>
    </row>
    <row r="18" ht="14.25" customHeight="1">
      <c r="A18" s="5"/>
      <c r="B18" s="55" t="s">
        <v>59</v>
      </c>
      <c r="C18" s="53"/>
      <c r="D18" s="53"/>
      <c r="E18" s="53"/>
      <c r="F18" s="53"/>
      <c r="G18" s="53"/>
      <c r="H18" s="58"/>
      <c r="I18" s="5"/>
      <c r="J18" s="5"/>
      <c r="K18" s="5"/>
      <c r="L18" s="11" t="s">
        <v>60</v>
      </c>
      <c r="M18" s="61"/>
      <c r="N18" s="28" t="str">
        <f>M18/C15*1000</f>
        <v>#DIV/0!</v>
      </c>
      <c r="O18" s="12"/>
      <c r="P18" s="28" t="str">
        <f>O18/D15*1000</f>
        <v>#DIV/0!</v>
      </c>
      <c r="Q18" s="47"/>
      <c r="R18" s="28" t="str">
        <f>Q18/E15*1000</f>
        <v>#DIV/0!</v>
      </c>
      <c r="S18" s="61"/>
      <c r="T18" s="28" t="str">
        <f>S18/F15*1000</f>
        <v>#DIV/0!</v>
      </c>
      <c r="U18" s="61"/>
      <c r="V18" s="28" t="str">
        <f>U18/G15*1000</f>
        <v>#DIV/0!</v>
      </c>
      <c r="W18" s="61"/>
      <c r="X18" s="28" t="str">
        <f>W18/H15*1000</f>
        <v>#DIV/0!</v>
      </c>
      <c r="Y18" s="13">
        <f t="shared" ref="Y18:Z18" si="19">((M18+O18+Q18+S18)/4)</f>
        <v>0</v>
      </c>
      <c r="Z18" s="13" t="str">
        <f t="shared" si="19"/>
        <v>#DIV/0!</v>
      </c>
      <c r="AA18" s="13">
        <f t="shared" si="3"/>
        <v>0</v>
      </c>
      <c r="AB18" s="13" t="str">
        <f t="shared" si="4"/>
        <v>#DIV/0!</v>
      </c>
      <c r="AC18" s="14" t="s">
        <v>48</v>
      </c>
    </row>
    <row r="19" ht="14.25" customHeight="1">
      <c r="A19" s="5"/>
      <c r="B19" s="55" t="s">
        <v>61</v>
      </c>
      <c r="C19" s="53"/>
      <c r="D19" s="53"/>
      <c r="E19" s="53"/>
      <c r="F19" s="53"/>
      <c r="G19" s="53"/>
      <c r="H19" s="58"/>
      <c r="I19" s="5"/>
      <c r="J19" s="5"/>
      <c r="K19" s="5"/>
      <c r="L19" s="11" t="s">
        <v>62</v>
      </c>
      <c r="M19" s="12"/>
      <c r="N19" s="13" t="str">
        <f>M19/M4*100</f>
        <v>#DIV/0!</v>
      </c>
      <c r="O19" s="12"/>
      <c r="P19" s="13" t="str">
        <f>O19/O4*100</f>
        <v>#DIV/0!</v>
      </c>
      <c r="Q19" s="47"/>
      <c r="R19" s="13" t="str">
        <f>Q19/Q4*100</f>
        <v>#DIV/0!</v>
      </c>
      <c r="S19" s="12"/>
      <c r="T19" s="13" t="str">
        <f>S19/S4*100</f>
        <v>#DIV/0!</v>
      </c>
      <c r="U19" s="12"/>
      <c r="V19" s="13" t="str">
        <f>U19/U4*100</f>
        <v>#DIV/0!</v>
      </c>
      <c r="W19" s="12"/>
      <c r="X19" s="13" t="str">
        <f>W19/W4*100</f>
        <v>#DIV/0!</v>
      </c>
      <c r="Y19" s="13">
        <f t="shared" ref="Y19:Z19" si="20">((M19+O19+Q19+S19)/4)</f>
        <v>0</v>
      </c>
      <c r="Z19" s="13" t="str">
        <f t="shared" si="20"/>
        <v>#DIV/0!</v>
      </c>
      <c r="AA19" s="13">
        <f t="shared" si="3"/>
        <v>0</v>
      </c>
      <c r="AB19" s="13" t="str">
        <f t="shared" si="4"/>
        <v>#DIV/0!</v>
      </c>
      <c r="AC19" s="14" t="s">
        <v>63</v>
      </c>
    </row>
    <row r="20" ht="14.25" customHeight="1">
      <c r="A20" s="5"/>
      <c r="B20" s="55" t="s">
        <v>64</v>
      </c>
      <c r="C20" s="53"/>
      <c r="D20" s="57"/>
      <c r="E20" s="53"/>
      <c r="F20" s="53"/>
      <c r="G20" s="53"/>
      <c r="H20" s="58"/>
      <c r="I20" s="5"/>
      <c r="J20" s="5"/>
      <c r="K20" s="5"/>
      <c r="L20" s="11" t="s">
        <v>65</v>
      </c>
      <c r="M20" s="12"/>
      <c r="N20" s="13" t="str">
        <f t="shared" ref="N20:N21" si="22">M20/C20*1000</f>
        <v>#DIV/0!</v>
      </c>
      <c r="O20" s="12"/>
      <c r="P20" s="13" t="str">
        <f t="shared" ref="P20:P21" si="23">O20/D20*1000</f>
        <v>#DIV/0!</v>
      </c>
      <c r="Q20" s="47"/>
      <c r="R20" s="13" t="str">
        <f t="shared" ref="R20:R21" si="24">Q20/E20*1000</f>
        <v>#DIV/0!</v>
      </c>
      <c r="S20" s="12"/>
      <c r="T20" s="13" t="str">
        <f t="shared" ref="T20:T21" si="25">S20/F20*1000</f>
        <v>#DIV/0!</v>
      </c>
      <c r="U20" s="12"/>
      <c r="V20" s="13" t="str">
        <f t="shared" ref="V20:V21" si="26">U20/G20*1000</f>
        <v>#DIV/0!</v>
      </c>
      <c r="W20" s="12"/>
      <c r="X20" s="13" t="str">
        <f t="shared" ref="X20:X21" si="27">W20/H20*1000</f>
        <v>#DIV/0!</v>
      </c>
      <c r="Y20" s="13">
        <f t="shared" ref="Y20:Z20" si="21">((M20+O20+Q20+S20)/4)</f>
        <v>0</v>
      </c>
      <c r="Z20" s="13" t="str">
        <f t="shared" si="21"/>
        <v>#DIV/0!</v>
      </c>
      <c r="AA20" s="13">
        <f t="shared" si="3"/>
        <v>0</v>
      </c>
      <c r="AB20" s="13" t="str">
        <f t="shared" si="4"/>
        <v>#DIV/0!</v>
      </c>
      <c r="AC20" s="14" t="s">
        <v>63</v>
      </c>
    </row>
    <row r="21" ht="14.25" customHeight="1">
      <c r="A21" s="5"/>
      <c r="B21" s="55" t="s">
        <v>66</v>
      </c>
      <c r="C21" s="53"/>
      <c r="D21" s="57"/>
      <c r="E21" s="53"/>
      <c r="F21" s="53"/>
      <c r="G21" s="53"/>
      <c r="H21" s="58"/>
      <c r="I21" s="5"/>
      <c r="J21" s="5"/>
      <c r="K21" s="5"/>
      <c r="L21" s="11" t="s">
        <v>67</v>
      </c>
      <c r="M21" s="12"/>
      <c r="N21" s="13" t="str">
        <f t="shared" si="22"/>
        <v>#DIV/0!</v>
      </c>
      <c r="O21" s="12"/>
      <c r="P21" s="13" t="str">
        <f t="shared" si="23"/>
        <v>#DIV/0!</v>
      </c>
      <c r="Q21" s="47"/>
      <c r="R21" s="13" t="str">
        <f t="shared" si="24"/>
        <v>#DIV/0!</v>
      </c>
      <c r="S21" s="12"/>
      <c r="T21" s="13" t="str">
        <f t="shared" si="25"/>
        <v>#DIV/0!</v>
      </c>
      <c r="U21" s="12"/>
      <c r="V21" s="13" t="str">
        <f t="shared" si="26"/>
        <v>#DIV/0!</v>
      </c>
      <c r="W21" s="12"/>
      <c r="X21" s="13" t="str">
        <f t="shared" si="27"/>
        <v>#DIV/0!</v>
      </c>
      <c r="Y21" s="13">
        <f t="shared" ref="Y21:Z21" si="28">((M21+O21+Q21+S21)/4)</f>
        <v>0</v>
      </c>
      <c r="Z21" s="13" t="str">
        <f t="shared" si="28"/>
        <v>#DIV/0!</v>
      </c>
      <c r="AA21" s="13">
        <f t="shared" si="3"/>
        <v>0</v>
      </c>
      <c r="AB21" s="13" t="str">
        <f t="shared" si="4"/>
        <v>#DIV/0!</v>
      </c>
      <c r="AC21" s="14" t="s">
        <v>63</v>
      </c>
    </row>
    <row r="22" ht="14.25" customHeight="1">
      <c r="A22" s="5"/>
      <c r="B22" s="55" t="s">
        <v>68</v>
      </c>
      <c r="C22" s="53"/>
      <c r="D22" s="53"/>
      <c r="E22" s="53"/>
      <c r="F22" s="53"/>
      <c r="G22" s="53"/>
      <c r="H22" s="58"/>
      <c r="I22" s="5"/>
      <c r="J22" s="5"/>
      <c r="K22" s="5"/>
      <c r="L22" s="11" t="s">
        <v>69</v>
      </c>
      <c r="M22" s="61"/>
      <c r="N22" s="28" t="str">
        <f>M22/C7*100000</f>
        <v>#DIV/0!</v>
      </c>
      <c r="O22" s="12"/>
      <c r="P22" s="28" t="str">
        <f>O22/D7*100000</f>
        <v>#DIV/0!</v>
      </c>
      <c r="Q22" s="47"/>
      <c r="R22" s="28" t="str">
        <f>Q22/E7*100000</f>
        <v>#DIV/0!</v>
      </c>
      <c r="S22" s="61"/>
      <c r="T22" s="28" t="str">
        <f>S22/F7*100000</f>
        <v>#DIV/0!</v>
      </c>
      <c r="U22" s="61"/>
      <c r="V22" s="28" t="str">
        <f>U22/G7*100000</f>
        <v>#DIV/0!</v>
      </c>
      <c r="W22" s="61"/>
      <c r="X22" s="28" t="str">
        <f>W22/H7*100000</f>
        <v>#DIV/0!</v>
      </c>
      <c r="Y22" s="13">
        <f t="shared" ref="Y22:Z22" si="29">((M22+O22+Q22+S22)/4)</f>
        <v>0</v>
      </c>
      <c r="Z22" s="13" t="str">
        <f t="shared" si="29"/>
        <v>#DIV/0!</v>
      </c>
      <c r="AA22" s="13">
        <f t="shared" si="3"/>
        <v>0</v>
      </c>
      <c r="AB22" s="13" t="str">
        <f t="shared" si="4"/>
        <v>#DIV/0!</v>
      </c>
      <c r="AC22" s="14" t="s">
        <v>22</v>
      </c>
    </row>
    <row r="23" ht="14.25" customHeight="1">
      <c r="A23" s="5"/>
      <c r="B23" s="55" t="s">
        <v>70</v>
      </c>
      <c r="C23" s="53"/>
      <c r="D23" s="53"/>
      <c r="E23" s="53"/>
      <c r="F23" s="53"/>
      <c r="G23" s="53"/>
      <c r="H23" s="58"/>
      <c r="I23" s="5"/>
      <c r="J23" s="5"/>
      <c r="K23" s="5"/>
      <c r="L23" s="11" t="s">
        <v>71</v>
      </c>
      <c r="M23" s="61"/>
      <c r="N23" s="28" t="str">
        <f>M23/C7*100000</f>
        <v>#DIV/0!</v>
      </c>
      <c r="O23" s="12"/>
      <c r="P23" s="28" t="str">
        <f>O23/D7*100000</f>
        <v>#DIV/0!</v>
      </c>
      <c r="Q23" s="47"/>
      <c r="R23" s="28" t="str">
        <f>Q23/E7*100000</f>
        <v>#DIV/0!</v>
      </c>
      <c r="S23" s="61"/>
      <c r="T23" s="28" t="str">
        <f>S23/F7*100000</f>
        <v>#DIV/0!</v>
      </c>
      <c r="U23" s="61"/>
      <c r="V23" s="28" t="str">
        <f>U23/G7*100000</f>
        <v>#DIV/0!</v>
      </c>
      <c r="W23" s="61"/>
      <c r="X23" s="28" t="str">
        <f>W23/H7*100000</f>
        <v>#DIV/0!</v>
      </c>
      <c r="Y23" s="13">
        <f t="shared" ref="Y23:Z23" si="30">((M23+O23+Q23+S23)/4)</f>
        <v>0</v>
      </c>
      <c r="Z23" s="13" t="str">
        <f t="shared" si="30"/>
        <v>#DIV/0!</v>
      </c>
      <c r="AA23" s="13">
        <f t="shared" si="3"/>
        <v>0</v>
      </c>
      <c r="AB23" s="13" t="str">
        <f t="shared" si="4"/>
        <v>#DIV/0!</v>
      </c>
      <c r="AC23" s="14" t="s">
        <v>22</v>
      </c>
    </row>
    <row r="24" ht="14.25" customHeight="1">
      <c r="A24" s="5"/>
      <c r="B24" s="55" t="s">
        <v>72</v>
      </c>
      <c r="C24" s="53"/>
      <c r="D24" s="53"/>
      <c r="E24" s="53"/>
      <c r="F24" s="53"/>
      <c r="G24" s="53"/>
      <c r="H24" s="58"/>
      <c r="I24" s="5"/>
      <c r="J24" s="5"/>
      <c r="K24" s="5"/>
      <c r="L24" s="11" t="s">
        <v>73</v>
      </c>
      <c r="M24" s="61"/>
      <c r="N24" s="28" t="str">
        <f>M24/C7*100000</f>
        <v>#DIV/0!</v>
      </c>
      <c r="O24" s="12"/>
      <c r="P24" s="28" t="str">
        <f>O24/D7*100000</f>
        <v>#DIV/0!</v>
      </c>
      <c r="Q24" s="47"/>
      <c r="R24" s="28" t="str">
        <f>Q24/E7*100000</f>
        <v>#DIV/0!</v>
      </c>
      <c r="S24" s="61"/>
      <c r="T24" s="28" t="str">
        <f>S24/F7*100000</f>
        <v>#DIV/0!</v>
      </c>
      <c r="U24" s="61"/>
      <c r="V24" s="28" t="str">
        <f>U24/G7*100000</f>
        <v>#DIV/0!</v>
      </c>
      <c r="W24" s="61"/>
      <c r="X24" s="28" t="str">
        <f>W24/H7*100000</f>
        <v>#DIV/0!</v>
      </c>
      <c r="Y24" s="13">
        <f t="shared" ref="Y24:Z24" si="31">((M24+O24+Q24+S24)/4)</f>
        <v>0</v>
      </c>
      <c r="Z24" s="13" t="str">
        <f t="shared" si="31"/>
        <v>#DIV/0!</v>
      </c>
      <c r="AA24" s="13">
        <f t="shared" si="3"/>
        <v>0</v>
      </c>
      <c r="AB24" s="13" t="str">
        <f t="shared" si="4"/>
        <v>#DIV/0!</v>
      </c>
      <c r="AC24" s="14" t="s">
        <v>22</v>
      </c>
    </row>
    <row r="25" ht="14.25" customHeight="1">
      <c r="A25" s="5"/>
      <c r="B25" s="55" t="s">
        <v>74</v>
      </c>
      <c r="C25" s="53"/>
      <c r="D25" s="53"/>
      <c r="E25" s="53"/>
      <c r="F25" s="53"/>
      <c r="G25" s="53"/>
      <c r="H25" s="58"/>
      <c r="I25" s="5"/>
      <c r="J25" s="5"/>
      <c r="K25" s="5"/>
      <c r="L25" s="11" t="s">
        <v>75</v>
      </c>
      <c r="M25" s="61"/>
      <c r="N25" s="28" t="str">
        <f>M25/C7*100000</f>
        <v>#DIV/0!</v>
      </c>
      <c r="O25" s="12"/>
      <c r="P25" s="28" t="str">
        <f>O25/D7*100000</f>
        <v>#DIV/0!</v>
      </c>
      <c r="Q25" s="47"/>
      <c r="R25" s="28" t="str">
        <f>Q25/E7*100000</f>
        <v>#DIV/0!</v>
      </c>
      <c r="S25" s="61"/>
      <c r="T25" s="28" t="str">
        <f>S25/F7*100000</f>
        <v>#DIV/0!</v>
      </c>
      <c r="U25" s="61"/>
      <c r="V25" s="28" t="str">
        <f>U25/G7*100000</f>
        <v>#DIV/0!</v>
      </c>
      <c r="W25" s="61"/>
      <c r="X25" s="28" t="str">
        <f>W25/H7*100000</f>
        <v>#DIV/0!</v>
      </c>
      <c r="Y25" s="13">
        <f t="shared" ref="Y25:Z25" si="32">((M25+O25+Q25+S25)/4)</f>
        <v>0</v>
      </c>
      <c r="Z25" s="13" t="str">
        <f t="shared" si="32"/>
        <v>#DIV/0!</v>
      </c>
      <c r="AA25" s="13">
        <f t="shared" si="3"/>
        <v>0</v>
      </c>
      <c r="AB25" s="13" t="str">
        <f t="shared" si="4"/>
        <v>#DIV/0!</v>
      </c>
      <c r="AC25" s="14" t="s">
        <v>48</v>
      </c>
    </row>
    <row r="26" ht="14.25" customHeight="1">
      <c r="A26" s="5"/>
      <c r="B26" s="55" t="s">
        <v>76</v>
      </c>
      <c r="C26" s="62"/>
      <c r="D26" s="62"/>
      <c r="E26" s="62"/>
      <c r="F26" s="62"/>
      <c r="G26" s="62"/>
      <c r="H26" s="58"/>
      <c r="I26" s="5"/>
      <c r="J26" s="5"/>
      <c r="K26" s="5"/>
      <c r="L26" s="11" t="s">
        <v>77</v>
      </c>
      <c r="M26" s="12"/>
      <c r="N26" s="13" t="str">
        <f>M26/C7*100000</f>
        <v>#DIV/0!</v>
      </c>
      <c r="O26" s="12"/>
      <c r="P26" s="13" t="str">
        <f>O26/D7*100000</f>
        <v>#DIV/0!</v>
      </c>
      <c r="Q26" s="47"/>
      <c r="R26" s="13" t="str">
        <f>Q26/E7*100000</f>
        <v>#DIV/0!</v>
      </c>
      <c r="S26" s="12"/>
      <c r="T26" s="13" t="str">
        <f>S26/F7*100000</f>
        <v>#DIV/0!</v>
      </c>
      <c r="U26" s="12"/>
      <c r="V26" s="13" t="str">
        <f>U26/G7*100000</f>
        <v>#DIV/0!</v>
      </c>
      <c r="W26" s="12"/>
      <c r="X26" s="13" t="str">
        <f>W26/H7*100000</f>
        <v>#DIV/0!</v>
      </c>
      <c r="Y26" s="13">
        <f t="shared" ref="Y26:Z26" si="33">((M26+O26+Q26+S26)/4)</f>
        <v>0</v>
      </c>
      <c r="Z26" s="13" t="str">
        <f t="shared" si="33"/>
        <v>#DIV/0!</v>
      </c>
      <c r="AA26" s="13">
        <f t="shared" si="3"/>
        <v>0</v>
      </c>
      <c r="AB26" s="13" t="str">
        <f t="shared" si="4"/>
        <v>#DIV/0!</v>
      </c>
      <c r="AC26" s="14" t="s">
        <v>22</v>
      </c>
    </row>
    <row r="27" ht="14.25" customHeight="1">
      <c r="A27" s="5"/>
      <c r="B27" s="63" t="s">
        <v>78</v>
      </c>
      <c r="C27" s="64"/>
      <c r="D27" s="64"/>
      <c r="E27" s="65"/>
      <c r="F27" s="65"/>
      <c r="G27" s="65"/>
      <c r="H27" s="66"/>
      <c r="I27" s="5"/>
      <c r="J27" s="5"/>
      <c r="K27" s="5"/>
      <c r="L27" s="11" t="s">
        <v>79</v>
      </c>
      <c r="M27" s="12"/>
      <c r="N27" s="13" t="str">
        <f>M27/C11*100000</f>
        <v>#DIV/0!</v>
      </c>
      <c r="O27" s="12"/>
      <c r="P27" s="13" t="str">
        <f>O27/D11*100000</f>
        <v>#DIV/0!</v>
      </c>
      <c r="Q27" s="47"/>
      <c r="R27" s="13" t="str">
        <f>Q27/E11*100000</f>
        <v>#DIV/0!</v>
      </c>
      <c r="S27" s="12"/>
      <c r="T27" s="13" t="str">
        <f>S27/F11*100000</f>
        <v>#DIV/0!</v>
      </c>
      <c r="U27" s="12"/>
      <c r="V27" s="13" t="str">
        <f>U27/G11*100000</f>
        <v>#DIV/0!</v>
      </c>
      <c r="W27" s="12"/>
      <c r="X27" s="13" t="str">
        <f>W27/H11*100000</f>
        <v>#DIV/0!</v>
      </c>
      <c r="Y27" s="13">
        <f t="shared" ref="Y27:Z27" si="34">((M27+O27+Q27+S27)/4)</f>
        <v>0</v>
      </c>
      <c r="Z27" s="13" t="str">
        <f t="shared" si="34"/>
        <v>#DIV/0!</v>
      </c>
      <c r="AA27" s="13">
        <f t="shared" si="3"/>
        <v>0</v>
      </c>
      <c r="AB27" s="13" t="str">
        <f t="shared" si="4"/>
        <v>#DIV/0!</v>
      </c>
      <c r="AC27" s="14" t="s">
        <v>22</v>
      </c>
    </row>
    <row r="28" ht="14.25" customHeight="1">
      <c r="A28" s="5"/>
      <c r="B28" s="5"/>
      <c r="C28" s="67"/>
      <c r="D28" s="67"/>
      <c r="E28" s="5"/>
      <c r="F28" s="5"/>
      <c r="G28" s="5"/>
      <c r="H28" s="5"/>
      <c r="I28" s="5"/>
      <c r="J28" s="5"/>
      <c r="K28" s="5"/>
      <c r="L28" s="11" t="s">
        <v>80</v>
      </c>
      <c r="M28" s="12"/>
      <c r="N28" s="13" t="str">
        <f>M28/C11*100000</f>
        <v>#DIV/0!</v>
      </c>
      <c r="O28" s="12"/>
      <c r="P28" s="13" t="str">
        <f>O28/D11*100000</f>
        <v>#DIV/0!</v>
      </c>
      <c r="Q28" s="47"/>
      <c r="R28" s="13" t="str">
        <f>Q28/E11*100000</f>
        <v>#DIV/0!</v>
      </c>
      <c r="S28" s="12"/>
      <c r="T28" s="13" t="str">
        <f>S28/F11*100000</f>
        <v>#DIV/0!</v>
      </c>
      <c r="U28" s="12"/>
      <c r="V28" s="13" t="str">
        <f>U28/G11*100000</f>
        <v>#DIV/0!</v>
      </c>
      <c r="W28" s="12"/>
      <c r="X28" s="13" t="str">
        <f>W28/H11*100000</f>
        <v>#DIV/0!</v>
      </c>
      <c r="Y28" s="13">
        <f t="shared" ref="Y28:Z28" si="35">((M28+O28+Q28+S28)/4)</f>
        <v>0</v>
      </c>
      <c r="Z28" s="13" t="str">
        <f t="shared" si="35"/>
        <v>#DIV/0!</v>
      </c>
      <c r="AA28" s="13">
        <f t="shared" si="3"/>
        <v>0</v>
      </c>
      <c r="AB28" s="13" t="str">
        <f t="shared" si="4"/>
        <v>#DIV/0!</v>
      </c>
      <c r="AC28" s="14" t="s">
        <v>22</v>
      </c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1" t="s">
        <v>81</v>
      </c>
      <c r="M29" s="12"/>
      <c r="N29" s="13" t="str">
        <f>M29/C10*100000</f>
        <v>#DIV/0!</v>
      </c>
      <c r="O29" s="12"/>
      <c r="P29" s="13" t="str">
        <f>O29/D10*100000</f>
        <v>#DIV/0!</v>
      </c>
      <c r="Q29" s="47"/>
      <c r="R29" s="13" t="str">
        <f>Q29/E10*100000</f>
        <v>#DIV/0!</v>
      </c>
      <c r="S29" s="12"/>
      <c r="T29" s="13" t="str">
        <f>S29/F10*100000</f>
        <v>#DIV/0!</v>
      </c>
      <c r="U29" s="12"/>
      <c r="V29" s="13" t="str">
        <f>U29/G10*100000</f>
        <v>#DIV/0!</v>
      </c>
      <c r="W29" s="12"/>
      <c r="X29" s="13" t="str">
        <f>W29/H10*100000</f>
        <v>#DIV/0!</v>
      </c>
      <c r="Y29" s="13">
        <f t="shared" ref="Y29:Z29" si="36">((M29+O29+Q29+S29)/4)</f>
        <v>0</v>
      </c>
      <c r="Z29" s="13" t="str">
        <f t="shared" si="36"/>
        <v>#DIV/0!</v>
      </c>
      <c r="AA29" s="13">
        <f t="shared" si="3"/>
        <v>0</v>
      </c>
      <c r="AB29" s="13" t="str">
        <f t="shared" si="4"/>
        <v>#DIV/0!</v>
      </c>
      <c r="AC29" s="14" t="s">
        <v>22</v>
      </c>
    </row>
    <row r="30" ht="14.25" customHeight="1">
      <c r="A30" s="5"/>
      <c r="B30" s="30" t="s">
        <v>82</v>
      </c>
      <c r="C30" s="31" t="s">
        <v>26</v>
      </c>
      <c r="D30" s="31" t="s">
        <v>27</v>
      </c>
      <c r="E30" s="31" t="s">
        <v>28</v>
      </c>
      <c r="F30" s="31" t="s">
        <v>29</v>
      </c>
      <c r="G30" s="31" t="s">
        <v>30</v>
      </c>
      <c r="H30" s="31" t="s">
        <v>31</v>
      </c>
      <c r="I30" s="5"/>
      <c r="J30" s="5"/>
      <c r="K30" s="5"/>
      <c r="L30" s="11" t="s">
        <v>83</v>
      </c>
      <c r="M30" s="12"/>
      <c r="N30" s="13" t="str">
        <f>M30/C7*100000</f>
        <v>#DIV/0!</v>
      </c>
      <c r="O30" s="12"/>
      <c r="P30" s="13" t="str">
        <f>O30/D7*100000</f>
        <v>#DIV/0!</v>
      </c>
      <c r="Q30" s="47"/>
      <c r="R30" s="13" t="str">
        <f>Q30/E7*100000</f>
        <v>#DIV/0!</v>
      </c>
      <c r="S30" s="12"/>
      <c r="T30" s="13" t="str">
        <f>S30/F7*100000</f>
        <v>#DIV/0!</v>
      </c>
      <c r="U30" s="12"/>
      <c r="V30" s="13" t="str">
        <f>U30/G7*100000</f>
        <v>#DIV/0!</v>
      </c>
      <c r="W30" s="12"/>
      <c r="X30" s="13" t="str">
        <f>W30/H7*100000</f>
        <v>#DIV/0!</v>
      </c>
      <c r="Y30" s="13">
        <f t="shared" ref="Y30:Z30" si="37">((M30+O30+Q30+S30)/4)</f>
        <v>0</v>
      </c>
      <c r="Z30" s="13" t="str">
        <f t="shared" si="37"/>
        <v>#DIV/0!</v>
      </c>
      <c r="AA30" s="13">
        <f t="shared" si="3"/>
        <v>0</v>
      </c>
      <c r="AB30" s="13" t="str">
        <f t="shared" si="4"/>
        <v>#DIV/0!</v>
      </c>
      <c r="AC30" s="14" t="s">
        <v>22</v>
      </c>
    </row>
    <row r="31" ht="14.25" customHeight="1">
      <c r="A31" s="5"/>
      <c r="B31" s="32" t="s">
        <v>84</v>
      </c>
      <c r="C31" s="31"/>
      <c r="D31" s="31"/>
      <c r="E31" s="31"/>
      <c r="F31" s="31"/>
      <c r="G31" s="31"/>
      <c r="H31" s="31"/>
      <c r="I31" s="5"/>
      <c r="J31" s="5"/>
      <c r="K31" s="5"/>
      <c r="L31" s="11" t="s">
        <v>85</v>
      </c>
      <c r="M31" s="12"/>
      <c r="N31" s="13" t="str">
        <f>M31/C7*100000</f>
        <v>#DIV/0!</v>
      </c>
      <c r="O31" s="12"/>
      <c r="P31" s="13" t="str">
        <f>O31/D7*100000</f>
        <v>#DIV/0!</v>
      </c>
      <c r="Q31" s="47"/>
      <c r="R31" s="13" t="str">
        <f>Q31/E7*100000</f>
        <v>#DIV/0!</v>
      </c>
      <c r="S31" s="12"/>
      <c r="T31" s="13" t="str">
        <f>S31/F7*100000</f>
        <v>#DIV/0!</v>
      </c>
      <c r="U31" s="12"/>
      <c r="V31" s="13" t="str">
        <f>U31/G7*100000</f>
        <v>#DIV/0!</v>
      </c>
      <c r="W31" s="12"/>
      <c r="X31" s="13" t="str">
        <f>W31/H7*100000</f>
        <v>#DIV/0!</v>
      </c>
      <c r="Y31" s="13">
        <f t="shared" ref="Y31:Z31" si="38">((M31+O31+Q31+S31)/4)</f>
        <v>0</v>
      </c>
      <c r="Z31" s="13" t="str">
        <f t="shared" si="38"/>
        <v>#DIV/0!</v>
      </c>
      <c r="AA31" s="13">
        <f t="shared" si="3"/>
        <v>0</v>
      </c>
      <c r="AB31" s="13" t="str">
        <f t="shared" si="4"/>
        <v>#DIV/0!</v>
      </c>
      <c r="AC31" s="14" t="s">
        <v>22</v>
      </c>
    </row>
    <row r="32" ht="14.25" customHeight="1">
      <c r="A32" s="5"/>
      <c r="B32" s="32" t="s">
        <v>86</v>
      </c>
      <c r="C32" s="31"/>
      <c r="D32" s="31"/>
      <c r="E32" s="31"/>
      <c r="F32" s="31"/>
      <c r="G32" s="31"/>
      <c r="H32" s="31"/>
      <c r="I32" s="5"/>
      <c r="J32" s="5"/>
      <c r="K32" s="5"/>
      <c r="L32" s="11" t="s">
        <v>87</v>
      </c>
      <c r="M32" s="61"/>
      <c r="N32" s="34" t="str">
        <f>M32/C7*100</f>
        <v>#DIV/0!</v>
      </c>
      <c r="O32" s="12"/>
      <c r="P32" s="34" t="str">
        <f>O32/D7*100</f>
        <v>#DIV/0!</v>
      </c>
      <c r="Q32" s="47"/>
      <c r="R32" s="34" t="str">
        <f>Q32/E7*100</f>
        <v>#DIV/0!</v>
      </c>
      <c r="S32" s="61"/>
      <c r="T32" s="34" t="str">
        <f>S32/F7*100</f>
        <v>#DIV/0!</v>
      </c>
      <c r="U32" s="61"/>
      <c r="V32" s="34" t="str">
        <f>U32/G7*100</f>
        <v>#DIV/0!</v>
      </c>
      <c r="W32" s="61"/>
      <c r="X32" s="34" t="str">
        <f>W32/H7*100</f>
        <v>#DIV/0!</v>
      </c>
      <c r="Y32" s="13">
        <f t="shared" ref="Y32:Z32" si="39">((M32+O32+Q32+S32)/4)</f>
        <v>0</v>
      </c>
      <c r="Z32" s="35" t="str">
        <f t="shared" si="39"/>
        <v>#DIV/0!</v>
      </c>
      <c r="AA32" s="13">
        <f t="shared" si="3"/>
        <v>0</v>
      </c>
      <c r="AB32" s="13" t="str">
        <f t="shared" si="4"/>
        <v>#DIV/0!</v>
      </c>
      <c r="AC32" s="14" t="s">
        <v>48</v>
      </c>
    </row>
    <row r="33" ht="14.25" customHeight="1">
      <c r="A33" s="5"/>
      <c r="B33" s="32" t="s">
        <v>88</v>
      </c>
      <c r="C33" s="31"/>
      <c r="D33" s="31"/>
      <c r="E33" s="31"/>
      <c r="F33" s="31"/>
      <c r="G33" s="31"/>
      <c r="H33" s="31"/>
      <c r="I33" s="5"/>
      <c r="J33" s="5"/>
      <c r="K33" s="5"/>
      <c r="L33" s="11" t="s">
        <v>89</v>
      </c>
      <c r="M33" s="12"/>
      <c r="N33" s="13" t="str">
        <f>M33/C7*10000</f>
        <v>#DIV/0!</v>
      </c>
      <c r="O33" s="12"/>
      <c r="P33" s="13" t="str">
        <f>O33/D7*10000</f>
        <v>#DIV/0!</v>
      </c>
      <c r="Q33" s="47"/>
      <c r="R33" s="13" t="str">
        <f>Q33/E7*10000</f>
        <v>#DIV/0!</v>
      </c>
      <c r="S33" s="12"/>
      <c r="T33" s="13" t="str">
        <f>S33/F7*10000</f>
        <v>#DIV/0!</v>
      </c>
      <c r="U33" s="12"/>
      <c r="V33" s="13" t="str">
        <f>U33/G7*10000</f>
        <v>#DIV/0!</v>
      </c>
      <c r="W33" s="12"/>
      <c r="X33" s="13" t="str">
        <f>W33/H7*10000</f>
        <v>#DIV/0!</v>
      </c>
      <c r="Y33" s="13">
        <f t="shared" ref="Y33:Z33" si="40">((M33+O33+Q33+S33)/4)</f>
        <v>0</v>
      </c>
      <c r="Z33" s="13" t="str">
        <f t="shared" si="40"/>
        <v>#DIV/0!</v>
      </c>
      <c r="AA33" s="13">
        <f t="shared" si="3"/>
        <v>0</v>
      </c>
      <c r="AB33" s="13" t="str">
        <f t="shared" si="4"/>
        <v>#DIV/0!</v>
      </c>
      <c r="AC33" s="14" t="s">
        <v>48</v>
      </c>
    </row>
    <row r="34" ht="14.25" customHeight="1">
      <c r="A34" s="5"/>
      <c r="B34" s="32" t="s">
        <v>90</v>
      </c>
      <c r="C34" s="31"/>
      <c r="D34" s="31"/>
      <c r="E34" s="31"/>
      <c r="F34" s="31"/>
      <c r="G34" s="31"/>
      <c r="H34" s="31"/>
      <c r="I34" s="5"/>
      <c r="J34" s="5"/>
      <c r="K34" s="5"/>
      <c r="L34" s="11" t="s">
        <v>91</v>
      </c>
      <c r="M34" s="12"/>
      <c r="N34" s="13" t="str">
        <f>M34/C7*10000</f>
        <v>#DIV/0!</v>
      </c>
      <c r="O34" s="12"/>
      <c r="P34" s="13" t="str">
        <f>O34/D7*10000</f>
        <v>#DIV/0!</v>
      </c>
      <c r="Q34" s="47"/>
      <c r="R34" s="13" t="str">
        <f>Q34/E7*10000</f>
        <v>#DIV/0!</v>
      </c>
      <c r="S34" s="12"/>
      <c r="T34" s="13" t="str">
        <f>S34/F7*10000</f>
        <v>#DIV/0!</v>
      </c>
      <c r="U34" s="12"/>
      <c r="V34" s="13" t="str">
        <f>U34/G7*10000</f>
        <v>#DIV/0!</v>
      </c>
      <c r="W34" s="12"/>
      <c r="X34" s="13" t="str">
        <f>W34/H7*10000</f>
        <v>#DIV/0!</v>
      </c>
      <c r="Y34" s="13">
        <f t="shared" ref="Y34:Z34" si="41">((M34+O34+Q34+S34)/4)</f>
        <v>0</v>
      </c>
      <c r="Z34" s="13" t="str">
        <f t="shared" si="41"/>
        <v>#DIV/0!</v>
      </c>
      <c r="AA34" s="13">
        <f t="shared" si="3"/>
        <v>0</v>
      </c>
      <c r="AB34" s="13" t="str">
        <f t="shared" si="4"/>
        <v>#DIV/0!</v>
      </c>
      <c r="AC34" s="14" t="s">
        <v>48</v>
      </c>
    </row>
    <row r="35" ht="14.25" customHeight="1">
      <c r="A35" s="5"/>
      <c r="B35" s="32" t="s">
        <v>92</v>
      </c>
      <c r="C35" s="31"/>
      <c r="D35" s="31"/>
      <c r="E35" s="31"/>
      <c r="F35" s="31"/>
      <c r="G35" s="31"/>
      <c r="H35" s="31"/>
      <c r="I35" s="5"/>
      <c r="J35" s="5"/>
      <c r="K35" s="5"/>
      <c r="L35" s="11" t="s">
        <v>93</v>
      </c>
      <c r="M35" s="12"/>
      <c r="N35" s="13" t="str">
        <f>M35/M4*1000</f>
        <v>#DIV/0!</v>
      </c>
      <c r="O35" s="12"/>
      <c r="P35" s="13" t="str">
        <f>O35/O4*1000</f>
        <v>#DIV/0!</v>
      </c>
      <c r="Q35" s="47"/>
      <c r="R35" s="13" t="str">
        <f>Q35/Q4*1000</f>
        <v>#DIV/0!</v>
      </c>
      <c r="S35" s="12"/>
      <c r="T35" s="13" t="str">
        <f>S35/S4*1000</f>
        <v>#DIV/0!</v>
      </c>
      <c r="U35" s="12"/>
      <c r="V35" s="13" t="str">
        <f>U35/U4*1000</f>
        <v>#DIV/0!</v>
      </c>
      <c r="W35" s="12"/>
      <c r="X35" s="13" t="str">
        <f>W35/W4*1000</f>
        <v>#DIV/0!</v>
      </c>
      <c r="Y35" s="13">
        <f t="shared" ref="Y35:Z35" si="42">((M35+O35+Q35+S35)/4)</f>
        <v>0</v>
      </c>
      <c r="Z35" s="13" t="str">
        <f t="shared" si="42"/>
        <v>#DIV/0!</v>
      </c>
      <c r="AA35" s="13">
        <f t="shared" si="3"/>
        <v>0</v>
      </c>
      <c r="AB35" s="13" t="str">
        <f t="shared" si="4"/>
        <v>#DIV/0!</v>
      </c>
      <c r="AC35" s="14" t="s">
        <v>48</v>
      </c>
    </row>
    <row r="36" ht="14.25" customHeight="1">
      <c r="A36" s="5"/>
      <c r="B36" s="32" t="s">
        <v>94</v>
      </c>
      <c r="C36" s="31"/>
      <c r="D36" s="31"/>
      <c r="E36" s="31"/>
      <c r="F36" s="31"/>
      <c r="G36" s="31"/>
      <c r="H36" s="31"/>
      <c r="I36" s="5"/>
      <c r="J36" s="5"/>
      <c r="K36" s="5"/>
      <c r="L36" s="11" t="s">
        <v>95</v>
      </c>
      <c r="M36" s="12"/>
      <c r="N36" s="13" t="str">
        <f>M36/M4*1000</f>
        <v>#DIV/0!</v>
      </c>
      <c r="O36" s="12"/>
      <c r="P36" s="13" t="str">
        <f>O36/O4*1000</f>
        <v>#DIV/0!</v>
      </c>
      <c r="Q36" s="47"/>
      <c r="R36" s="13" t="str">
        <f>Q36/Q4*1000</f>
        <v>#DIV/0!</v>
      </c>
      <c r="S36" s="12"/>
      <c r="T36" s="13" t="str">
        <f>S36/S4*1000</f>
        <v>#DIV/0!</v>
      </c>
      <c r="U36" s="12"/>
      <c r="V36" s="13" t="str">
        <f>U36/U4*1000</f>
        <v>#DIV/0!</v>
      </c>
      <c r="W36" s="12"/>
      <c r="X36" s="13" t="str">
        <f>W36/W4*1000</f>
        <v>#DIV/0!</v>
      </c>
      <c r="Y36" s="13">
        <f t="shared" ref="Y36:Z36" si="43">((M36+O36+Q36+S36)/4)</f>
        <v>0</v>
      </c>
      <c r="Z36" s="13" t="str">
        <f t="shared" si="43"/>
        <v>#DIV/0!</v>
      </c>
      <c r="AA36" s="13">
        <f t="shared" si="3"/>
        <v>0</v>
      </c>
      <c r="AB36" s="13" t="str">
        <f t="shared" si="4"/>
        <v>#DIV/0!</v>
      </c>
      <c r="AC36" s="14" t="s">
        <v>48</v>
      </c>
    </row>
    <row r="37" ht="14.25" customHeight="1">
      <c r="A37" s="5"/>
      <c r="B37" s="68"/>
      <c r="C37" s="69"/>
      <c r="D37" s="5"/>
      <c r="E37" s="5"/>
      <c r="F37" s="70"/>
      <c r="G37" s="27"/>
      <c r="H37" s="5"/>
      <c r="I37" s="5"/>
      <c r="J37" s="5"/>
      <c r="K37" s="5"/>
      <c r="L37" s="11" t="s">
        <v>96</v>
      </c>
      <c r="M37" s="12"/>
      <c r="N37" s="59"/>
      <c r="O37" s="12"/>
      <c r="P37" s="59"/>
      <c r="Q37" s="47"/>
      <c r="R37" s="59"/>
      <c r="S37" s="12"/>
      <c r="T37" s="59"/>
      <c r="U37" s="12"/>
      <c r="V37" s="59"/>
      <c r="W37" s="12"/>
      <c r="X37" s="59"/>
      <c r="Y37" s="13">
        <f t="shared" ref="Y37:Z37" si="44">((M37+O37+Q37+S37)/4)</f>
        <v>0</v>
      </c>
      <c r="Z37" s="13">
        <f t="shared" si="44"/>
        <v>0</v>
      </c>
      <c r="AA37" s="13">
        <f t="shared" si="3"/>
        <v>0</v>
      </c>
      <c r="AB37" s="13">
        <f t="shared" si="4"/>
        <v>0</v>
      </c>
      <c r="AC37" s="14" t="s">
        <v>48</v>
      </c>
    </row>
    <row r="38" ht="14.25" customHeight="1">
      <c r="A38" s="5"/>
      <c r="B38" s="68"/>
      <c r="C38" s="69"/>
      <c r="D38" s="5"/>
      <c r="E38" s="5"/>
      <c r="F38" s="70"/>
      <c r="G38" s="27"/>
      <c r="H38" s="5"/>
      <c r="I38" s="5"/>
      <c r="J38" s="5"/>
      <c r="K38" s="5"/>
      <c r="L38" s="11" t="s">
        <v>97</v>
      </c>
      <c r="M38" s="12"/>
      <c r="N38" s="13" t="str">
        <f>M38/C7*10000</f>
        <v>#DIV/0!</v>
      </c>
      <c r="O38" s="12"/>
      <c r="P38" s="13" t="str">
        <f>O38/E7*10000</f>
        <v>#DIV/0!</v>
      </c>
      <c r="Q38" s="47"/>
      <c r="R38" s="13" t="str">
        <f>Q38/E7*10000</f>
        <v>#DIV/0!</v>
      </c>
      <c r="S38" s="12"/>
      <c r="T38" s="13" t="str">
        <f>S38/F7*10000</f>
        <v>#DIV/0!</v>
      </c>
      <c r="U38" s="12"/>
      <c r="V38" s="13" t="str">
        <f>U38/G7*10000</f>
        <v>#DIV/0!</v>
      </c>
      <c r="W38" s="12"/>
      <c r="X38" s="13" t="str">
        <f>W38/H7*10000</f>
        <v>#DIV/0!</v>
      </c>
      <c r="Y38" s="13">
        <f t="shared" ref="Y38:Z38" si="45">((M38+O38+Q38+S38)/4)</f>
        <v>0</v>
      </c>
      <c r="Z38" s="13" t="str">
        <f t="shared" si="45"/>
        <v>#DIV/0!</v>
      </c>
      <c r="AA38" s="13">
        <f t="shared" si="3"/>
        <v>0</v>
      </c>
      <c r="AB38" s="13" t="str">
        <f t="shared" si="4"/>
        <v>#DIV/0!</v>
      </c>
      <c r="AC38" s="14" t="s">
        <v>48</v>
      </c>
    </row>
    <row r="39" ht="14.25" customHeight="1">
      <c r="A39" s="5"/>
      <c r="B39" s="68"/>
      <c r="C39" s="69"/>
      <c r="D39" s="5"/>
      <c r="E39" s="5"/>
      <c r="F39" s="70"/>
      <c r="G39" s="27"/>
      <c r="H39" s="5"/>
      <c r="I39" s="5"/>
      <c r="J39" s="5"/>
      <c r="K39" s="5"/>
      <c r="L39" s="11" t="s">
        <v>98</v>
      </c>
      <c r="M39" s="12"/>
      <c r="N39" s="13" t="str">
        <f>M39/C17*10000</f>
        <v>#DIV/0!</v>
      </c>
      <c r="O39" s="12"/>
      <c r="P39" s="13" t="str">
        <f>O39/D17*10000</f>
        <v>#DIV/0!</v>
      </c>
      <c r="Q39" s="47"/>
      <c r="R39" s="13" t="str">
        <f>Q39/E17*100000</f>
        <v>#DIV/0!</v>
      </c>
      <c r="S39" s="12"/>
      <c r="T39" s="13" t="str">
        <f>S39/F17*100000</f>
        <v>#DIV/0!</v>
      </c>
      <c r="U39" s="12"/>
      <c r="V39" s="13" t="str">
        <f>U39/G17*100000</f>
        <v>#DIV/0!</v>
      </c>
      <c r="W39" s="12"/>
      <c r="X39" s="13" t="str">
        <f>W39/H17*100000</f>
        <v>#DIV/0!</v>
      </c>
      <c r="Y39" s="13">
        <f t="shared" ref="Y39:Z39" si="46">((M39+O39+Q39+S39)/4)</f>
        <v>0</v>
      </c>
      <c r="Z39" s="13" t="str">
        <f t="shared" si="46"/>
        <v>#DIV/0!</v>
      </c>
      <c r="AA39" s="13">
        <f t="shared" si="3"/>
        <v>0</v>
      </c>
      <c r="AB39" s="13" t="str">
        <f t="shared" si="4"/>
        <v>#DIV/0!</v>
      </c>
      <c r="AC39" s="14" t="s">
        <v>48</v>
      </c>
    </row>
    <row r="40" ht="14.25" customHeight="1">
      <c r="A40" s="5"/>
      <c r="B40" s="68"/>
      <c r="C40" s="69"/>
      <c r="D40" s="5"/>
      <c r="E40" s="5"/>
      <c r="F40" s="5"/>
      <c r="G40" s="5"/>
      <c r="H40" s="5"/>
      <c r="I40" s="5"/>
      <c r="J40" s="5"/>
      <c r="K40" s="5"/>
      <c r="L40" s="11" t="s">
        <v>99</v>
      </c>
      <c r="M40" s="12"/>
      <c r="N40" s="13" t="str">
        <f>M40/C7*100000</f>
        <v>#DIV/0!</v>
      </c>
      <c r="O40" s="12"/>
      <c r="P40" s="13" t="str">
        <f>O40/D7*100000</f>
        <v>#DIV/0!</v>
      </c>
      <c r="Q40" s="47"/>
      <c r="R40" s="13" t="str">
        <f>Q40/E7*100000</f>
        <v>#DIV/0!</v>
      </c>
      <c r="S40" s="12"/>
      <c r="T40" s="13" t="str">
        <f>S40/F7*100000</f>
        <v>#DIV/0!</v>
      </c>
      <c r="U40" s="12"/>
      <c r="V40" s="13" t="str">
        <f>U40/G7*100000</f>
        <v>#DIV/0!</v>
      </c>
      <c r="W40" s="12"/>
      <c r="X40" s="13" t="str">
        <f>W40/H7*100000</f>
        <v>#DIV/0!</v>
      </c>
      <c r="Y40" s="13">
        <f t="shared" ref="Y40:Z40" si="47">((M40+O40+Q40+S40)/4)</f>
        <v>0</v>
      </c>
      <c r="Z40" s="13" t="str">
        <f t="shared" si="47"/>
        <v>#DIV/0!</v>
      </c>
      <c r="AA40" s="13">
        <f t="shared" si="3"/>
        <v>0</v>
      </c>
      <c r="AB40" s="13" t="str">
        <f t="shared" si="4"/>
        <v>#DIV/0!</v>
      </c>
      <c r="AC40" s="14" t="s">
        <v>48</v>
      </c>
    </row>
    <row r="41" ht="14.25" customHeight="1">
      <c r="A41" s="5"/>
      <c r="B41" s="68"/>
      <c r="C41" s="69"/>
      <c r="D41" s="5"/>
      <c r="E41" s="5"/>
      <c r="F41" s="5"/>
      <c r="G41" s="5"/>
      <c r="H41" s="5"/>
      <c r="I41" s="5"/>
      <c r="J41" s="5"/>
      <c r="K41" s="5"/>
      <c r="L41" s="11" t="s">
        <v>100</v>
      </c>
      <c r="M41" s="61"/>
      <c r="N41" s="28" t="str">
        <f>M41/C7*10000</f>
        <v>#DIV/0!</v>
      </c>
      <c r="O41" s="12"/>
      <c r="P41" s="28" t="str">
        <f>O41/D7*10000</f>
        <v>#DIV/0!</v>
      </c>
      <c r="Q41" s="47"/>
      <c r="R41" s="28" t="str">
        <f>Q41/E7*10000</f>
        <v>#DIV/0!</v>
      </c>
      <c r="S41" s="61"/>
      <c r="T41" s="28" t="str">
        <f>S41/F7*10000</f>
        <v>#DIV/0!</v>
      </c>
      <c r="U41" s="61"/>
      <c r="V41" s="28" t="str">
        <f>U41/G7*10000</f>
        <v>#DIV/0!</v>
      </c>
      <c r="W41" s="61"/>
      <c r="X41" s="28" t="str">
        <f>W41/H7*10000</f>
        <v>#DIV/0!</v>
      </c>
      <c r="Y41" s="13">
        <f t="shared" ref="Y41:Z41" si="48">((M41+O41+Q41+S41)/4)</f>
        <v>0</v>
      </c>
      <c r="Z41" s="13" t="str">
        <f t="shared" si="48"/>
        <v>#DIV/0!</v>
      </c>
      <c r="AA41" s="13">
        <f t="shared" si="3"/>
        <v>0</v>
      </c>
      <c r="AB41" s="13" t="str">
        <f t="shared" si="4"/>
        <v>#DIV/0!</v>
      </c>
      <c r="AC41" s="14" t="s">
        <v>48</v>
      </c>
    </row>
    <row r="42" ht="14.25" customHeight="1">
      <c r="A42" s="5"/>
      <c r="B42" s="68"/>
      <c r="C42" s="69"/>
      <c r="D42" s="5"/>
      <c r="E42" s="5"/>
      <c r="F42" s="5"/>
      <c r="G42" s="5"/>
      <c r="H42" s="5"/>
      <c r="I42" s="5"/>
      <c r="J42" s="5"/>
      <c r="K42" s="5"/>
      <c r="L42" s="11" t="s">
        <v>101</v>
      </c>
      <c r="M42" s="61"/>
      <c r="N42" s="28" t="str">
        <f>M42/C7*10000</f>
        <v>#DIV/0!</v>
      </c>
      <c r="O42" s="12"/>
      <c r="P42" s="28" t="str">
        <f>O42/D7*10000</f>
        <v>#DIV/0!</v>
      </c>
      <c r="Q42" s="47"/>
      <c r="R42" s="28" t="str">
        <f>Q42/E7*10000</f>
        <v>#DIV/0!</v>
      </c>
      <c r="S42" s="61"/>
      <c r="T42" s="28" t="str">
        <f>S42/F7*10000</f>
        <v>#DIV/0!</v>
      </c>
      <c r="U42" s="61"/>
      <c r="V42" s="28" t="str">
        <f>U42/G7*10000</f>
        <v>#DIV/0!</v>
      </c>
      <c r="W42" s="61"/>
      <c r="X42" s="28" t="str">
        <f>W42/H7*10000</f>
        <v>#DIV/0!</v>
      </c>
      <c r="Y42" s="13">
        <f t="shared" ref="Y42:Z42" si="49">((M42+O42+Q42+S42)/4)</f>
        <v>0</v>
      </c>
      <c r="Z42" s="13" t="str">
        <f t="shared" si="49"/>
        <v>#DIV/0!</v>
      </c>
      <c r="AA42" s="13">
        <f t="shared" si="3"/>
        <v>0</v>
      </c>
      <c r="AB42" s="13" t="str">
        <f t="shared" si="4"/>
        <v>#DIV/0!</v>
      </c>
      <c r="AC42" s="14" t="s">
        <v>48</v>
      </c>
    </row>
    <row r="43" ht="14.25" customHeight="1">
      <c r="A43" s="5"/>
      <c r="B43" s="68"/>
      <c r="C43" s="69"/>
      <c r="D43" s="5"/>
      <c r="E43" s="5"/>
      <c r="F43" s="5"/>
      <c r="G43" s="5"/>
      <c r="H43" s="5"/>
      <c r="I43" s="5"/>
      <c r="J43" s="5"/>
      <c r="K43" s="5"/>
      <c r="L43" s="11" t="s">
        <v>102</v>
      </c>
      <c r="M43" s="61"/>
      <c r="N43" s="28" t="str">
        <f>M43/C16*10000</f>
        <v>#DIV/0!</v>
      </c>
      <c r="O43" s="12"/>
      <c r="P43" s="28" t="str">
        <f>O43/D16*10000</f>
        <v>#DIV/0!</v>
      </c>
      <c r="Q43" s="47"/>
      <c r="R43" s="28" t="str">
        <f>Q43/E16*100000</f>
        <v>#DIV/0!</v>
      </c>
      <c r="S43" s="61"/>
      <c r="T43" s="28" t="str">
        <f>S43/F16*100000</f>
        <v>#DIV/0!</v>
      </c>
      <c r="U43" s="61"/>
      <c r="V43" s="28" t="str">
        <f>U43/G16*100000</f>
        <v>#DIV/0!</v>
      </c>
      <c r="W43" s="61"/>
      <c r="X43" s="28" t="str">
        <f>W43/H16*100000</f>
        <v>#DIV/0!</v>
      </c>
      <c r="Y43" s="13">
        <f t="shared" ref="Y43:Z43" si="50">((M43+O43+Q43+S43)/4)</f>
        <v>0</v>
      </c>
      <c r="Z43" s="13" t="str">
        <f t="shared" si="50"/>
        <v>#DIV/0!</v>
      </c>
      <c r="AA43" s="13">
        <f t="shared" si="3"/>
        <v>0</v>
      </c>
      <c r="AB43" s="13" t="str">
        <f t="shared" si="4"/>
        <v>#DIV/0!</v>
      </c>
      <c r="AC43" s="14" t="s">
        <v>48</v>
      </c>
    </row>
    <row r="44" ht="14.25" customHeight="1">
      <c r="A44" s="5"/>
      <c r="B44" s="68"/>
      <c r="C44" s="69"/>
      <c r="D44" s="5"/>
      <c r="E44" s="5"/>
      <c r="F44" s="5"/>
      <c r="G44" s="5"/>
      <c r="H44" s="5"/>
      <c r="I44" s="5"/>
      <c r="J44" s="5"/>
      <c r="K44" s="5"/>
      <c r="L44" s="11" t="s">
        <v>103</v>
      </c>
      <c r="M44" s="71"/>
      <c r="N44" s="28" t="str">
        <f>M44/C7*100000</f>
        <v>#DIV/0!</v>
      </c>
      <c r="O44" s="12"/>
      <c r="P44" s="28" t="str">
        <f>O44/D7*100000</f>
        <v>#DIV/0!</v>
      </c>
      <c r="Q44" s="12"/>
      <c r="R44" s="13" t="str">
        <f>Q44/E7*100000</f>
        <v>#DIV/0!</v>
      </c>
      <c r="S44" s="12"/>
      <c r="T44" s="13" t="str">
        <f>S44/F7*100000</f>
        <v>#DIV/0!</v>
      </c>
      <c r="U44" s="12"/>
      <c r="V44" s="13" t="str">
        <f>U44/G7*100000</f>
        <v>#DIV/0!</v>
      </c>
      <c r="W44" s="12"/>
      <c r="X44" s="13" t="str">
        <f>W44/H7*100000</f>
        <v>#DIV/0!</v>
      </c>
      <c r="Y44" s="13">
        <f t="shared" ref="Y44:Z44" si="51">((M44+O44+Q44+S44)/4)</f>
        <v>0</v>
      </c>
      <c r="Z44" s="13" t="str">
        <f t="shared" si="51"/>
        <v>#DIV/0!</v>
      </c>
      <c r="AA44" s="13">
        <f t="shared" si="3"/>
        <v>0</v>
      </c>
      <c r="AB44" s="13" t="str">
        <f t="shared" si="4"/>
        <v>#DIV/0!</v>
      </c>
      <c r="AC44" s="14" t="s">
        <v>48</v>
      </c>
    </row>
    <row r="45" ht="14.25" customHeight="1">
      <c r="A45" s="5"/>
      <c r="B45" s="68"/>
      <c r="C45" s="69"/>
      <c r="D45" s="5"/>
      <c r="E45" s="5"/>
      <c r="F45" s="5"/>
      <c r="G45" s="5"/>
      <c r="H45" s="5"/>
      <c r="I45" s="5"/>
      <c r="J45" s="5"/>
      <c r="K45" s="5"/>
      <c r="L45" s="11" t="s">
        <v>104</v>
      </c>
      <c r="M45" s="71"/>
      <c r="N45" s="28" t="str">
        <f>M45/M4*100</f>
        <v>#DIV/0!</v>
      </c>
      <c r="O45" s="12"/>
      <c r="P45" s="28" t="str">
        <f>O45/O4*100</f>
        <v>#DIV/0!</v>
      </c>
      <c r="Q45" s="12"/>
      <c r="R45" s="13" t="str">
        <f>Q45/Q4*100</f>
        <v>#DIV/0!</v>
      </c>
      <c r="S45" s="12"/>
      <c r="T45" s="13" t="str">
        <f>S45/S4*100</f>
        <v>#DIV/0!</v>
      </c>
      <c r="U45" s="12"/>
      <c r="V45" s="13" t="str">
        <f>U45/U4*100</f>
        <v>#DIV/0!</v>
      </c>
      <c r="W45" s="12"/>
      <c r="X45" s="13" t="str">
        <f>W45/W4*100</f>
        <v>#DIV/0!</v>
      </c>
      <c r="Y45" s="13">
        <f t="shared" ref="Y45:Z45" si="52">((M45+O45+Q45+S45)/4)</f>
        <v>0</v>
      </c>
      <c r="Z45" s="13" t="str">
        <f t="shared" si="52"/>
        <v>#DIV/0!</v>
      </c>
      <c r="AA45" s="13">
        <f t="shared" si="3"/>
        <v>0</v>
      </c>
      <c r="AB45" s="13" t="str">
        <f t="shared" si="4"/>
        <v>#DIV/0!</v>
      </c>
      <c r="AC45" s="14" t="s">
        <v>105</v>
      </c>
    </row>
    <row r="46" ht="14.25" customHeight="1">
      <c r="A46" s="5"/>
      <c r="B46" s="72"/>
      <c r="C46" s="73"/>
      <c r="D46" s="5"/>
      <c r="E46" s="5"/>
      <c r="F46" s="5"/>
      <c r="G46" s="5"/>
      <c r="H46" s="5"/>
      <c r="I46" s="5"/>
      <c r="J46" s="5"/>
      <c r="K46" s="5"/>
      <c r="L46" s="11" t="s">
        <v>106</v>
      </c>
      <c r="M46" s="71"/>
      <c r="N46" s="28" t="str">
        <f>M46/M4*100</f>
        <v>#DIV/0!</v>
      </c>
      <c r="O46" s="12"/>
      <c r="P46" s="28" t="str">
        <f>O46/O4*100</f>
        <v>#DIV/0!</v>
      </c>
      <c r="Q46" s="12"/>
      <c r="R46" s="13" t="str">
        <f>Q46/Q4*100</f>
        <v>#DIV/0!</v>
      </c>
      <c r="S46" s="12"/>
      <c r="T46" s="13" t="str">
        <f>S46/S4*100</f>
        <v>#DIV/0!</v>
      </c>
      <c r="U46" s="12"/>
      <c r="V46" s="13" t="str">
        <f>U46/U4*100</f>
        <v>#DIV/0!</v>
      </c>
      <c r="W46" s="12"/>
      <c r="X46" s="13" t="str">
        <f>W46/W4*100</f>
        <v>#DIV/0!</v>
      </c>
      <c r="Y46" s="13">
        <f t="shared" ref="Y46:Z46" si="53">((M46+O46+Q46+S46)/4)</f>
        <v>0</v>
      </c>
      <c r="Z46" s="13" t="str">
        <f t="shared" si="53"/>
        <v>#DIV/0!</v>
      </c>
      <c r="AA46" s="13">
        <f t="shared" si="3"/>
        <v>0</v>
      </c>
      <c r="AB46" s="13" t="str">
        <f t="shared" si="4"/>
        <v>#DIV/0!</v>
      </c>
      <c r="AC46" s="14" t="s">
        <v>105</v>
      </c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1" t="s">
        <v>107</v>
      </c>
      <c r="M47" s="47"/>
      <c r="N47" s="13" t="str">
        <f>M47/C7*100000</f>
        <v>#DIV/0!</v>
      </c>
      <c r="O47" s="47"/>
      <c r="P47" s="13" t="str">
        <f>O47/D7*100000</f>
        <v>#DIV/0!</v>
      </c>
      <c r="Q47" s="47"/>
      <c r="R47" s="13" t="str">
        <f>Q47/E7*100000</f>
        <v>#DIV/0!</v>
      </c>
      <c r="S47" s="12"/>
      <c r="T47" s="13" t="str">
        <f>S47/F7*100000</f>
        <v>#DIV/0!</v>
      </c>
      <c r="U47" s="12"/>
      <c r="V47" s="13" t="str">
        <f>U47/G7*100000</f>
        <v>#DIV/0!</v>
      </c>
      <c r="W47" s="12"/>
      <c r="X47" s="13" t="str">
        <f>W47/H7*100000</f>
        <v>#DIV/0!</v>
      </c>
      <c r="Y47" s="13">
        <f t="shared" ref="Y47:Z47" si="54">((M47+O47+Q47+S47)/4)</f>
        <v>0</v>
      </c>
      <c r="Z47" s="13" t="str">
        <f t="shared" si="54"/>
        <v>#DIV/0!</v>
      </c>
      <c r="AA47" s="13">
        <f t="shared" si="3"/>
        <v>0</v>
      </c>
      <c r="AB47" s="13" t="str">
        <f t="shared" si="4"/>
        <v>#DIV/0!</v>
      </c>
      <c r="AC47" s="14" t="s">
        <v>48</v>
      </c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1" t="s">
        <v>108</v>
      </c>
      <c r="M48" s="47"/>
      <c r="N48" s="13" t="str">
        <f>M48/C7*100000</f>
        <v>#DIV/0!</v>
      </c>
      <c r="O48" s="12"/>
      <c r="P48" s="13" t="str">
        <f>O48/D7*100000</f>
        <v>#DIV/0!</v>
      </c>
      <c r="Q48" s="47"/>
      <c r="R48" s="13" t="str">
        <f>Q48/E7*100000</f>
        <v>#DIV/0!</v>
      </c>
      <c r="S48" s="12"/>
      <c r="T48" s="13" t="str">
        <f>S48/F7*100000</f>
        <v>#DIV/0!</v>
      </c>
      <c r="U48" s="12"/>
      <c r="V48" s="13" t="str">
        <f>U48/G7*100000</f>
        <v>#DIV/0!</v>
      </c>
      <c r="W48" s="12"/>
      <c r="X48" s="13" t="str">
        <f>W48/H7*100000</f>
        <v>#DIV/0!</v>
      </c>
      <c r="Y48" s="13">
        <f t="shared" ref="Y48:Z48" si="55">((M48+O48+Q48+S48)/4)</f>
        <v>0</v>
      </c>
      <c r="Z48" s="13" t="str">
        <f t="shared" si="55"/>
        <v>#DIV/0!</v>
      </c>
      <c r="AA48" s="13">
        <f t="shared" si="3"/>
        <v>0</v>
      </c>
      <c r="AB48" s="13" t="str">
        <f t="shared" si="4"/>
        <v>#DIV/0!</v>
      </c>
      <c r="AC48" s="37" t="s">
        <v>22</v>
      </c>
    </row>
    <row r="49" ht="14.25" customHeight="1">
      <c r="A49" s="5"/>
      <c r="B49" s="75"/>
      <c r="C49" s="5"/>
      <c r="D49" s="5"/>
      <c r="E49" s="5"/>
      <c r="F49" s="5"/>
      <c r="G49" s="5"/>
      <c r="H49" s="5"/>
      <c r="I49" s="5"/>
      <c r="J49" s="5"/>
      <c r="K49" s="5"/>
      <c r="L49" s="11" t="s">
        <v>109</v>
      </c>
      <c r="M49" s="47"/>
      <c r="N49" s="13" t="str">
        <f>M49/C7*100000</f>
        <v>#DIV/0!</v>
      </c>
      <c r="O49" s="12"/>
      <c r="P49" s="13" t="str">
        <f>O49/D7*100000</f>
        <v>#DIV/0!</v>
      </c>
      <c r="Q49" s="47"/>
      <c r="R49" s="13" t="str">
        <f>Q49/E7*100000</f>
        <v>#DIV/0!</v>
      </c>
      <c r="S49" s="12"/>
      <c r="T49" s="13" t="str">
        <f>S49/F7*100000</f>
        <v>#DIV/0!</v>
      </c>
      <c r="U49" s="12"/>
      <c r="V49" s="13" t="str">
        <f>U49/G7*100000</f>
        <v>#DIV/0!</v>
      </c>
      <c r="W49" s="12"/>
      <c r="X49" s="13" t="str">
        <f>W49/H7*100000</f>
        <v>#DIV/0!</v>
      </c>
      <c r="Y49" s="13">
        <f t="shared" ref="Y49:Z49" si="56">((M49+O49+Q49+S49)/4)</f>
        <v>0</v>
      </c>
      <c r="Z49" s="13" t="str">
        <f t="shared" si="56"/>
        <v>#DIV/0!</v>
      </c>
      <c r="AA49" s="13">
        <f t="shared" si="3"/>
        <v>0</v>
      </c>
      <c r="AB49" s="13" t="str">
        <f t="shared" si="4"/>
        <v>#DIV/0!</v>
      </c>
      <c r="AC49" s="37" t="s">
        <v>22</v>
      </c>
    </row>
    <row r="50" ht="14.25" customHeight="1">
      <c r="A50" s="5"/>
      <c r="C50" s="5"/>
      <c r="D50" s="5"/>
      <c r="E50" s="5"/>
      <c r="F50" s="5"/>
      <c r="G50" s="5"/>
      <c r="H50" s="5"/>
      <c r="I50" s="5"/>
      <c r="J50" s="5"/>
      <c r="K50" s="5"/>
      <c r="L50" s="11" t="s">
        <v>110</v>
      </c>
      <c r="M50" s="47"/>
      <c r="N50" s="13" t="str">
        <f>M50/C7*100000</f>
        <v>#DIV/0!</v>
      </c>
      <c r="O50" s="47"/>
      <c r="P50" s="13" t="str">
        <f>O50/D7*100000</f>
        <v>#DIV/0!</v>
      </c>
      <c r="Q50" s="47"/>
      <c r="R50" s="13" t="str">
        <f>Q50/E7*100000</f>
        <v>#DIV/0!</v>
      </c>
      <c r="S50" s="12"/>
      <c r="T50" s="13" t="str">
        <f>S50/F7*100000</f>
        <v>#DIV/0!</v>
      </c>
      <c r="U50" s="12"/>
      <c r="V50" s="13" t="str">
        <f>U50/G7*100000</f>
        <v>#DIV/0!</v>
      </c>
      <c r="W50" s="12"/>
      <c r="X50" s="13" t="str">
        <f>W50/H7*100000</f>
        <v>#DIV/0!</v>
      </c>
      <c r="Y50" s="13">
        <f t="shared" ref="Y50:Z50" si="57">((M50+O50+Q50+S50)/4)</f>
        <v>0</v>
      </c>
      <c r="Z50" s="13" t="str">
        <f t="shared" si="57"/>
        <v>#DIV/0!</v>
      </c>
      <c r="AA50" s="13">
        <f t="shared" si="3"/>
        <v>0</v>
      </c>
      <c r="AB50" s="13" t="str">
        <f t="shared" si="4"/>
        <v>#DIV/0!</v>
      </c>
      <c r="AC50" s="14" t="s">
        <v>48</v>
      </c>
    </row>
    <row r="51" ht="14.25" customHeight="1">
      <c r="A51" s="5"/>
      <c r="C51" s="5"/>
      <c r="D51" s="5"/>
      <c r="E51" s="5"/>
      <c r="F51" s="5"/>
      <c r="G51" s="5"/>
      <c r="H51" s="5"/>
      <c r="I51" s="5"/>
      <c r="J51" s="5"/>
      <c r="K51" s="5"/>
      <c r="L51" s="11" t="s">
        <v>111</v>
      </c>
      <c r="M51" s="47"/>
      <c r="N51" s="13" t="str">
        <f>M51/C7*100000</f>
        <v>#DIV/0!</v>
      </c>
      <c r="O51" s="47"/>
      <c r="P51" s="13" t="str">
        <f>O51/D7*100000</f>
        <v>#DIV/0!</v>
      </c>
      <c r="Q51" s="47"/>
      <c r="R51" s="13" t="str">
        <f>Q51/E7*100000</f>
        <v>#DIV/0!</v>
      </c>
      <c r="S51" s="12"/>
      <c r="T51" s="13" t="str">
        <f>S51/F7*100000</f>
        <v>#DIV/0!</v>
      </c>
      <c r="U51" s="12"/>
      <c r="V51" s="13" t="str">
        <f>U51/G7*100000</f>
        <v>#DIV/0!</v>
      </c>
      <c r="W51" s="12"/>
      <c r="X51" s="13" t="str">
        <f>W51/H7*100000</f>
        <v>#DIV/0!</v>
      </c>
      <c r="Y51" s="13">
        <f t="shared" ref="Y51:Z51" si="58">((M51+O51+Q51+S51)/4)</f>
        <v>0</v>
      </c>
      <c r="Z51" s="13" t="str">
        <f t="shared" si="58"/>
        <v>#DIV/0!</v>
      </c>
      <c r="AA51" s="13">
        <f t="shared" si="3"/>
        <v>0</v>
      </c>
      <c r="AB51" s="13" t="str">
        <f t="shared" si="4"/>
        <v>#DIV/0!</v>
      </c>
      <c r="AC51" s="14" t="s">
        <v>48</v>
      </c>
    </row>
    <row r="52" ht="14.25" customHeight="1">
      <c r="A52" s="5"/>
      <c r="B52" s="75"/>
      <c r="C52" s="5"/>
      <c r="D52" s="5"/>
      <c r="E52" s="5"/>
      <c r="F52" s="5"/>
      <c r="G52" s="5"/>
      <c r="H52" s="5"/>
      <c r="I52" s="5"/>
      <c r="J52" s="5"/>
      <c r="K52" s="5"/>
      <c r="L52" s="11" t="s">
        <v>112</v>
      </c>
      <c r="M52" s="47"/>
      <c r="N52" s="13" t="str">
        <f>M52/C7*100000</f>
        <v>#DIV/0!</v>
      </c>
      <c r="O52" s="47"/>
      <c r="P52" s="13" t="str">
        <f>O52/D7*100000</f>
        <v>#DIV/0!</v>
      </c>
      <c r="Q52" s="47"/>
      <c r="R52" s="13" t="str">
        <f>Q52/E7*100000</f>
        <v>#DIV/0!</v>
      </c>
      <c r="S52" s="12"/>
      <c r="T52" s="13" t="str">
        <f>S52/F7*100000</f>
        <v>#DIV/0!</v>
      </c>
      <c r="U52" s="12"/>
      <c r="V52" s="13" t="str">
        <f>U52/G7*100000</f>
        <v>#DIV/0!</v>
      </c>
      <c r="W52" s="12"/>
      <c r="X52" s="13" t="str">
        <f>W52/H7*100000</f>
        <v>#DIV/0!</v>
      </c>
      <c r="Y52" s="13">
        <f t="shared" ref="Y52:Z52" si="59">((M52+O52+Q52+S52)/4)</f>
        <v>0</v>
      </c>
      <c r="Z52" s="13" t="str">
        <f t="shared" si="59"/>
        <v>#DIV/0!</v>
      </c>
      <c r="AA52" s="13">
        <f t="shared" si="3"/>
        <v>0</v>
      </c>
      <c r="AB52" s="13" t="str">
        <f t="shared" si="4"/>
        <v>#DIV/0!</v>
      </c>
      <c r="AC52" s="14" t="s">
        <v>48</v>
      </c>
    </row>
    <row r="53" ht="14.25" customHeight="1">
      <c r="A53" s="5"/>
      <c r="C53" s="5"/>
      <c r="D53" s="5"/>
      <c r="E53" s="5"/>
      <c r="F53" s="5"/>
      <c r="G53" s="5"/>
      <c r="H53" s="5"/>
      <c r="I53" s="5"/>
      <c r="J53" s="5"/>
      <c r="K53" s="5"/>
      <c r="L53" s="11" t="s">
        <v>113</v>
      </c>
      <c r="M53" s="47"/>
      <c r="N53" s="13" t="str">
        <f>M53/C17*100000</f>
        <v>#DIV/0!</v>
      </c>
      <c r="O53" s="47"/>
      <c r="P53" s="13" t="str">
        <f>O53/D17*100000</f>
        <v>#DIV/0!</v>
      </c>
      <c r="Q53" s="47"/>
      <c r="R53" s="13" t="str">
        <f>Q53/E17*100000</f>
        <v>#DIV/0!</v>
      </c>
      <c r="S53" s="12"/>
      <c r="T53" s="13" t="str">
        <f>S53/F17*100000</f>
        <v>#DIV/0!</v>
      </c>
      <c r="U53" s="12"/>
      <c r="V53" s="13" t="str">
        <f>U53/G17*100000</f>
        <v>#DIV/0!</v>
      </c>
      <c r="W53" s="12"/>
      <c r="X53" s="13" t="str">
        <f>W53/H17*100000</f>
        <v>#DIV/0!</v>
      </c>
      <c r="Y53" s="13">
        <f t="shared" ref="Y53:Z53" si="60">((M53+O53+Q53+S53)/4)</f>
        <v>0</v>
      </c>
      <c r="Z53" s="13" t="str">
        <f t="shared" si="60"/>
        <v>#DIV/0!</v>
      </c>
      <c r="AA53" s="13">
        <f t="shared" si="3"/>
        <v>0</v>
      </c>
      <c r="AB53" s="13" t="str">
        <f t="shared" si="4"/>
        <v>#DIV/0!</v>
      </c>
      <c r="AC53" s="37" t="s">
        <v>22</v>
      </c>
    </row>
    <row r="54" ht="14.25" customHeight="1">
      <c r="A54" s="5"/>
      <c r="C54" s="5"/>
      <c r="D54" s="5"/>
      <c r="E54" s="5"/>
      <c r="F54" s="5"/>
      <c r="G54" s="5"/>
      <c r="H54" s="5"/>
      <c r="I54" s="5"/>
      <c r="J54" s="5"/>
      <c r="K54" s="5"/>
      <c r="L54" s="11" t="s">
        <v>114</v>
      </c>
      <c r="M54" s="47"/>
      <c r="N54" s="13" t="str">
        <f>M54/C19*100000</f>
        <v>#DIV/0!</v>
      </c>
      <c r="O54" s="47"/>
      <c r="P54" s="13" t="str">
        <f>O54/D19*100000</f>
        <v>#DIV/0!</v>
      </c>
      <c r="Q54" s="47"/>
      <c r="R54" s="13" t="str">
        <f>Q54/E19*100000</f>
        <v>#DIV/0!</v>
      </c>
      <c r="S54" s="12"/>
      <c r="T54" s="13" t="str">
        <f>S54/F19*100000</f>
        <v>#DIV/0!</v>
      </c>
      <c r="U54" s="12"/>
      <c r="V54" s="13" t="str">
        <f>U54/G19*100000</f>
        <v>#DIV/0!</v>
      </c>
      <c r="W54" s="12"/>
      <c r="X54" s="13" t="str">
        <f>W54/H19*100000</f>
        <v>#DIV/0!</v>
      </c>
      <c r="Y54" s="13">
        <f t="shared" ref="Y54:Z54" si="61">((M54+O54+Q54+S54)/4)</f>
        <v>0</v>
      </c>
      <c r="Z54" s="13" t="str">
        <f t="shared" si="61"/>
        <v>#DIV/0!</v>
      </c>
      <c r="AA54" s="13">
        <f t="shared" si="3"/>
        <v>0</v>
      </c>
      <c r="AB54" s="13" t="str">
        <f t="shared" si="4"/>
        <v>#DIV/0!</v>
      </c>
      <c r="AC54" s="37" t="s">
        <v>22</v>
      </c>
    </row>
    <row r="55" ht="14.25" customHeight="1">
      <c r="A55" s="5"/>
      <c r="B55" s="75"/>
      <c r="C55" s="5"/>
      <c r="D55" s="5"/>
      <c r="E55" s="5"/>
      <c r="F55" s="5"/>
      <c r="G55" s="5"/>
      <c r="H55" s="5"/>
      <c r="I55" s="5"/>
      <c r="J55" s="5"/>
      <c r="K55" s="5"/>
      <c r="L55" s="11" t="s">
        <v>115</v>
      </c>
      <c r="M55" s="47"/>
      <c r="N55" s="13" t="str">
        <f>M55/C19*100000</f>
        <v>#DIV/0!</v>
      </c>
      <c r="O55" s="47"/>
      <c r="P55" s="13" t="str">
        <f>O55/D19*100000</f>
        <v>#DIV/0!</v>
      </c>
      <c r="Q55" s="47"/>
      <c r="R55" s="13" t="str">
        <f>Q55/E19*100000</f>
        <v>#DIV/0!</v>
      </c>
      <c r="S55" s="12"/>
      <c r="T55" s="13" t="str">
        <f>S55/F19*100000</f>
        <v>#DIV/0!</v>
      </c>
      <c r="U55" s="12"/>
      <c r="V55" s="13" t="str">
        <f>U55/G19*100000</f>
        <v>#DIV/0!</v>
      </c>
      <c r="W55" s="12"/>
      <c r="X55" s="13" t="str">
        <f>W55/H19*100000</f>
        <v>#DIV/0!</v>
      </c>
      <c r="Y55" s="13">
        <f t="shared" ref="Y55:Z55" si="62">((M55+O55+Q55+S55)/4)</f>
        <v>0</v>
      </c>
      <c r="Z55" s="13" t="str">
        <f t="shared" si="62"/>
        <v>#DIV/0!</v>
      </c>
      <c r="AA55" s="13">
        <f t="shared" si="3"/>
        <v>0</v>
      </c>
      <c r="AB55" s="13" t="str">
        <f t="shared" si="4"/>
        <v>#DIV/0!</v>
      </c>
      <c r="AC55" s="37" t="s">
        <v>22</v>
      </c>
    </row>
    <row r="56" ht="14.25" customHeight="1">
      <c r="A56" s="5"/>
      <c r="C56" s="5"/>
      <c r="D56" s="5"/>
      <c r="E56" s="5"/>
      <c r="F56" s="5"/>
      <c r="G56" s="5"/>
      <c r="H56" s="5"/>
      <c r="I56" s="5"/>
      <c r="J56" s="5"/>
      <c r="K56" s="5"/>
      <c r="L56" s="11" t="s">
        <v>116</v>
      </c>
      <c r="M56" s="47"/>
      <c r="N56" s="13" t="str">
        <f>M56/C7*100000</f>
        <v>#DIV/0!</v>
      </c>
      <c r="O56" s="47"/>
      <c r="P56" s="13" t="str">
        <f>O56/D7*100000</f>
        <v>#DIV/0!</v>
      </c>
      <c r="Q56" s="47"/>
      <c r="R56" s="13" t="str">
        <f>Q56/E7*100000</f>
        <v>#DIV/0!</v>
      </c>
      <c r="S56" s="12"/>
      <c r="T56" s="13" t="str">
        <f>S56/F7*100000</f>
        <v>#DIV/0!</v>
      </c>
      <c r="U56" s="12"/>
      <c r="V56" s="13" t="str">
        <f>U56/G7*100000</f>
        <v>#DIV/0!</v>
      </c>
      <c r="W56" s="12"/>
      <c r="X56" s="13" t="str">
        <f>W56/H7*100000</f>
        <v>#DIV/0!</v>
      </c>
      <c r="Y56" s="13">
        <f t="shared" ref="Y56:Z56" si="63">((M56+O56+Q56+S56)/4)</f>
        <v>0</v>
      </c>
      <c r="Z56" s="13" t="str">
        <f t="shared" si="63"/>
        <v>#DIV/0!</v>
      </c>
      <c r="AA56" s="13">
        <f t="shared" si="3"/>
        <v>0</v>
      </c>
      <c r="AB56" s="13" t="str">
        <f t="shared" si="4"/>
        <v>#DIV/0!</v>
      </c>
      <c r="AC56" s="37" t="s">
        <v>22</v>
      </c>
    </row>
    <row r="57" ht="14.25" customHeight="1">
      <c r="A57" s="5"/>
      <c r="C57" s="5"/>
      <c r="D57" s="5"/>
      <c r="E57" s="5"/>
      <c r="F57" s="5"/>
      <c r="G57" s="5"/>
      <c r="H57" s="5"/>
      <c r="I57" s="5"/>
      <c r="J57" s="5"/>
      <c r="K57" s="5"/>
      <c r="L57" s="11" t="s">
        <v>117</v>
      </c>
      <c r="M57" s="47"/>
      <c r="N57" s="13" t="str">
        <f>M57/M4*100000</f>
        <v>#DIV/0!</v>
      </c>
      <c r="O57" s="47"/>
      <c r="P57" s="13" t="str">
        <f>O57/O4*100000</f>
        <v>#DIV/0!</v>
      </c>
      <c r="Q57" s="47"/>
      <c r="R57" s="13" t="str">
        <f>Q57/Q4*100000</f>
        <v>#DIV/0!</v>
      </c>
      <c r="S57" s="12"/>
      <c r="T57" s="13" t="str">
        <f>S57/S4*100000</f>
        <v>#DIV/0!</v>
      </c>
      <c r="U57" s="12"/>
      <c r="V57" s="13" t="str">
        <f>U57/U4*100000</f>
        <v>#DIV/0!</v>
      </c>
      <c r="W57" s="12"/>
      <c r="X57" s="13" t="str">
        <f>W57/W4*100000</f>
        <v>#DIV/0!</v>
      </c>
      <c r="Y57" s="13">
        <f t="shared" ref="Y57:Z57" si="64">((M57+O57+Q57+S57)/4)</f>
        <v>0</v>
      </c>
      <c r="Z57" s="13" t="str">
        <f t="shared" si="64"/>
        <v>#DIV/0!</v>
      </c>
      <c r="AA57" s="13">
        <f t="shared" si="3"/>
        <v>0</v>
      </c>
      <c r="AB57" s="13" t="str">
        <f t="shared" si="4"/>
        <v>#DIV/0!</v>
      </c>
      <c r="AC57" s="14" t="s">
        <v>48</v>
      </c>
    </row>
    <row r="58" ht="14.25" customHeight="1">
      <c r="A58" s="5"/>
      <c r="B58" s="75"/>
      <c r="C58" s="5"/>
      <c r="D58" s="5"/>
      <c r="E58" s="5"/>
      <c r="F58" s="5"/>
      <c r="G58" s="5"/>
      <c r="H58" s="5"/>
      <c r="I58" s="5"/>
      <c r="J58" s="5"/>
      <c r="K58" s="5"/>
      <c r="L58" s="11" t="s">
        <v>118</v>
      </c>
      <c r="M58" s="71"/>
      <c r="N58" s="28" t="str">
        <f>M58/C7*100000</f>
        <v>#DIV/0!</v>
      </c>
      <c r="O58" s="71"/>
      <c r="P58" s="28" t="str">
        <f>O58/D7*100000</f>
        <v>#DIV/0!</v>
      </c>
      <c r="Q58" s="71"/>
      <c r="R58" s="28" t="str">
        <f>Q58/E7*100000</f>
        <v>#DIV/0!</v>
      </c>
      <c r="S58" s="61"/>
      <c r="T58" s="28" t="str">
        <f>S58/F7*100000</f>
        <v>#DIV/0!</v>
      </c>
      <c r="U58" s="61"/>
      <c r="V58" s="28" t="str">
        <f>U58/G7*100000</f>
        <v>#DIV/0!</v>
      </c>
      <c r="W58" s="61"/>
      <c r="X58" s="28" t="str">
        <f>W58/H7*100000</f>
        <v>#DIV/0!</v>
      </c>
      <c r="Y58" s="13">
        <f t="shared" ref="Y58:Z58" si="65">((M58+O58+Q58+S58)/4)</f>
        <v>0</v>
      </c>
      <c r="Z58" s="13" t="str">
        <f t="shared" si="65"/>
        <v>#DIV/0!</v>
      </c>
      <c r="AA58" s="13">
        <f t="shared" si="3"/>
        <v>0</v>
      </c>
      <c r="AB58" s="13" t="str">
        <f t="shared" si="4"/>
        <v>#DIV/0!</v>
      </c>
      <c r="AC58" s="37" t="s">
        <v>22</v>
      </c>
    </row>
    <row r="59" ht="14.25" customHeight="1">
      <c r="A59" s="5"/>
      <c r="B59" s="75"/>
      <c r="C59" s="5"/>
      <c r="D59" s="5"/>
      <c r="E59" s="5"/>
      <c r="F59" s="5"/>
      <c r="G59" s="5"/>
      <c r="H59" s="5"/>
      <c r="I59" s="5"/>
      <c r="J59" s="5"/>
      <c r="K59" s="5"/>
      <c r="L59" s="38" t="s">
        <v>119</v>
      </c>
      <c r="M59" s="71"/>
      <c r="N59" s="28" t="str">
        <f>M59/C7*100000</f>
        <v>#DIV/0!</v>
      </c>
      <c r="O59" s="71"/>
      <c r="P59" s="28" t="str">
        <f>O59/D7*100000</f>
        <v>#DIV/0!</v>
      </c>
      <c r="Q59" s="71"/>
      <c r="R59" s="28" t="str">
        <f>Q59/E7*100000</f>
        <v>#DIV/0!</v>
      </c>
      <c r="S59" s="76"/>
      <c r="T59" s="39" t="str">
        <f>S59/F7*100000</f>
        <v>#DIV/0!</v>
      </c>
      <c r="U59" s="76"/>
      <c r="V59" s="39" t="str">
        <f>U59/G7*100000</f>
        <v>#DIV/0!</v>
      </c>
      <c r="W59" s="76"/>
      <c r="X59" s="39" t="str">
        <f>W59/H7*100000</f>
        <v>#DIV/0!</v>
      </c>
      <c r="Y59" s="40">
        <f t="shared" ref="Y59:Z59" si="66">((M59+O59+Q59+S59)/4)</f>
        <v>0</v>
      </c>
      <c r="Z59" s="40" t="str">
        <f t="shared" si="66"/>
        <v>#DIV/0!</v>
      </c>
      <c r="AA59" s="13">
        <f t="shared" si="3"/>
        <v>0</v>
      </c>
      <c r="AB59" s="13" t="str">
        <f t="shared" si="4"/>
        <v>#DIV/0!</v>
      </c>
      <c r="AC59" s="41" t="s">
        <v>22</v>
      </c>
    </row>
    <row r="60" ht="16.5" customHeight="1">
      <c r="A60" s="5"/>
      <c r="B60" s="75"/>
      <c r="C60" s="5"/>
      <c r="D60" s="5"/>
      <c r="E60" s="5"/>
      <c r="F60" s="5"/>
      <c r="G60" s="5"/>
      <c r="H60" s="5"/>
      <c r="I60" s="5"/>
      <c r="J60" s="5"/>
      <c r="K60" s="5"/>
      <c r="L60" s="11" t="s">
        <v>120</v>
      </c>
      <c r="M60" s="71"/>
      <c r="N60" s="28" t="str">
        <f>M60/C17*100000</f>
        <v>#DIV/0!</v>
      </c>
      <c r="O60" s="71"/>
      <c r="P60" s="28" t="str">
        <f>O60/D17*100000</f>
        <v>#DIV/0!</v>
      </c>
      <c r="Q60" s="71"/>
      <c r="R60" s="28" t="str">
        <f>Q60/E17*100000</f>
        <v>#DIV/0!</v>
      </c>
      <c r="S60" s="61"/>
      <c r="T60" s="28" t="str">
        <f>S60/F17*100000</f>
        <v>#DIV/0!</v>
      </c>
      <c r="U60" s="61"/>
      <c r="V60" s="28" t="str">
        <f>U60/G17*100000</f>
        <v>#DIV/0!</v>
      </c>
      <c r="W60" s="61"/>
      <c r="X60" s="28" t="str">
        <f>W60/H17*100000</f>
        <v>#DIV/0!</v>
      </c>
      <c r="Y60" s="40">
        <f>((M60+O60+Q60+S60)/4)</f>
        <v>0</v>
      </c>
      <c r="Z60" s="40" t="str">
        <f>((N60+P60+R60+T60)/1)</f>
        <v>#DIV/0!</v>
      </c>
      <c r="AA60" s="13">
        <f t="shared" si="3"/>
        <v>0</v>
      </c>
      <c r="AB60" s="13" t="str">
        <f t="shared" si="4"/>
        <v>#DIV/0!</v>
      </c>
      <c r="AC60" s="37" t="s">
        <v>48</v>
      </c>
    </row>
    <row r="61" ht="14.25" customHeight="1">
      <c r="A61" s="5"/>
      <c r="B61" s="75"/>
      <c r="C61" s="5"/>
      <c r="D61" s="5"/>
      <c r="E61" s="5"/>
      <c r="F61" s="5"/>
      <c r="G61" s="5"/>
      <c r="H61" s="5"/>
      <c r="I61" s="5"/>
      <c r="J61" s="5"/>
      <c r="K61" s="5"/>
      <c r="L61" s="11" t="s">
        <v>121</v>
      </c>
      <c r="M61" s="71"/>
      <c r="N61" s="28" t="str">
        <f>M61/C15*1000</f>
        <v>#DIV/0!</v>
      </c>
      <c r="O61" s="71"/>
      <c r="P61" s="28" t="str">
        <f>O61/D15*1000</f>
        <v>#DIV/0!</v>
      </c>
      <c r="Q61" s="71"/>
      <c r="R61" s="28" t="str">
        <f>Q61/E15*1000</f>
        <v>#DIV/0!</v>
      </c>
      <c r="S61" s="61"/>
      <c r="T61" s="28" t="str">
        <f>S61/F15*1000</f>
        <v>#DIV/0!</v>
      </c>
      <c r="U61" s="61"/>
      <c r="V61" s="28" t="str">
        <f>U61/G15*1000</f>
        <v>#DIV/0!</v>
      </c>
      <c r="W61" s="61"/>
      <c r="X61" s="28" t="str">
        <f>W61/H23*1000</f>
        <v>#DIV/0!</v>
      </c>
      <c r="Y61" s="40">
        <f t="shared" ref="Y61:Z61" si="67">((M61+O61+Q61+S61)/1)</f>
        <v>0</v>
      </c>
      <c r="Z61" s="40" t="str">
        <f t="shared" si="67"/>
        <v>#DIV/0!</v>
      </c>
      <c r="AA61" s="13">
        <f t="shared" si="3"/>
        <v>0</v>
      </c>
      <c r="AB61" s="13" t="str">
        <f t="shared" si="4"/>
        <v>#DIV/0!</v>
      </c>
      <c r="AC61" s="37" t="s">
        <v>48</v>
      </c>
    </row>
    <row r="62" ht="15.75" customHeight="1">
      <c r="A62" s="5"/>
      <c r="B62" s="75"/>
      <c r="C62" s="5"/>
      <c r="D62" s="5"/>
      <c r="E62" s="5"/>
      <c r="F62" s="5"/>
      <c r="G62" s="5"/>
      <c r="H62" s="5"/>
      <c r="I62" s="5"/>
      <c r="J62" s="5"/>
      <c r="K62" s="5"/>
      <c r="L62" s="11" t="s">
        <v>122</v>
      </c>
      <c r="M62" s="71"/>
      <c r="N62" s="28" t="str">
        <f>M62/C15*1000</f>
        <v>#DIV/0!</v>
      </c>
      <c r="O62" s="71"/>
      <c r="P62" s="28" t="str">
        <f>O62/D15*1000</f>
        <v>#DIV/0!</v>
      </c>
      <c r="Q62" s="71"/>
      <c r="R62" s="28" t="str">
        <f>Q62/E15*1000</f>
        <v>#DIV/0!</v>
      </c>
      <c r="S62" s="61"/>
      <c r="T62" s="28" t="str">
        <f>S62/F15*1000</f>
        <v>#DIV/0!</v>
      </c>
      <c r="U62" s="61"/>
      <c r="V62" s="28" t="str">
        <f>U62/G15*1000</f>
        <v>#DIV/0!</v>
      </c>
      <c r="W62" s="61"/>
      <c r="X62" s="28" t="str">
        <f>W62/H15*1000</f>
        <v>#DIV/0!</v>
      </c>
      <c r="Y62" s="40">
        <f t="shared" ref="Y62:Z62" si="68">((M62+O62+Q62+S62)/1)</f>
        <v>0</v>
      </c>
      <c r="Z62" s="40" t="str">
        <f t="shared" si="68"/>
        <v>#DIV/0!</v>
      </c>
      <c r="AA62" s="13">
        <f t="shared" si="3"/>
        <v>0</v>
      </c>
      <c r="AB62" s="13" t="str">
        <f t="shared" si="4"/>
        <v>#DIV/0!</v>
      </c>
      <c r="AC62" s="37" t="s">
        <v>48</v>
      </c>
    </row>
    <row r="63" ht="18.75" customHeight="1">
      <c r="A63" s="5"/>
      <c r="B63" s="75"/>
      <c r="C63" s="5"/>
      <c r="D63" s="5"/>
      <c r="E63" s="5"/>
      <c r="F63" s="5"/>
      <c r="G63" s="5"/>
      <c r="H63" s="5"/>
      <c r="I63" s="5"/>
      <c r="J63" s="5"/>
      <c r="K63" s="5"/>
      <c r="L63" s="11" t="s">
        <v>123</v>
      </c>
      <c r="M63" s="71"/>
      <c r="N63" s="28" t="str">
        <f>M63/C17*100000</f>
        <v>#DIV/0!</v>
      </c>
      <c r="O63" s="71"/>
      <c r="P63" s="28" t="str">
        <f>O63/D17*100000</f>
        <v>#DIV/0!</v>
      </c>
      <c r="Q63" s="71"/>
      <c r="R63" s="28" t="str">
        <f>Q63/E17*100000</f>
        <v>#DIV/0!</v>
      </c>
      <c r="S63" s="61"/>
      <c r="T63" s="28" t="str">
        <f>S63/F17*100000</f>
        <v>#DIV/0!</v>
      </c>
      <c r="U63" s="61"/>
      <c r="V63" s="28" t="str">
        <f>U63/G17*100000</f>
        <v>#DIV/0!</v>
      </c>
      <c r="W63" s="61"/>
      <c r="X63" s="28" t="str">
        <f>W63/H17*100000</f>
        <v>#DIV/0!</v>
      </c>
      <c r="Y63" s="40">
        <f t="shared" ref="Y63:Z63" si="69">((M63+O63+Q63+S63)/1)</f>
        <v>0</v>
      </c>
      <c r="Z63" s="40" t="str">
        <f t="shared" si="69"/>
        <v>#DIV/0!</v>
      </c>
      <c r="AA63" s="13">
        <f t="shared" si="3"/>
        <v>0</v>
      </c>
      <c r="AB63" s="13" t="str">
        <f t="shared" si="4"/>
        <v>#DIV/0!</v>
      </c>
      <c r="AC63" s="37" t="s">
        <v>48</v>
      </c>
    </row>
    <row r="64" ht="14.25" customHeight="1">
      <c r="A64" s="5"/>
      <c r="C64" s="5"/>
      <c r="D64" s="5"/>
      <c r="E64" s="5"/>
      <c r="F64" s="5"/>
      <c r="G64" s="5"/>
      <c r="H64" s="5"/>
      <c r="I64" s="5"/>
      <c r="J64" s="5"/>
      <c r="K64" s="5"/>
      <c r="L64" s="11" t="s">
        <v>124</v>
      </c>
      <c r="M64" s="71"/>
      <c r="N64" s="28" t="str">
        <f>M64/C17*100000</f>
        <v>#DIV/0!</v>
      </c>
      <c r="O64" s="71"/>
      <c r="P64" s="28" t="str">
        <f>O64/D17*100000</f>
        <v>#DIV/0!</v>
      </c>
      <c r="Q64" s="71"/>
      <c r="R64" s="28" t="str">
        <f>Q64/E17*100000</f>
        <v>#DIV/0!</v>
      </c>
      <c r="S64" s="61"/>
      <c r="T64" s="28" t="str">
        <f>S64/F17*100000</f>
        <v>#DIV/0!</v>
      </c>
      <c r="U64" s="28"/>
      <c r="V64" s="28" t="str">
        <f>U64/G17*100000</f>
        <v>#DIV/0!</v>
      </c>
      <c r="W64" s="61"/>
      <c r="X64" s="28" t="str">
        <f>W64/H17*100000</f>
        <v>#DIV/0!</v>
      </c>
      <c r="Y64" s="40">
        <f t="shared" ref="Y64:Z64" si="70">((M64+O64+Q64+S64)/1)</f>
        <v>0</v>
      </c>
      <c r="Z64" s="40" t="str">
        <f t="shared" si="70"/>
        <v>#DIV/0!</v>
      </c>
      <c r="AA64" s="13">
        <f t="shared" si="3"/>
        <v>0</v>
      </c>
      <c r="AB64" s="13" t="str">
        <f t="shared" si="4"/>
        <v>#DIV/0!</v>
      </c>
      <c r="AC64" s="37" t="s">
        <v>125</v>
      </c>
    </row>
    <row r="65" ht="14.25" customHeight="1">
      <c r="A65" s="5"/>
      <c r="C65" s="5"/>
      <c r="D65" s="5"/>
      <c r="E65" s="5"/>
      <c r="F65" s="5"/>
      <c r="G65" s="5"/>
      <c r="H65" s="5"/>
      <c r="I65" s="5"/>
      <c r="J65" s="5"/>
      <c r="K65" s="5"/>
      <c r="L65" s="42" t="s">
        <v>126</v>
      </c>
      <c r="M65" s="71"/>
      <c r="N65" s="28" t="str">
        <f>M65/C17*100000</f>
        <v>#DIV/0!</v>
      </c>
      <c r="O65" s="71"/>
      <c r="P65" s="28" t="str">
        <f>O65/D17*100000</f>
        <v>#DIV/0!</v>
      </c>
      <c r="Q65" s="71"/>
      <c r="R65" s="28" t="str">
        <f>Q65/E17*100000</f>
        <v>#DIV/0!</v>
      </c>
      <c r="S65" s="71"/>
      <c r="T65" s="28" t="str">
        <f>S65/F17*100000</f>
        <v>#DIV/0!</v>
      </c>
      <c r="U65" s="71"/>
      <c r="V65" s="28" t="str">
        <f>U65/G17*100000</f>
        <v>#DIV/0!</v>
      </c>
      <c r="W65" s="61"/>
      <c r="X65" s="28" t="str">
        <f>W65/H17*100000</f>
        <v>#DIV/0!</v>
      </c>
      <c r="Y65" s="40">
        <f t="shared" ref="Y65:Z65" si="71">((M65+O65+Q65+S65)/1)</f>
        <v>0</v>
      </c>
      <c r="Z65" s="40" t="str">
        <f t="shared" si="71"/>
        <v>#DIV/0!</v>
      </c>
      <c r="AA65" s="13">
        <f t="shared" si="3"/>
        <v>0</v>
      </c>
      <c r="AB65" s="13" t="str">
        <f t="shared" si="4"/>
        <v>#DIV/0!</v>
      </c>
      <c r="AC65" s="37" t="s">
        <v>48</v>
      </c>
    </row>
    <row r="66" ht="14.25" customHeight="1">
      <c r="A66" s="5"/>
      <c r="C66" s="5"/>
      <c r="D66" s="5"/>
      <c r="E66" s="5"/>
      <c r="F66" s="5"/>
      <c r="G66" s="5"/>
      <c r="H66" s="5"/>
      <c r="I66" s="5"/>
      <c r="J66" s="5"/>
      <c r="K66" s="5"/>
      <c r="L66" s="42" t="s">
        <v>127</v>
      </c>
      <c r="M66" s="71"/>
      <c r="N66" s="28" t="str">
        <f>M66/C17*100000</f>
        <v>#DIV/0!</v>
      </c>
      <c r="O66" s="71"/>
      <c r="P66" s="28" t="str">
        <f>O66/D17*100000</f>
        <v>#DIV/0!</v>
      </c>
      <c r="Q66" s="71"/>
      <c r="R66" s="28" t="str">
        <f>Q66/E17*100000</f>
        <v>#DIV/0!</v>
      </c>
      <c r="S66" s="71"/>
      <c r="T66" s="28" t="str">
        <f>S66/F17*100000</f>
        <v>#DIV/0!</v>
      </c>
      <c r="U66" s="71"/>
      <c r="V66" s="28" t="str">
        <f>U66/G17*100000</f>
        <v>#DIV/0!</v>
      </c>
      <c r="W66" s="61"/>
      <c r="X66" s="28" t="str">
        <f>W66/H17*100000</f>
        <v>#DIV/0!</v>
      </c>
      <c r="Y66" s="40">
        <f t="shared" ref="Y66:Z66" si="72">((M66+O66+Q66+S66)/1)</f>
        <v>0</v>
      </c>
      <c r="Z66" s="40" t="str">
        <f t="shared" si="72"/>
        <v>#DIV/0!</v>
      </c>
      <c r="AA66" s="13">
        <f t="shared" si="3"/>
        <v>0</v>
      </c>
      <c r="AB66" s="13" t="str">
        <f t="shared" si="4"/>
        <v>#DIV/0!</v>
      </c>
      <c r="AC66" s="37" t="s">
        <v>48</v>
      </c>
    </row>
    <row r="67" ht="14.25" customHeight="1">
      <c r="A67" s="5"/>
      <c r="C67" s="5"/>
      <c r="D67" s="5"/>
      <c r="E67" s="5"/>
      <c r="F67" s="5"/>
      <c r="G67" s="5"/>
      <c r="H67" s="5"/>
      <c r="I67" s="5"/>
      <c r="J67" s="5"/>
      <c r="K67" s="5"/>
      <c r="L67" s="11" t="s">
        <v>128</v>
      </c>
      <c r="M67" s="71"/>
      <c r="N67" s="28" t="str">
        <f>M67/C17*100000</f>
        <v>#DIV/0!</v>
      </c>
      <c r="O67" s="71"/>
      <c r="P67" s="28" t="str">
        <f>O67/D17*100000</f>
        <v>#DIV/0!</v>
      </c>
      <c r="Q67" s="71"/>
      <c r="R67" s="28" t="str">
        <f>Q67/E17*100000</f>
        <v>#DIV/0!</v>
      </c>
      <c r="S67" s="71"/>
      <c r="T67" s="28" t="str">
        <f>S67/F17*100000</f>
        <v>#DIV/0!</v>
      </c>
      <c r="U67" s="71"/>
      <c r="V67" s="28" t="str">
        <f>U67/G17*100000</f>
        <v>#DIV/0!</v>
      </c>
      <c r="W67" s="61"/>
      <c r="X67" s="28" t="str">
        <f>W67/H17*100000</f>
        <v>#DIV/0!</v>
      </c>
      <c r="Y67" s="40">
        <f t="shared" ref="Y67:Z67" si="73">((M67+O67+Q67+S67)/1)</f>
        <v>0</v>
      </c>
      <c r="Z67" s="40" t="str">
        <f t="shared" si="73"/>
        <v>#DIV/0!</v>
      </c>
      <c r="AA67" s="13">
        <f t="shared" si="3"/>
        <v>0</v>
      </c>
      <c r="AB67" s="13" t="str">
        <f t="shared" si="4"/>
        <v>#DIV/0!</v>
      </c>
      <c r="AC67" s="37" t="s">
        <v>48</v>
      </c>
    </row>
    <row r="68" ht="14.25" customHeight="1">
      <c r="A68" s="5"/>
      <c r="C68" s="5"/>
      <c r="D68" s="5"/>
      <c r="E68" s="5"/>
      <c r="F68" s="5"/>
      <c r="G68" s="5"/>
      <c r="H68" s="5"/>
      <c r="I68" s="5"/>
      <c r="J68" s="5"/>
      <c r="K68" s="5"/>
      <c r="L68" s="11" t="s">
        <v>129</v>
      </c>
      <c r="M68" s="71"/>
      <c r="N68" s="28" t="str">
        <f>M68/C11*100000</f>
        <v>#DIV/0!</v>
      </c>
      <c r="O68" s="71"/>
      <c r="P68" s="28" t="str">
        <f>O68/D11*100000</f>
        <v>#DIV/0!</v>
      </c>
      <c r="Q68" s="71"/>
      <c r="R68" s="28" t="str">
        <f>Q68/E11*100000</f>
        <v>#DIV/0!</v>
      </c>
      <c r="S68" s="71"/>
      <c r="T68" s="28" t="str">
        <f>S68/F11*100000</f>
        <v>#DIV/0!</v>
      </c>
      <c r="U68" s="71"/>
      <c r="V68" s="28" t="str">
        <f>U68/G11*100000</f>
        <v>#DIV/0!</v>
      </c>
      <c r="W68" s="61"/>
      <c r="X68" s="28" t="str">
        <f>W68/H11*100000</f>
        <v>#DIV/0!</v>
      </c>
      <c r="Y68" s="40">
        <f t="shared" ref="Y68:Z68" si="74">((M68+O68+Q68+S68)/2)</f>
        <v>0</v>
      </c>
      <c r="Z68" s="40" t="str">
        <f t="shared" si="74"/>
        <v>#DIV/0!</v>
      </c>
      <c r="AA68" s="13">
        <f t="shared" si="3"/>
        <v>0</v>
      </c>
      <c r="AB68" s="13" t="str">
        <f t="shared" si="4"/>
        <v>#DIV/0!</v>
      </c>
      <c r="AC68" s="37" t="s">
        <v>48</v>
      </c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1" t="s">
        <v>130</v>
      </c>
      <c r="M69" s="71"/>
      <c r="N69" s="28" t="str">
        <f>M69/C11*100000</f>
        <v>#DIV/0!</v>
      </c>
      <c r="O69" s="71"/>
      <c r="P69" s="28" t="str">
        <f>O69/D11*100000</f>
        <v>#DIV/0!</v>
      </c>
      <c r="Q69" s="71"/>
      <c r="R69" s="28" t="str">
        <f>Q69/E11*100000</f>
        <v>#DIV/0!</v>
      </c>
      <c r="S69" s="71"/>
      <c r="T69" s="28" t="str">
        <f>S69/F11*100000</f>
        <v>#DIV/0!</v>
      </c>
      <c r="U69" s="71"/>
      <c r="V69" s="28" t="str">
        <f>U69/G11*100000</f>
        <v>#DIV/0!</v>
      </c>
      <c r="W69" s="61"/>
      <c r="X69" s="28" t="str">
        <f>W69/H11*100000</f>
        <v>#DIV/0!</v>
      </c>
      <c r="Y69" s="13">
        <f t="shared" ref="Y69:Z69" si="75">((M69+O69+Q69+S69)/2)</f>
        <v>0</v>
      </c>
      <c r="Z69" s="13" t="str">
        <f t="shared" si="75"/>
        <v>#DIV/0!</v>
      </c>
      <c r="AA69" s="13">
        <f t="shared" si="3"/>
        <v>0</v>
      </c>
      <c r="AB69" s="13" t="str">
        <f t="shared" si="4"/>
        <v>#DIV/0!</v>
      </c>
      <c r="AC69" s="37" t="s">
        <v>48</v>
      </c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38" t="s">
        <v>131</v>
      </c>
      <c r="M70" s="77"/>
      <c r="N70" s="39" t="str">
        <f>M70/C7*100000</f>
        <v>#DIV/0!</v>
      </c>
      <c r="O70" s="77"/>
      <c r="P70" s="39" t="str">
        <f>O70/D7*100000</f>
        <v>#DIV/0!</v>
      </c>
      <c r="Q70" s="77"/>
      <c r="R70" s="39" t="str">
        <f>Q70/E7*100000</f>
        <v>#DIV/0!</v>
      </c>
      <c r="S70" s="77"/>
      <c r="T70" s="39" t="str">
        <f>S70/F7*100000</f>
        <v>#DIV/0!</v>
      </c>
      <c r="U70" s="77"/>
      <c r="V70" s="39" t="str">
        <f>U70/G7*100000</f>
        <v>#DIV/0!</v>
      </c>
      <c r="W70" s="76"/>
      <c r="X70" s="39" t="str">
        <f>W70/H7*100000</f>
        <v>#DIV/0!</v>
      </c>
      <c r="Y70" s="40">
        <f t="shared" ref="Y70:Z70" si="76">((M70+O70+Q70+S70)/1)</f>
        <v>0</v>
      </c>
      <c r="Z70" s="40" t="str">
        <f t="shared" si="76"/>
        <v>#DIV/0!</v>
      </c>
      <c r="AA70" s="40">
        <f t="shared" si="3"/>
        <v>0</v>
      </c>
      <c r="AB70" s="40" t="str">
        <f t="shared" si="4"/>
        <v>#DIV/0!</v>
      </c>
      <c r="AC70" s="43" t="s">
        <v>22</v>
      </c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69"/>
      <c r="S71" s="69"/>
      <c r="T71" s="69"/>
      <c r="U71" s="69"/>
      <c r="V71" s="69"/>
      <c r="W71" s="69"/>
      <c r="X71" s="69"/>
      <c r="Y71" s="5"/>
      <c r="Z71" s="5"/>
      <c r="AA71" s="5"/>
      <c r="AB71" s="5"/>
      <c r="AC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69"/>
      <c r="S72" s="69"/>
      <c r="T72" s="69"/>
      <c r="U72" s="69"/>
      <c r="V72" s="69"/>
      <c r="W72" s="69"/>
      <c r="X72" s="69"/>
      <c r="Y72" s="5"/>
      <c r="Z72" s="5"/>
      <c r="AA72" s="5"/>
      <c r="AB72" s="5"/>
      <c r="AC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69"/>
      <c r="S73" s="69"/>
      <c r="T73" s="69"/>
      <c r="U73" s="69"/>
      <c r="V73" s="69"/>
      <c r="W73" s="69"/>
      <c r="X73" s="69"/>
      <c r="Y73" s="5"/>
      <c r="Z73" s="5"/>
      <c r="AA73" s="5"/>
      <c r="AB73" s="5"/>
      <c r="AC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69"/>
      <c r="S74" s="69"/>
      <c r="T74" s="69"/>
      <c r="U74" s="69"/>
      <c r="V74" s="69"/>
      <c r="W74" s="69"/>
      <c r="X74" s="69"/>
      <c r="Y74" s="5"/>
      <c r="Z74" s="5"/>
      <c r="AA74" s="5"/>
      <c r="AB74" s="5"/>
      <c r="AC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69"/>
      <c r="S75" s="69"/>
      <c r="T75" s="69"/>
      <c r="U75" s="69"/>
      <c r="V75" s="69"/>
      <c r="W75" s="69"/>
      <c r="X75" s="69"/>
      <c r="Y75" s="5"/>
      <c r="Z75" s="5"/>
      <c r="AA75" s="5"/>
      <c r="AB75" s="5"/>
      <c r="AC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69"/>
      <c r="S76" s="69"/>
      <c r="T76" s="69"/>
      <c r="U76" s="69"/>
      <c r="V76" s="69"/>
      <c r="W76" s="69"/>
      <c r="X76" s="69"/>
      <c r="Y76" s="5"/>
      <c r="Z76" s="5"/>
      <c r="AA76" s="5"/>
      <c r="AB76" s="5"/>
      <c r="AC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69"/>
      <c r="S77" s="69"/>
      <c r="T77" s="69"/>
      <c r="U77" s="69"/>
      <c r="V77" s="69"/>
      <c r="W77" s="69"/>
      <c r="X77" s="69"/>
      <c r="Y77" s="5"/>
      <c r="Z77" s="5"/>
      <c r="AA77" s="5"/>
      <c r="AB77" s="5"/>
      <c r="AC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69"/>
      <c r="S78" s="69"/>
      <c r="T78" s="69"/>
      <c r="U78" s="69"/>
      <c r="V78" s="69"/>
      <c r="W78" s="69"/>
      <c r="X78" s="69"/>
      <c r="Y78" s="5"/>
      <c r="Z78" s="5"/>
      <c r="AA78" s="5"/>
      <c r="AB78" s="5"/>
      <c r="AC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9"/>
      <c r="S79" s="69"/>
      <c r="T79" s="69"/>
      <c r="U79" s="69"/>
      <c r="V79" s="69"/>
      <c r="W79" s="69"/>
      <c r="X79" s="69"/>
      <c r="Y79" s="5"/>
      <c r="Z79" s="5"/>
      <c r="AA79" s="5"/>
      <c r="AB79" s="5"/>
      <c r="AC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69"/>
      <c r="S80" s="69"/>
      <c r="T80" s="69"/>
      <c r="U80" s="69"/>
      <c r="V80" s="69"/>
      <c r="W80" s="69"/>
      <c r="X80" s="69"/>
      <c r="Y80" s="5"/>
      <c r="Z80" s="5"/>
      <c r="AA80" s="5"/>
      <c r="AB80" s="5"/>
      <c r="AC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69"/>
      <c r="S81" s="69"/>
      <c r="T81" s="69"/>
      <c r="U81" s="69"/>
      <c r="V81" s="69"/>
      <c r="W81" s="69"/>
      <c r="X81" s="69"/>
      <c r="Y81" s="5"/>
      <c r="Z81" s="5"/>
      <c r="AA81" s="5"/>
      <c r="AB81" s="5"/>
      <c r="AC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69"/>
      <c r="S82" s="69"/>
      <c r="T82" s="69"/>
      <c r="U82" s="69"/>
      <c r="V82" s="69"/>
      <c r="W82" s="69"/>
      <c r="X82" s="69"/>
      <c r="Y82" s="5"/>
      <c r="Z82" s="5"/>
      <c r="AA82" s="5"/>
      <c r="AB82" s="5"/>
      <c r="AC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69"/>
      <c r="S83" s="69"/>
      <c r="T83" s="69"/>
      <c r="U83" s="69"/>
      <c r="V83" s="69"/>
      <c r="W83" s="69"/>
      <c r="X83" s="69"/>
      <c r="Y83" s="5"/>
      <c r="Z83" s="5"/>
      <c r="AA83" s="5"/>
      <c r="AB83" s="5"/>
      <c r="AC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69"/>
      <c r="S84" s="69"/>
      <c r="T84" s="69"/>
      <c r="U84" s="69"/>
      <c r="V84" s="69"/>
      <c r="W84" s="69"/>
      <c r="X84" s="69"/>
      <c r="Y84" s="5"/>
      <c r="Z84" s="5"/>
      <c r="AA84" s="5"/>
      <c r="AB84" s="5"/>
      <c r="AC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69"/>
      <c r="S85" s="69"/>
      <c r="T85" s="69"/>
      <c r="U85" s="69"/>
      <c r="V85" s="69"/>
      <c r="W85" s="69"/>
      <c r="X85" s="69"/>
      <c r="Y85" s="5"/>
      <c r="Z85" s="5"/>
      <c r="AA85" s="5"/>
      <c r="AB85" s="5"/>
      <c r="AC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69"/>
      <c r="S86" s="69"/>
      <c r="T86" s="69"/>
      <c r="U86" s="69"/>
      <c r="V86" s="69"/>
      <c r="W86" s="69"/>
      <c r="X86" s="69"/>
      <c r="Y86" s="5"/>
      <c r="Z86" s="5"/>
      <c r="AA86" s="5"/>
      <c r="AB86" s="5"/>
      <c r="AC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69"/>
      <c r="S87" s="69"/>
      <c r="T87" s="69"/>
      <c r="U87" s="69"/>
      <c r="V87" s="69"/>
      <c r="W87" s="69"/>
      <c r="X87" s="69"/>
      <c r="Y87" s="5"/>
      <c r="Z87" s="5"/>
      <c r="AA87" s="5"/>
      <c r="AB87" s="5"/>
      <c r="AC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69"/>
      <c r="S88" s="69"/>
      <c r="T88" s="69"/>
      <c r="U88" s="69"/>
      <c r="V88" s="69"/>
      <c r="W88" s="69"/>
      <c r="X88" s="69"/>
      <c r="Y88" s="5"/>
      <c r="Z88" s="5"/>
      <c r="AA88" s="5"/>
      <c r="AB88" s="5"/>
      <c r="AC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69"/>
      <c r="S89" s="69"/>
      <c r="T89" s="69"/>
      <c r="U89" s="69"/>
      <c r="V89" s="69"/>
      <c r="W89" s="69"/>
      <c r="X89" s="69"/>
      <c r="Y89" s="5"/>
      <c r="Z89" s="5"/>
      <c r="AA89" s="5"/>
      <c r="AB89" s="5"/>
      <c r="AC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69"/>
      <c r="S90" s="69"/>
      <c r="T90" s="69"/>
      <c r="U90" s="69"/>
      <c r="V90" s="69"/>
      <c r="W90" s="69"/>
      <c r="X90" s="69"/>
      <c r="Y90" s="5"/>
      <c r="Z90" s="5"/>
      <c r="AA90" s="5"/>
      <c r="AB90" s="5"/>
      <c r="AC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69"/>
      <c r="S91" s="69"/>
      <c r="T91" s="69"/>
      <c r="U91" s="69"/>
      <c r="V91" s="69"/>
      <c r="W91" s="69"/>
      <c r="X91" s="69"/>
      <c r="Y91" s="5"/>
      <c r="Z91" s="5"/>
      <c r="AA91" s="5"/>
      <c r="AB91" s="5"/>
      <c r="AC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69"/>
      <c r="S92" s="69"/>
      <c r="T92" s="69"/>
      <c r="U92" s="69"/>
      <c r="V92" s="69"/>
      <c r="W92" s="69"/>
      <c r="X92" s="69"/>
      <c r="Y92" s="5"/>
      <c r="Z92" s="5"/>
      <c r="AA92" s="5"/>
      <c r="AB92" s="5"/>
      <c r="AC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69"/>
      <c r="S93" s="69"/>
      <c r="T93" s="69"/>
      <c r="U93" s="69"/>
      <c r="V93" s="69"/>
      <c r="W93" s="69"/>
      <c r="X93" s="69"/>
      <c r="Y93" s="5"/>
      <c r="Z93" s="5"/>
      <c r="AA93" s="5"/>
      <c r="AB93" s="5"/>
      <c r="AC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9"/>
      <c r="S94" s="69"/>
      <c r="T94" s="69"/>
      <c r="U94" s="69"/>
      <c r="V94" s="69"/>
      <c r="W94" s="69"/>
      <c r="X94" s="69"/>
      <c r="Y94" s="5"/>
      <c r="Z94" s="5"/>
      <c r="AA94" s="5"/>
      <c r="AB94" s="5"/>
      <c r="AC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9"/>
      <c r="S95" s="69"/>
      <c r="T95" s="69"/>
      <c r="U95" s="69"/>
      <c r="V95" s="69"/>
      <c r="W95" s="69"/>
      <c r="X95" s="69"/>
      <c r="Y95" s="5"/>
      <c r="Z95" s="5"/>
      <c r="AA95" s="5"/>
      <c r="AB95" s="5"/>
      <c r="AC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69"/>
      <c r="S96" s="69"/>
      <c r="T96" s="69"/>
      <c r="U96" s="69"/>
      <c r="V96" s="69"/>
      <c r="W96" s="69"/>
      <c r="X96" s="69"/>
      <c r="Y96" s="5"/>
      <c r="Z96" s="5"/>
      <c r="AA96" s="5"/>
      <c r="AB96" s="5"/>
      <c r="AC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69"/>
      <c r="S97" s="69"/>
      <c r="T97" s="69"/>
      <c r="U97" s="69"/>
      <c r="V97" s="69"/>
      <c r="W97" s="69"/>
      <c r="X97" s="69"/>
      <c r="Y97" s="5"/>
      <c r="Z97" s="5"/>
      <c r="AA97" s="5"/>
      <c r="AB97" s="5"/>
      <c r="AC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69"/>
      <c r="S98" s="69"/>
      <c r="T98" s="69"/>
      <c r="U98" s="69"/>
      <c r="V98" s="69"/>
      <c r="W98" s="69"/>
      <c r="X98" s="69"/>
      <c r="Y98" s="5"/>
      <c r="Z98" s="5"/>
      <c r="AA98" s="5"/>
      <c r="AB98" s="5"/>
      <c r="AC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69"/>
      <c r="S99" s="69"/>
      <c r="T99" s="69"/>
      <c r="U99" s="69"/>
      <c r="V99" s="69"/>
      <c r="W99" s="69"/>
      <c r="X99" s="69"/>
      <c r="Y99" s="5"/>
      <c r="Z99" s="5"/>
      <c r="AA99" s="5"/>
      <c r="AB99" s="5"/>
      <c r="AC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69"/>
      <c r="S100" s="69"/>
      <c r="T100" s="69"/>
      <c r="U100" s="69"/>
      <c r="V100" s="69"/>
      <c r="W100" s="69"/>
      <c r="X100" s="69"/>
      <c r="Y100" s="5"/>
      <c r="Z100" s="5"/>
      <c r="AA100" s="5"/>
      <c r="AB100" s="5"/>
      <c r="AC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69"/>
      <c r="S101" s="69"/>
      <c r="T101" s="69"/>
      <c r="U101" s="69"/>
      <c r="V101" s="69"/>
      <c r="W101" s="69"/>
      <c r="X101" s="69"/>
      <c r="Y101" s="5"/>
      <c r="Z101" s="5"/>
      <c r="AA101" s="5"/>
      <c r="AB101" s="5"/>
      <c r="AC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69"/>
      <c r="S102" s="69"/>
      <c r="T102" s="69"/>
      <c r="U102" s="69"/>
      <c r="V102" s="69"/>
      <c r="W102" s="69"/>
      <c r="X102" s="69"/>
      <c r="Y102" s="5"/>
      <c r="Z102" s="5"/>
      <c r="AA102" s="5"/>
      <c r="AB102" s="5"/>
      <c r="AC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69"/>
      <c r="S103" s="69"/>
      <c r="T103" s="69"/>
      <c r="U103" s="69"/>
      <c r="V103" s="69"/>
      <c r="W103" s="69"/>
      <c r="X103" s="69"/>
      <c r="Y103" s="5"/>
      <c r="Z103" s="5"/>
      <c r="AA103" s="5"/>
      <c r="AB103" s="5"/>
      <c r="AC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69"/>
      <c r="S104" s="69"/>
      <c r="T104" s="69"/>
      <c r="U104" s="69"/>
      <c r="V104" s="69"/>
      <c r="W104" s="69"/>
      <c r="X104" s="69"/>
      <c r="Y104" s="5"/>
      <c r="Z104" s="5"/>
      <c r="AA104" s="5"/>
      <c r="AB104" s="5"/>
      <c r="AC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69"/>
      <c r="S105" s="69"/>
      <c r="T105" s="69"/>
      <c r="U105" s="69"/>
      <c r="V105" s="69"/>
      <c r="W105" s="69"/>
      <c r="X105" s="69"/>
      <c r="Y105" s="5"/>
      <c r="Z105" s="5"/>
      <c r="AA105" s="5"/>
      <c r="AB105" s="5"/>
      <c r="AC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69"/>
      <c r="S106" s="69"/>
      <c r="T106" s="69"/>
      <c r="U106" s="69"/>
      <c r="V106" s="69"/>
      <c r="W106" s="69"/>
      <c r="X106" s="69"/>
      <c r="Y106" s="5"/>
      <c r="Z106" s="5"/>
      <c r="AA106" s="5"/>
      <c r="AB106" s="5"/>
      <c r="AC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69"/>
      <c r="S107" s="69"/>
      <c r="T107" s="69"/>
      <c r="U107" s="69"/>
      <c r="V107" s="69"/>
      <c r="W107" s="69"/>
      <c r="X107" s="69"/>
      <c r="Y107" s="5"/>
      <c r="Z107" s="5"/>
      <c r="AA107" s="5"/>
      <c r="AB107" s="5"/>
      <c r="AC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69"/>
      <c r="S108" s="69"/>
      <c r="T108" s="69"/>
      <c r="U108" s="69"/>
      <c r="V108" s="69"/>
      <c r="W108" s="69"/>
      <c r="X108" s="69"/>
      <c r="Y108" s="5"/>
      <c r="Z108" s="5"/>
      <c r="AA108" s="5"/>
      <c r="AB108" s="5"/>
      <c r="AC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69"/>
      <c r="S109" s="69"/>
      <c r="T109" s="69"/>
      <c r="U109" s="69"/>
      <c r="V109" s="69"/>
      <c r="W109" s="69"/>
      <c r="X109" s="69"/>
      <c r="Y109" s="5"/>
      <c r="Z109" s="5"/>
      <c r="AA109" s="5"/>
      <c r="AB109" s="5"/>
      <c r="AC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69"/>
      <c r="S110" s="69"/>
      <c r="T110" s="69"/>
      <c r="U110" s="69"/>
      <c r="V110" s="69"/>
      <c r="W110" s="69"/>
      <c r="X110" s="69"/>
      <c r="Y110" s="5"/>
      <c r="Z110" s="5"/>
      <c r="AA110" s="5"/>
      <c r="AB110" s="5"/>
      <c r="AC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69"/>
      <c r="S111" s="69"/>
      <c r="T111" s="69"/>
      <c r="U111" s="69"/>
      <c r="V111" s="69"/>
      <c r="W111" s="69"/>
      <c r="X111" s="69"/>
      <c r="Y111" s="5"/>
      <c r="Z111" s="5"/>
      <c r="AA111" s="5"/>
      <c r="AB111" s="5"/>
      <c r="AC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9"/>
      <c r="S112" s="69"/>
      <c r="T112" s="69"/>
      <c r="U112" s="69"/>
      <c r="V112" s="69"/>
      <c r="W112" s="69"/>
      <c r="X112" s="69"/>
      <c r="Y112" s="5"/>
      <c r="Z112" s="5"/>
      <c r="AA112" s="5"/>
      <c r="AB112" s="5"/>
      <c r="AC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9"/>
      <c r="S113" s="69"/>
      <c r="T113" s="69"/>
      <c r="U113" s="69"/>
      <c r="V113" s="69"/>
      <c r="W113" s="69"/>
      <c r="X113" s="69"/>
      <c r="Y113" s="5"/>
      <c r="Z113" s="5"/>
      <c r="AA113" s="5"/>
      <c r="AB113" s="5"/>
      <c r="AC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69"/>
      <c r="S114" s="69"/>
      <c r="T114" s="69"/>
      <c r="U114" s="69"/>
      <c r="V114" s="69"/>
      <c r="W114" s="69"/>
      <c r="X114" s="69"/>
      <c r="Y114" s="5"/>
      <c r="Z114" s="5"/>
      <c r="AA114" s="5"/>
      <c r="AB114" s="5"/>
      <c r="AC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9"/>
      <c r="S115" s="69"/>
      <c r="T115" s="69"/>
      <c r="U115" s="69"/>
      <c r="V115" s="69"/>
      <c r="W115" s="69"/>
      <c r="X115" s="69"/>
      <c r="Y115" s="5"/>
      <c r="Z115" s="5"/>
      <c r="AA115" s="5"/>
      <c r="AB115" s="5"/>
      <c r="AC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69"/>
      <c r="S116" s="69"/>
      <c r="T116" s="69"/>
      <c r="U116" s="69"/>
      <c r="V116" s="69"/>
      <c r="W116" s="69"/>
      <c r="X116" s="69"/>
      <c r="Y116" s="5"/>
      <c r="Z116" s="5"/>
      <c r="AA116" s="5"/>
      <c r="AB116" s="5"/>
      <c r="AC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69"/>
      <c r="S117" s="69"/>
      <c r="T117" s="69"/>
      <c r="U117" s="69"/>
      <c r="V117" s="69"/>
      <c r="W117" s="69"/>
      <c r="X117" s="69"/>
      <c r="Y117" s="5"/>
      <c r="Z117" s="5"/>
      <c r="AA117" s="5"/>
      <c r="AB117" s="5"/>
      <c r="AC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69"/>
      <c r="S118" s="69"/>
      <c r="T118" s="69"/>
      <c r="U118" s="69"/>
      <c r="V118" s="69"/>
      <c r="W118" s="69"/>
      <c r="X118" s="69"/>
      <c r="Y118" s="5"/>
      <c r="Z118" s="5"/>
      <c r="AA118" s="5"/>
      <c r="AB118" s="5"/>
      <c r="AC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69"/>
      <c r="S119" s="69"/>
      <c r="T119" s="69"/>
      <c r="U119" s="69"/>
      <c r="V119" s="69"/>
      <c r="W119" s="69"/>
      <c r="X119" s="69"/>
      <c r="Y119" s="5"/>
      <c r="Z119" s="5"/>
      <c r="AA119" s="5"/>
      <c r="AB119" s="5"/>
      <c r="AC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9"/>
      <c r="S120" s="69"/>
      <c r="T120" s="69"/>
      <c r="U120" s="69"/>
      <c r="V120" s="69"/>
      <c r="W120" s="69"/>
      <c r="X120" s="69"/>
      <c r="Y120" s="5"/>
      <c r="Z120" s="5"/>
      <c r="AA120" s="5"/>
      <c r="AB120" s="5"/>
      <c r="AC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69"/>
      <c r="S121" s="69"/>
      <c r="T121" s="69"/>
      <c r="U121" s="69"/>
      <c r="V121" s="69"/>
      <c r="W121" s="69"/>
      <c r="X121" s="69"/>
      <c r="Y121" s="5"/>
      <c r="Z121" s="5"/>
      <c r="AA121" s="5"/>
      <c r="AB121" s="5"/>
      <c r="AC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69"/>
      <c r="S122" s="69"/>
      <c r="T122" s="69"/>
      <c r="U122" s="69"/>
      <c r="V122" s="69"/>
      <c r="W122" s="69"/>
      <c r="X122" s="69"/>
      <c r="Y122" s="5"/>
      <c r="Z122" s="5"/>
      <c r="AA122" s="5"/>
      <c r="AB122" s="5"/>
      <c r="AC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69"/>
      <c r="S123" s="69"/>
      <c r="T123" s="69"/>
      <c r="U123" s="69"/>
      <c r="V123" s="69"/>
      <c r="W123" s="69"/>
      <c r="X123" s="69"/>
      <c r="Y123" s="5"/>
      <c r="Z123" s="5"/>
      <c r="AA123" s="5"/>
      <c r="AB123" s="5"/>
      <c r="AC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69"/>
      <c r="S124" s="69"/>
      <c r="T124" s="69"/>
      <c r="U124" s="69"/>
      <c r="V124" s="69"/>
      <c r="W124" s="69"/>
      <c r="X124" s="69"/>
      <c r="Y124" s="5"/>
      <c r="Z124" s="5"/>
      <c r="AA124" s="5"/>
      <c r="AB124" s="5"/>
      <c r="AC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69"/>
      <c r="S125" s="69"/>
      <c r="T125" s="69"/>
      <c r="U125" s="69"/>
      <c r="V125" s="69"/>
      <c r="W125" s="69"/>
      <c r="X125" s="69"/>
      <c r="Y125" s="5"/>
      <c r="Z125" s="5"/>
      <c r="AA125" s="5"/>
      <c r="AB125" s="5"/>
      <c r="AC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69"/>
      <c r="S126" s="69"/>
      <c r="T126" s="69"/>
      <c r="U126" s="69"/>
      <c r="V126" s="69"/>
      <c r="W126" s="69"/>
      <c r="X126" s="69"/>
      <c r="Y126" s="5"/>
      <c r="Z126" s="5"/>
      <c r="AA126" s="5"/>
      <c r="AB126" s="5"/>
      <c r="AC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69"/>
      <c r="S127" s="69"/>
      <c r="T127" s="69"/>
      <c r="U127" s="69"/>
      <c r="V127" s="69"/>
      <c r="W127" s="69"/>
      <c r="X127" s="69"/>
      <c r="Y127" s="5"/>
      <c r="Z127" s="5"/>
      <c r="AA127" s="5"/>
      <c r="AB127" s="5"/>
      <c r="AC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69"/>
      <c r="S128" s="69"/>
      <c r="T128" s="69"/>
      <c r="U128" s="69"/>
      <c r="V128" s="69"/>
      <c r="W128" s="69"/>
      <c r="X128" s="69"/>
      <c r="Y128" s="5"/>
      <c r="Z128" s="5"/>
      <c r="AA128" s="5"/>
      <c r="AB128" s="5"/>
      <c r="AC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69"/>
      <c r="S129" s="69"/>
      <c r="T129" s="69"/>
      <c r="U129" s="69"/>
      <c r="V129" s="69"/>
      <c r="W129" s="69"/>
      <c r="X129" s="69"/>
      <c r="Y129" s="5"/>
      <c r="Z129" s="5"/>
      <c r="AA129" s="5"/>
      <c r="AB129" s="5"/>
      <c r="AC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69"/>
      <c r="S130" s="69"/>
      <c r="T130" s="69"/>
      <c r="U130" s="69"/>
      <c r="V130" s="69"/>
      <c r="W130" s="69"/>
      <c r="X130" s="69"/>
      <c r="Y130" s="5"/>
      <c r="Z130" s="5"/>
      <c r="AA130" s="5"/>
      <c r="AB130" s="5"/>
      <c r="AC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69"/>
      <c r="S131" s="69"/>
      <c r="T131" s="69"/>
      <c r="U131" s="69"/>
      <c r="V131" s="69"/>
      <c r="W131" s="69"/>
      <c r="X131" s="69"/>
      <c r="Y131" s="5"/>
      <c r="Z131" s="5"/>
      <c r="AA131" s="5"/>
      <c r="AB131" s="5"/>
      <c r="AC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69"/>
      <c r="S132" s="69"/>
      <c r="T132" s="69"/>
      <c r="U132" s="69"/>
      <c r="V132" s="69"/>
      <c r="W132" s="69"/>
      <c r="X132" s="69"/>
      <c r="Y132" s="5"/>
      <c r="Z132" s="5"/>
      <c r="AA132" s="5"/>
      <c r="AB132" s="5"/>
      <c r="AC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9"/>
      <c r="S133" s="69"/>
      <c r="T133" s="69"/>
      <c r="U133" s="69"/>
      <c r="V133" s="69"/>
      <c r="W133" s="69"/>
      <c r="X133" s="69"/>
      <c r="Y133" s="5"/>
      <c r="Z133" s="5"/>
      <c r="AA133" s="5"/>
      <c r="AB133" s="5"/>
      <c r="AC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69"/>
      <c r="S134" s="69"/>
      <c r="T134" s="69"/>
      <c r="U134" s="69"/>
      <c r="V134" s="69"/>
      <c r="W134" s="69"/>
      <c r="X134" s="69"/>
      <c r="Y134" s="5"/>
      <c r="Z134" s="5"/>
      <c r="AA134" s="5"/>
      <c r="AB134" s="5"/>
      <c r="AC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69"/>
      <c r="S135" s="69"/>
      <c r="T135" s="69"/>
      <c r="U135" s="69"/>
      <c r="V135" s="69"/>
      <c r="W135" s="69"/>
      <c r="X135" s="69"/>
      <c r="Y135" s="5"/>
      <c r="Z135" s="5"/>
      <c r="AA135" s="5"/>
      <c r="AB135" s="5"/>
      <c r="AC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69"/>
      <c r="S136" s="69"/>
      <c r="T136" s="69"/>
      <c r="U136" s="69"/>
      <c r="V136" s="69"/>
      <c r="W136" s="69"/>
      <c r="X136" s="69"/>
      <c r="Y136" s="5"/>
      <c r="Z136" s="5"/>
      <c r="AA136" s="5"/>
      <c r="AB136" s="5"/>
      <c r="AC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69"/>
      <c r="S137" s="69"/>
      <c r="T137" s="69"/>
      <c r="U137" s="69"/>
      <c r="V137" s="69"/>
      <c r="W137" s="69"/>
      <c r="X137" s="69"/>
      <c r="Y137" s="5"/>
      <c r="Z137" s="5"/>
      <c r="AA137" s="5"/>
      <c r="AB137" s="5"/>
      <c r="AC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69"/>
      <c r="S138" s="69"/>
      <c r="T138" s="69"/>
      <c r="U138" s="69"/>
      <c r="V138" s="69"/>
      <c r="W138" s="69"/>
      <c r="X138" s="69"/>
      <c r="Y138" s="5"/>
      <c r="Z138" s="5"/>
      <c r="AA138" s="5"/>
      <c r="AB138" s="5"/>
      <c r="AC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69"/>
      <c r="S139" s="69"/>
      <c r="T139" s="69"/>
      <c r="U139" s="69"/>
      <c r="V139" s="69"/>
      <c r="W139" s="69"/>
      <c r="X139" s="69"/>
      <c r="Y139" s="5"/>
      <c r="Z139" s="5"/>
      <c r="AA139" s="5"/>
      <c r="AB139" s="5"/>
      <c r="AC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69"/>
      <c r="S140" s="69"/>
      <c r="T140" s="69"/>
      <c r="U140" s="69"/>
      <c r="V140" s="69"/>
      <c r="W140" s="69"/>
      <c r="X140" s="69"/>
      <c r="Y140" s="5"/>
      <c r="Z140" s="5"/>
      <c r="AA140" s="5"/>
      <c r="AB140" s="5"/>
      <c r="AC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69"/>
      <c r="S141" s="69"/>
      <c r="T141" s="69"/>
      <c r="U141" s="69"/>
      <c r="V141" s="69"/>
      <c r="W141" s="69"/>
      <c r="X141" s="69"/>
      <c r="Y141" s="5"/>
      <c r="Z141" s="5"/>
      <c r="AA141" s="5"/>
      <c r="AB141" s="5"/>
      <c r="AC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69"/>
      <c r="S142" s="69"/>
      <c r="T142" s="69"/>
      <c r="U142" s="69"/>
      <c r="V142" s="69"/>
      <c r="W142" s="69"/>
      <c r="X142" s="69"/>
      <c r="Y142" s="5"/>
      <c r="Z142" s="5"/>
      <c r="AA142" s="5"/>
      <c r="AB142" s="5"/>
      <c r="AC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69"/>
      <c r="S143" s="69"/>
      <c r="T143" s="69"/>
      <c r="U143" s="69"/>
      <c r="V143" s="69"/>
      <c r="W143" s="69"/>
      <c r="X143" s="69"/>
      <c r="Y143" s="5"/>
      <c r="Z143" s="5"/>
      <c r="AA143" s="5"/>
      <c r="AB143" s="5"/>
      <c r="AC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69"/>
      <c r="S144" s="69"/>
      <c r="T144" s="69"/>
      <c r="U144" s="69"/>
      <c r="V144" s="69"/>
      <c r="W144" s="69"/>
      <c r="X144" s="69"/>
      <c r="Y144" s="5"/>
      <c r="Z144" s="5"/>
      <c r="AA144" s="5"/>
      <c r="AB144" s="5"/>
      <c r="AC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69"/>
      <c r="S145" s="69"/>
      <c r="T145" s="69"/>
      <c r="U145" s="69"/>
      <c r="V145" s="69"/>
      <c r="W145" s="69"/>
      <c r="X145" s="69"/>
      <c r="Y145" s="5"/>
      <c r="Z145" s="5"/>
      <c r="AA145" s="5"/>
      <c r="AB145" s="5"/>
      <c r="AC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69"/>
      <c r="S146" s="69"/>
      <c r="T146" s="69"/>
      <c r="U146" s="69"/>
      <c r="V146" s="69"/>
      <c r="W146" s="69"/>
      <c r="X146" s="69"/>
      <c r="Y146" s="5"/>
      <c r="Z146" s="5"/>
      <c r="AA146" s="5"/>
      <c r="AB146" s="5"/>
      <c r="AC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69"/>
      <c r="S147" s="69"/>
      <c r="T147" s="69"/>
      <c r="U147" s="69"/>
      <c r="V147" s="69"/>
      <c r="W147" s="69"/>
      <c r="X147" s="69"/>
      <c r="Y147" s="5"/>
      <c r="Z147" s="5"/>
      <c r="AA147" s="5"/>
      <c r="AB147" s="5"/>
      <c r="AC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69"/>
      <c r="S148" s="69"/>
      <c r="T148" s="69"/>
      <c r="U148" s="69"/>
      <c r="V148" s="69"/>
      <c r="W148" s="69"/>
      <c r="X148" s="69"/>
      <c r="Y148" s="5"/>
      <c r="Z148" s="5"/>
      <c r="AA148" s="5"/>
      <c r="AB148" s="5"/>
      <c r="AC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9"/>
      <c r="S149" s="69"/>
      <c r="T149" s="69"/>
      <c r="U149" s="69"/>
      <c r="V149" s="69"/>
      <c r="W149" s="69"/>
      <c r="X149" s="69"/>
      <c r="Y149" s="5"/>
      <c r="Z149" s="5"/>
      <c r="AA149" s="5"/>
      <c r="AB149" s="5"/>
      <c r="AC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69"/>
      <c r="S150" s="69"/>
      <c r="T150" s="69"/>
      <c r="U150" s="69"/>
      <c r="V150" s="69"/>
      <c r="W150" s="69"/>
      <c r="X150" s="69"/>
      <c r="Y150" s="5"/>
      <c r="Z150" s="5"/>
      <c r="AA150" s="5"/>
      <c r="AB150" s="5"/>
      <c r="AC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69"/>
      <c r="S151" s="69"/>
      <c r="T151" s="69"/>
      <c r="U151" s="69"/>
      <c r="V151" s="69"/>
      <c r="W151" s="69"/>
      <c r="X151" s="69"/>
      <c r="Y151" s="5"/>
      <c r="Z151" s="5"/>
      <c r="AA151" s="5"/>
      <c r="AB151" s="5"/>
      <c r="AC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69"/>
      <c r="S152" s="69"/>
      <c r="T152" s="69"/>
      <c r="U152" s="69"/>
      <c r="V152" s="69"/>
      <c r="W152" s="69"/>
      <c r="X152" s="69"/>
      <c r="Y152" s="5"/>
      <c r="Z152" s="5"/>
      <c r="AA152" s="5"/>
      <c r="AB152" s="5"/>
      <c r="AC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69"/>
      <c r="S153" s="69"/>
      <c r="T153" s="69"/>
      <c r="U153" s="69"/>
      <c r="V153" s="69"/>
      <c r="W153" s="69"/>
      <c r="X153" s="69"/>
      <c r="Y153" s="5"/>
      <c r="Z153" s="5"/>
      <c r="AA153" s="5"/>
      <c r="AB153" s="5"/>
      <c r="AC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69"/>
      <c r="S154" s="69"/>
      <c r="T154" s="69"/>
      <c r="U154" s="69"/>
      <c r="V154" s="69"/>
      <c r="W154" s="69"/>
      <c r="X154" s="69"/>
      <c r="Y154" s="5"/>
      <c r="Z154" s="5"/>
      <c r="AA154" s="5"/>
      <c r="AB154" s="5"/>
      <c r="AC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69"/>
      <c r="S155" s="69"/>
      <c r="T155" s="69"/>
      <c r="U155" s="69"/>
      <c r="V155" s="69"/>
      <c r="W155" s="69"/>
      <c r="X155" s="69"/>
      <c r="Y155" s="5"/>
      <c r="Z155" s="5"/>
      <c r="AA155" s="5"/>
      <c r="AB155" s="5"/>
      <c r="AC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69"/>
      <c r="S156" s="69"/>
      <c r="T156" s="69"/>
      <c r="U156" s="69"/>
      <c r="V156" s="69"/>
      <c r="W156" s="69"/>
      <c r="X156" s="69"/>
      <c r="Y156" s="5"/>
      <c r="Z156" s="5"/>
      <c r="AA156" s="5"/>
      <c r="AB156" s="5"/>
      <c r="AC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69"/>
      <c r="S157" s="69"/>
      <c r="T157" s="69"/>
      <c r="U157" s="69"/>
      <c r="V157" s="69"/>
      <c r="W157" s="69"/>
      <c r="X157" s="69"/>
      <c r="Y157" s="5"/>
      <c r="Z157" s="5"/>
      <c r="AA157" s="5"/>
      <c r="AB157" s="5"/>
      <c r="AC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69"/>
      <c r="S158" s="69"/>
      <c r="T158" s="69"/>
      <c r="U158" s="69"/>
      <c r="V158" s="69"/>
      <c r="W158" s="69"/>
      <c r="X158" s="69"/>
      <c r="Y158" s="5"/>
      <c r="Z158" s="5"/>
      <c r="AA158" s="5"/>
      <c r="AB158" s="5"/>
      <c r="AC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69"/>
      <c r="S159" s="69"/>
      <c r="T159" s="69"/>
      <c r="U159" s="69"/>
      <c r="V159" s="69"/>
      <c r="W159" s="69"/>
      <c r="X159" s="69"/>
      <c r="Y159" s="5"/>
      <c r="Z159" s="5"/>
      <c r="AA159" s="5"/>
      <c r="AB159" s="5"/>
      <c r="AC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69"/>
      <c r="S160" s="69"/>
      <c r="T160" s="69"/>
      <c r="U160" s="69"/>
      <c r="V160" s="69"/>
      <c r="W160" s="69"/>
      <c r="X160" s="69"/>
      <c r="Y160" s="5"/>
      <c r="Z160" s="5"/>
      <c r="AA160" s="5"/>
      <c r="AB160" s="5"/>
      <c r="AC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69"/>
      <c r="S161" s="69"/>
      <c r="T161" s="69"/>
      <c r="U161" s="69"/>
      <c r="V161" s="69"/>
      <c r="W161" s="69"/>
      <c r="X161" s="69"/>
      <c r="Y161" s="5"/>
      <c r="Z161" s="5"/>
      <c r="AA161" s="5"/>
      <c r="AB161" s="5"/>
      <c r="AC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69"/>
      <c r="S162" s="69"/>
      <c r="T162" s="69"/>
      <c r="U162" s="69"/>
      <c r="V162" s="69"/>
      <c r="W162" s="69"/>
      <c r="X162" s="69"/>
      <c r="Y162" s="5"/>
      <c r="Z162" s="5"/>
      <c r="AA162" s="5"/>
      <c r="AB162" s="5"/>
      <c r="AC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69"/>
      <c r="S163" s="69"/>
      <c r="T163" s="69"/>
      <c r="U163" s="69"/>
      <c r="V163" s="69"/>
      <c r="W163" s="69"/>
      <c r="X163" s="69"/>
      <c r="Y163" s="5"/>
      <c r="Z163" s="5"/>
      <c r="AA163" s="5"/>
      <c r="AB163" s="5"/>
      <c r="AC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69"/>
      <c r="S164" s="69"/>
      <c r="T164" s="69"/>
      <c r="U164" s="69"/>
      <c r="V164" s="69"/>
      <c r="W164" s="69"/>
      <c r="X164" s="69"/>
      <c r="Y164" s="5"/>
      <c r="Z164" s="5"/>
      <c r="AA164" s="5"/>
      <c r="AB164" s="5"/>
      <c r="AC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9"/>
      <c r="S165" s="69"/>
      <c r="T165" s="69"/>
      <c r="U165" s="69"/>
      <c r="V165" s="69"/>
      <c r="W165" s="69"/>
      <c r="X165" s="69"/>
      <c r="Y165" s="5"/>
      <c r="Z165" s="5"/>
      <c r="AA165" s="5"/>
      <c r="AB165" s="5"/>
      <c r="AC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69"/>
      <c r="S166" s="69"/>
      <c r="T166" s="69"/>
      <c r="U166" s="69"/>
      <c r="V166" s="69"/>
      <c r="W166" s="69"/>
      <c r="X166" s="69"/>
      <c r="Y166" s="5"/>
      <c r="Z166" s="5"/>
      <c r="AA166" s="5"/>
      <c r="AB166" s="5"/>
      <c r="AC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69"/>
      <c r="S167" s="69"/>
      <c r="T167" s="69"/>
      <c r="U167" s="69"/>
      <c r="V167" s="69"/>
      <c r="W167" s="69"/>
      <c r="X167" s="69"/>
      <c r="Y167" s="5"/>
      <c r="Z167" s="5"/>
      <c r="AA167" s="5"/>
      <c r="AB167" s="5"/>
      <c r="AC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69"/>
      <c r="S168" s="69"/>
      <c r="T168" s="69"/>
      <c r="U168" s="69"/>
      <c r="V168" s="69"/>
      <c r="W168" s="69"/>
      <c r="X168" s="69"/>
      <c r="Y168" s="5"/>
      <c r="Z168" s="5"/>
      <c r="AA168" s="5"/>
      <c r="AB168" s="5"/>
      <c r="AC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9"/>
      <c r="S169" s="69"/>
      <c r="T169" s="69"/>
      <c r="U169" s="69"/>
      <c r="V169" s="69"/>
      <c r="W169" s="69"/>
      <c r="X169" s="69"/>
      <c r="Y169" s="5"/>
      <c r="Z169" s="5"/>
      <c r="AA169" s="5"/>
      <c r="AB169" s="5"/>
      <c r="AC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69"/>
      <c r="S170" s="69"/>
      <c r="T170" s="69"/>
      <c r="U170" s="69"/>
      <c r="V170" s="69"/>
      <c r="W170" s="69"/>
      <c r="X170" s="69"/>
      <c r="Y170" s="5"/>
      <c r="Z170" s="5"/>
      <c r="AA170" s="5"/>
      <c r="AB170" s="5"/>
      <c r="AC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69"/>
      <c r="S171" s="69"/>
      <c r="T171" s="69"/>
      <c r="U171" s="69"/>
      <c r="V171" s="69"/>
      <c r="W171" s="69"/>
      <c r="X171" s="69"/>
      <c r="Y171" s="5"/>
      <c r="Z171" s="5"/>
      <c r="AA171" s="5"/>
      <c r="AB171" s="5"/>
      <c r="AC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9"/>
      <c r="S172" s="69"/>
      <c r="T172" s="69"/>
      <c r="U172" s="69"/>
      <c r="V172" s="69"/>
      <c r="W172" s="69"/>
      <c r="X172" s="69"/>
      <c r="Y172" s="5"/>
      <c r="Z172" s="5"/>
      <c r="AA172" s="5"/>
      <c r="AB172" s="5"/>
      <c r="AC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69"/>
      <c r="S173" s="69"/>
      <c r="T173" s="69"/>
      <c r="U173" s="69"/>
      <c r="V173" s="69"/>
      <c r="W173" s="69"/>
      <c r="X173" s="69"/>
      <c r="Y173" s="5"/>
      <c r="Z173" s="5"/>
      <c r="AA173" s="5"/>
      <c r="AB173" s="5"/>
      <c r="AC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69"/>
      <c r="S174" s="69"/>
      <c r="T174" s="69"/>
      <c r="U174" s="69"/>
      <c r="V174" s="69"/>
      <c r="W174" s="69"/>
      <c r="X174" s="69"/>
      <c r="Y174" s="5"/>
      <c r="Z174" s="5"/>
      <c r="AA174" s="5"/>
      <c r="AB174" s="5"/>
      <c r="AC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69"/>
      <c r="S175" s="69"/>
      <c r="T175" s="69"/>
      <c r="U175" s="69"/>
      <c r="V175" s="69"/>
      <c r="W175" s="69"/>
      <c r="X175" s="69"/>
      <c r="Y175" s="5"/>
      <c r="Z175" s="5"/>
      <c r="AA175" s="5"/>
      <c r="AB175" s="5"/>
      <c r="AC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69"/>
      <c r="S176" s="69"/>
      <c r="T176" s="69"/>
      <c r="U176" s="69"/>
      <c r="V176" s="69"/>
      <c r="W176" s="69"/>
      <c r="X176" s="69"/>
      <c r="Y176" s="5"/>
      <c r="Z176" s="5"/>
      <c r="AA176" s="5"/>
      <c r="AB176" s="5"/>
      <c r="AC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69"/>
      <c r="S177" s="69"/>
      <c r="T177" s="69"/>
      <c r="U177" s="69"/>
      <c r="V177" s="69"/>
      <c r="W177" s="69"/>
      <c r="X177" s="69"/>
      <c r="Y177" s="5"/>
      <c r="Z177" s="5"/>
      <c r="AA177" s="5"/>
      <c r="AB177" s="5"/>
      <c r="AC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69"/>
      <c r="S178" s="69"/>
      <c r="T178" s="69"/>
      <c r="U178" s="69"/>
      <c r="V178" s="69"/>
      <c r="W178" s="69"/>
      <c r="X178" s="69"/>
      <c r="Y178" s="5"/>
      <c r="Z178" s="5"/>
      <c r="AA178" s="5"/>
      <c r="AB178" s="5"/>
      <c r="AC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69"/>
      <c r="S179" s="69"/>
      <c r="T179" s="69"/>
      <c r="U179" s="69"/>
      <c r="V179" s="69"/>
      <c r="W179" s="69"/>
      <c r="X179" s="69"/>
      <c r="Y179" s="5"/>
      <c r="Z179" s="5"/>
      <c r="AA179" s="5"/>
      <c r="AB179" s="5"/>
      <c r="AC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69"/>
      <c r="S180" s="69"/>
      <c r="T180" s="69"/>
      <c r="U180" s="69"/>
      <c r="V180" s="69"/>
      <c r="W180" s="69"/>
      <c r="X180" s="69"/>
      <c r="Y180" s="5"/>
      <c r="Z180" s="5"/>
      <c r="AA180" s="5"/>
      <c r="AB180" s="5"/>
      <c r="AC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9"/>
      <c r="S181" s="69"/>
      <c r="T181" s="69"/>
      <c r="U181" s="69"/>
      <c r="V181" s="69"/>
      <c r="W181" s="69"/>
      <c r="X181" s="69"/>
      <c r="Y181" s="5"/>
      <c r="Z181" s="5"/>
      <c r="AA181" s="5"/>
      <c r="AB181" s="5"/>
      <c r="AC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69"/>
      <c r="S182" s="69"/>
      <c r="T182" s="69"/>
      <c r="U182" s="69"/>
      <c r="V182" s="69"/>
      <c r="W182" s="69"/>
      <c r="X182" s="69"/>
      <c r="Y182" s="5"/>
      <c r="Z182" s="5"/>
      <c r="AA182" s="5"/>
      <c r="AB182" s="5"/>
      <c r="AC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69"/>
      <c r="S183" s="69"/>
      <c r="T183" s="69"/>
      <c r="U183" s="69"/>
      <c r="V183" s="69"/>
      <c r="W183" s="69"/>
      <c r="X183" s="69"/>
      <c r="Y183" s="5"/>
      <c r="Z183" s="5"/>
      <c r="AA183" s="5"/>
      <c r="AB183" s="5"/>
      <c r="AC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69"/>
      <c r="S184" s="69"/>
      <c r="T184" s="69"/>
      <c r="U184" s="69"/>
      <c r="V184" s="69"/>
      <c r="W184" s="69"/>
      <c r="X184" s="69"/>
      <c r="Y184" s="5"/>
      <c r="Z184" s="5"/>
      <c r="AA184" s="5"/>
      <c r="AB184" s="5"/>
      <c r="AC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69"/>
      <c r="S185" s="69"/>
      <c r="T185" s="69"/>
      <c r="U185" s="69"/>
      <c r="V185" s="69"/>
      <c r="W185" s="69"/>
      <c r="X185" s="69"/>
      <c r="Y185" s="5"/>
      <c r="Z185" s="5"/>
      <c r="AA185" s="5"/>
      <c r="AB185" s="5"/>
      <c r="AC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69"/>
      <c r="S186" s="69"/>
      <c r="T186" s="69"/>
      <c r="U186" s="69"/>
      <c r="V186" s="69"/>
      <c r="W186" s="69"/>
      <c r="X186" s="69"/>
      <c r="Y186" s="5"/>
      <c r="Z186" s="5"/>
      <c r="AA186" s="5"/>
      <c r="AB186" s="5"/>
      <c r="AC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69"/>
      <c r="S187" s="69"/>
      <c r="T187" s="69"/>
      <c r="U187" s="69"/>
      <c r="V187" s="69"/>
      <c r="W187" s="69"/>
      <c r="X187" s="69"/>
      <c r="Y187" s="5"/>
      <c r="Z187" s="5"/>
      <c r="AA187" s="5"/>
      <c r="AB187" s="5"/>
      <c r="AC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69"/>
      <c r="S188" s="69"/>
      <c r="T188" s="69"/>
      <c r="U188" s="69"/>
      <c r="V188" s="69"/>
      <c r="W188" s="69"/>
      <c r="X188" s="69"/>
      <c r="Y188" s="5"/>
      <c r="Z188" s="5"/>
      <c r="AA188" s="5"/>
      <c r="AB188" s="5"/>
      <c r="AC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69"/>
      <c r="S189" s="69"/>
      <c r="T189" s="69"/>
      <c r="U189" s="69"/>
      <c r="V189" s="69"/>
      <c r="W189" s="69"/>
      <c r="X189" s="69"/>
      <c r="Y189" s="5"/>
      <c r="Z189" s="5"/>
      <c r="AA189" s="5"/>
      <c r="AB189" s="5"/>
      <c r="AC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69"/>
      <c r="S190" s="69"/>
      <c r="T190" s="69"/>
      <c r="U190" s="69"/>
      <c r="V190" s="69"/>
      <c r="W190" s="69"/>
      <c r="X190" s="69"/>
      <c r="Y190" s="5"/>
      <c r="Z190" s="5"/>
      <c r="AA190" s="5"/>
      <c r="AB190" s="5"/>
      <c r="AC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9"/>
      <c r="S191" s="69"/>
      <c r="T191" s="69"/>
      <c r="U191" s="69"/>
      <c r="V191" s="69"/>
      <c r="W191" s="69"/>
      <c r="X191" s="69"/>
      <c r="Y191" s="5"/>
      <c r="Z191" s="5"/>
      <c r="AA191" s="5"/>
      <c r="AB191" s="5"/>
      <c r="AC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69"/>
      <c r="S192" s="69"/>
      <c r="T192" s="69"/>
      <c r="U192" s="69"/>
      <c r="V192" s="69"/>
      <c r="W192" s="69"/>
      <c r="X192" s="69"/>
      <c r="Y192" s="5"/>
      <c r="Z192" s="5"/>
      <c r="AA192" s="5"/>
      <c r="AB192" s="5"/>
      <c r="AC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69"/>
      <c r="S193" s="69"/>
      <c r="T193" s="69"/>
      <c r="U193" s="69"/>
      <c r="V193" s="69"/>
      <c r="W193" s="69"/>
      <c r="X193" s="69"/>
      <c r="Y193" s="5"/>
      <c r="Z193" s="5"/>
      <c r="AA193" s="5"/>
      <c r="AB193" s="5"/>
      <c r="AC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69"/>
      <c r="S194" s="69"/>
      <c r="T194" s="69"/>
      <c r="U194" s="69"/>
      <c r="V194" s="69"/>
      <c r="W194" s="69"/>
      <c r="X194" s="69"/>
      <c r="Y194" s="5"/>
      <c r="Z194" s="5"/>
      <c r="AA194" s="5"/>
      <c r="AB194" s="5"/>
      <c r="AC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69"/>
      <c r="S195" s="69"/>
      <c r="T195" s="69"/>
      <c r="U195" s="69"/>
      <c r="V195" s="69"/>
      <c r="W195" s="69"/>
      <c r="X195" s="69"/>
      <c r="Y195" s="5"/>
      <c r="Z195" s="5"/>
      <c r="AA195" s="5"/>
      <c r="AB195" s="5"/>
      <c r="AC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69"/>
      <c r="S196" s="69"/>
      <c r="T196" s="69"/>
      <c r="U196" s="69"/>
      <c r="V196" s="69"/>
      <c r="W196" s="69"/>
      <c r="X196" s="69"/>
      <c r="Y196" s="5"/>
      <c r="Z196" s="5"/>
      <c r="AA196" s="5"/>
      <c r="AB196" s="5"/>
      <c r="AC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69"/>
      <c r="S197" s="69"/>
      <c r="T197" s="69"/>
      <c r="U197" s="69"/>
      <c r="V197" s="69"/>
      <c r="W197" s="69"/>
      <c r="X197" s="69"/>
      <c r="Y197" s="5"/>
      <c r="Z197" s="5"/>
      <c r="AA197" s="5"/>
      <c r="AB197" s="5"/>
      <c r="AC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69"/>
      <c r="S198" s="69"/>
      <c r="T198" s="69"/>
      <c r="U198" s="69"/>
      <c r="V198" s="69"/>
      <c r="W198" s="69"/>
      <c r="X198" s="69"/>
      <c r="Y198" s="5"/>
      <c r="Z198" s="5"/>
      <c r="AA198" s="5"/>
      <c r="AB198" s="5"/>
      <c r="AC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69"/>
      <c r="S199" s="69"/>
      <c r="T199" s="69"/>
      <c r="U199" s="69"/>
      <c r="V199" s="69"/>
      <c r="W199" s="69"/>
      <c r="X199" s="69"/>
      <c r="Y199" s="5"/>
      <c r="Z199" s="5"/>
      <c r="AA199" s="5"/>
      <c r="AB199" s="5"/>
      <c r="AC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69"/>
      <c r="S200" s="69"/>
      <c r="T200" s="69"/>
      <c r="U200" s="69"/>
      <c r="V200" s="69"/>
      <c r="W200" s="69"/>
      <c r="X200" s="69"/>
      <c r="Y200" s="5"/>
      <c r="Z200" s="5"/>
      <c r="AA200" s="5"/>
      <c r="AB200" s="5"/>
      <c r="AC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69"/>
      <c r="S201" s="69"/>
      <c r="T201" s="69"/>
      <c r="U201" s="69"/>
      <c r="V201" s="69"/>
      <c r="W201" s="69"/>
      <c r="X201" s="69"/>
      <c r="Y201" s="5"/>
      <c r="Z201" s="5"/>
      <c r="AA201" s="5"/>
      <c r="AB201" s="5"/>
      <c r="AC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69"/>
      <c r="S202" s="69"/>
      <c r="T202" s="69"/>
      <c r="U202" s="69"/>
      <c r="V202" s="69"/>
      <c r="W202" s="69"/>
      <c r="X202" s="69"/>
      <c r="Y202" s="5"/>
      <c r="Z202" s="5"/>
      <c r="AA202" s="5"/>
      <c r="AB202" s="5"/>
      <c r="AC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69"/>
      <c r="S203" s="69"/>
      <c r="T203" s="69"/>
      <c r="U203" s="69"/>
      <c r="V203" s="69"/>
      <c r="W203" s="69"/>
      <c r="X203" s="69"/>
      <c r="Y203" s="5"/>
      <c r="Z203" s="5"/>
      <c r="AA203" s="5"/>
      <c r="AB203" s="5"/>
      <c r="AC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69"/>
      <c r="S204" s="69"/>
      <c r="T204" s="69"/>
      <c r="U204" s="69"/>
      <c r="V204" s="69"/>
      <c r="W204" s="69"/>
      <c r="X204" s="69"/>
      <c r="Y204" s="5"/>
      <c r="Z204" s="5"/>
      <c r="AA204" s="5"/>
      <c r="AB204" s="5"/>
      <c r="AC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9"/>
      <c r="S205" s="69"/>
      <c r="T205" s="69"/>
      <c r="U205" s="69"/>
      <c r="V205" s="69"/>
      <c r="W205" s="69"/>
      <c r="X205" s="69"/>
      <c r="Y205" s="5"/>
      <c r="Z205" s="5"/>
      <c r="AA205" s="5"/>
      <c r="AB205" s="5"/>
      <c r="AC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69"/>
      <c r="S206" s="69"/>
      <c r="T206" s="69"/>
      <c r="U206" s="69"/>
      <c r="V206" s="69"/>
      <c r="W206" s="69"/>
      <c r="X206" s="69"/>
      <c r="Y206" s="5"/>
      <c r="Z206" s="5"/>
      <c r="AA206" s="5"/>
      <c r="AB206" s="5"/>
      <c r="AC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69"/>
      <c r="S207" s="69"/>
      <c r="T207" s="69"/>
      <c r="U207" s="69"/>
      <c r="V207" s="69"/>
      <c r="W207" s="69"/>
      <c r="X207" s="69"/>
      <c r="Y207" s="5"/>
      <c r="Z207" s="5"/>
      <c r="AA207" s="5"/>
      <c r="AB207" s="5"/>
      <c r="AC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69"/>
      <c r="S208" s="69"/>
      <c r="T208" s="69"/>
      <c r="U208" s="69"/>
      <c r="V208" s="69"/>
      <c r="W208" s="69"/>
      <c r="X208" s="69"/>
      <c r="Y208" s="5"/>
      <c r="Z208" s="5"/>
      <c r="AA208" s="5"/>
      <c r="AB208" s="5"/>
      <c r="AC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69"/>
      <c r="S209" s="69"/>
      <c r="T209" s="69"/>
      <c r="U209" s="69"/>
      <c r="V209" s="69"/>
      <c r="W209" s="69"/>
      <c r="X209" s="69"/>
      <c r="Y209" s="5"/>
      <c r="Z209" s="5"/>
      <c r="AA209" s="5"/>
      <c r="AB209" s="5"/>
      <c r="AC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69"/>
      <c r="S210" s="69"/>
      <c r="T210" s="69"/>
      <c r="U210" s="69"/>
      <c r="V210" s="69"/>
      <c r="W210" s="69"/>
      <c r="X210" s="69"/>
      <c r="Y210" s="5"/>
      <c r="Z210" s="5"/>
      <c r="AA210" s="5"/>
      <c r="AB210" s="5"/>
      <c r="AC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69"/>
      <c r="S211" s="69"/>
      <c r="T211" s="69"/>
      <c r="U211" s="69"/>
      <c r="V211" s="69"/>
      <c r="W211" s="69"/>
      <c r="X211" s="69"/>
      <c r="Y211" s="5"/>
      <c r="Z211" s="5"/>
      <c r="AA211" s="5"/>
      <c r="AB211" s="5"/>
      <c r="AC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69"/>
      <c r="S212" s="69"/>
      <c r="T212" s="69"/>
      <c r="U212" s="69"/>
      <c r="V212" s="69"/>
      <c r="W212" s="69"/>
      <c r="X212" s="69"/>
      <c r="Y212" s="5"/>
      <c r="Z212" s="5"/>
      <c r="AA212" s="5"/>
      <c r="AB212" s="5"/>
      <c r="AC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69"/>
      <c r="S213" s="69"/>
      <c r="T213" s="69"/>
      <c r="U213" s="69"/>
      <c r="V213" s="69"/>
      <c r="W213" s="69"/>
      <c r="X213" s="69"/>
      <c r="Y213" s="5"/>
      <c r="Z213" s="5"/>
      <c r="AA213" s="5"/>
      <c r="AB213" s="5"/>
      <c r="AC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69"/>
      <c r="S214" s="69"/>
      <c r="T214" s="69"/>
      <c r="U214" s="69"/>
      <c r="V214" s="69"/>
      <c r="W214" s="69"/>
      <c r="X214" s="69"/>
      <c r="Y214" s="5"/>
      <c r="Z214" s="5"/>
      <c r="AA214" s="5"/>
      <c r="AB214" s="5"/>
      <c r="AC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9"/>
      <c r="S215" s="69"/>
      <c r="T215" s="69"/>
      <c r="U215" s="69"/>
      <c r="V215" s="69"/>
      <c r="W215" s="69"/>
      <c r="X215" s="69"/>
      <c r="Y215" s="5"/>
      <c r="Z215" s="5"/>
      <c r="AA215" s="5"/>
      <c r="AB215" s="5"/>
      <c r="AC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69"/>
      <c r="S216" s="69"/>
      <c r="T216" s="69"/>
      <c r="U216" s="69"/>
      <c r="V216" s="69"/>
      <c r="W216" s="69"/>
      <c r="X216" s="69"/>
      <c r="Y216" s="5"/>
      <c r="Z216" s="5"/>
      <c r="AA216" s="5"/>
      <c r="AB216" s="5"/>
      <c r="AC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69"/>
      <c r="S217" s="69"/>
      <c r="T217" s="69"/>
      <c r="U217" s="69"/>
      <c r="V217" s="69"/>
      <c r="W217" s="69"/>
      <c r="X217" s="69"/>
      <c r="Y217" s="5"/>
      <c r="Z217" s="5"/>
      <c r="AA217" s="5"/>
      <c r="AB217" s="5"/>
      <c r="AC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69"/>
      <c r="S218" s="69"/>
      <c r="T218" s="69"/>
      <c r="U218" s="69"/>
      <c r="V218" s="69"/>
      <c r="W218" s="69"/>
      <c r="X218" s="69"/>
      <c r="Y218" s="5"/>
      <c r="Z218" s="5"/>
      <c r="AA218" s="5"/>
      <c r="AB218" s="5"/>
      <c r="AC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69"/>
      <c r="S219" s="69"/>
      <c r="T219" s="69"/>
      <c r="U219" s="69"/>
      <c r="V219" s="69"/>
      <c r="W219" s="69"/>
      <c r="X219" s="69"/>
      <c r="Y219" s="5"/>
      <c r="Z219" s="5"/>
      <c r="AA219" s="5"/>
      <c r="AB219" s="5"/>
      <c r="AC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69"/>
      <c r="S220" s="69"/>
      <c r="T220" s="69"/>
      <c r="U220" s="69"/>
      <c r="V220" s="69"/>
      <c r="W220" s="69"/>
      <c r="X220" s="69"/>
      <c r="Y220" s="5"/>
      <c r="Z220" s="5"/>
      <c r="AA220" s="5"/>
      <c r="AB220" s="5"/>
      <c r="AC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69"/>
      <c r="S221" s="69"/>
      <c r="T221" s="69"/>
      <c r="U221" s="69"/>
      <c r="V221" s="69"/>
      <c r="W221" s="69"/>
      <c r="X221" s="69"/>
      <c r="Y221" s="5"/>
      <c r="Z221" s="5"/>
      <c r="AA221" s="5"/>
      <c r="AB221" s="5"/>
      <c r="AC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69"/>
      <c r="S222" s="69"/>
      <c r="T222" s="69"/>
      <c r="U222" s="69"/>
      <c r="V222" s="69"/>
      <c r="W222" s="69"/>
      <c r="X222" s="69"/>
      <c r="Y222" s="5"/>
      <c r="Z222" s="5"/>
      <c r="AA222" s="5"/>
      <c r="AB222" s="5"/>
      <c r="AC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69"/>
      <c r="S223" s="69"/>
      <c r="T223" s="69"/>
      <c r="U223" s="69"/>
      <c r="V223" s="69"/>
      <c r="W223" s="69"/>
      <c r="X223" s="69"/>
      <c r="Y223" s="5"/>
      <c r="Z223" s="5"/>
      <c r="AA223" s="5"/>
      <c r="AB223" s="5"/>
      <c r="AC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69"/>
      <c r="S224" s="69"/>
      <c r="T224" s="69"/>
      <c r="U224" s="69"/>
      <c r="V224" s="69"/>
      <c r="W224" s="69"/>
      <c r="X224" s="69"/>
      <c r="Y224" s="5"/>
      <c r="Z224" s="5"/>
      <c r="AA224" s="5"/>
      <c r="AB224" s="5"/>
      <c r="AC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9"/>
      <c r="S225" s="69"/>
      <c r="T225" s="69"/>
      <c r="U225" s="69"/>
      <c r="V225" s="69"/>
      <c r="W225" s="69"/>
      <c r="X225" s="69"/>
      <c r="Y225" s="5"/>
      <c r="Z225" s="5"/>
      <c r="AA225" s="5"/>
      <c r="AB225" s="5"/>
      <c r="AC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69"/>
      <c r="S226" s="69"/>
      <c r="T226" s="69"/>
      <c r="U226" s="69"/>
      <c r="V226" s="69"/>
      <c r="W226" s="69"/>
      <c r="X226" s="69"/>
      <c r="Y226" s="5"/>
      <c r="Z226" s="5"/>
      <c r="AA226" s="5"/>
      <c r="AB226" s="5"/>
      <c r="AC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69"/>
      <c r="S227" s="69"/>
      <c r="T227" s="69"/>
      <c r="U227" s="69"/>
      <c r="V227" s="69"/>
      <c r="W227" s="69"/>
      <c r="X227" s="69"/>
      <c r="Y227" s="5"/>
      <c r="Z227" s="5"/>
      <c r="AA227" s="5"/>
      <c r="AB227" s="5"/>
      <c r="AC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9"/>
      <c r="S228" s="69"/>
      <c r="T228" s="69"/>
      <c r="U228" s="69"/>
      <c r="V228" s="69"/>
      <c r="W228" s="69"/>
      <c r="X228" s="69"/>
      <c r="Y228" s="5"/>
      <c r="Z228" s="5"/>
      <c r="AA228" s="5"/>
      <c r="AB228" s="5"/>
      <c r="AC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9"/>
      <c r="S229" s="69"/>
      <c r="T229" s="69"/>
      <c r="U229" s="69"/>
      <c r="V229" s="69"/>
      <c r="W229" s="69"/>
      <c r="X229" s="69"/>
      <c r="Y229" s="5"/>
      <c r="Z229" s="5"/>
      <c r="AA229" s="5"/>
      <c r="AB229" s="5"/>
      <c r="AC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69"/>
      <c r="S230" s="69"/>
      <c r="T230" s="69"/>
      <c r="U230" s="69"/>
      <c r="V230" s="69"/>
      <c r="W230" s="69"/>
      <c r="X230" s="69"/>
      <c r="Y230" s="5"/>
      <c r="Z230" s="5"/>
      <c r="AA230" s="5"/>
      <c r="AB230" s="5"/>
      <c r="AC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69"/>
      <c r="S231" s="69"/>
      <c r="T231" s="69"/>
      <c r="U231" s="69"/>
      <c r="V231" s="69"/>
      <c r="W231" s="69"/>
      <c r="X231" s="69"/>
      <c r="Y231" s="5"/>
      <c r="Z231" s="5"/>
      <c r="AA231" s="5"/>
      <c r="AB231" s="5"/>
      <c r="AC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69"/>
      <c r="S232" s="69"/>
      <c r="T232" s="69"/>
      <c r="U232" s="69"/>
      <c r="V232" s="69"/>
      <c r="W232" s="69"/>
      <c r="X232" s="69"/>
      <c r="Y232" s="5"/>
      <c r="Z232" s="5"/>
      <c r="AA232" s="5"/>
      <c r="AB232" s="5"/>
      <c r="AC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69"/>
      <c r="S233" s="69"/>
      <c r="T233" s="69"/>
      <c r="U233" s="69"/>
      <c r="V233" s="69"/>
      <c r="W233" s="69"/>
      <c r="X233" s="69"/>
      <c r="Y233" s="5"/>
      <c r="Z233" s="5"/>
      <c r="AA233" s="5"/>
      <c r="AB233" s="5"/>
      <c r="AC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69"/>
      <c r="S234" s="69"/>
      <c r="T234" s="69"/>
      <c r="U234" s="69"/>
      <c r="V234" s="69"/>
      <c r="W234" s="69"/>
      <c r="X234" s="69"/>
      <c r="Y234" s="5"/>
      <c r="Z234" s="5"/>
      <c r="AA234" s="5"/>
      <c r="AB234" s="5"/>
      <c r="AC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69"/>
      <c r="S235" s="69"/>
      <c r="T235" s="69"/>
      <c r="U235" s="69"/>
      <c r="V235" s="69"/>
      <c r="W235" s="69"/>
      <c r="X235" s="69"/>
      <c r="Y235" s="5"/>
      <c r="Z235" s="5"/>
      <c r="AA235" s="5"/>
      <c r="AB235" s="5"/>
      <c r="AC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69"/>
      <c r="S236" s="69"/>
      <c r="T236" s="69"/>
      <c r="U236" s="69"/>
      <c r="V236" s="69"/>
      <c r="W236" s="69"/>
      <c r="X236" s="69"/>
      <c r="Y236" s="5"/>
      <c r="Z236" s="5"/>
      <c r="AA236" s="5"/>
      <c r="AB236" s="5"/>
      <c r="AC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69"/>
      <c r="S237" s="69"/>
      <c r="T237" s="69"/>
      <c r="U237" s="69"/>
      <c r="V237" s="69"/>
      <c r="W237" s="69"/>
      <c r="X237" s="69"/>
      <c r="Y237" s="5"/>
      <c r="Z237" s="5"/>
      <c r="AA237" s="5"/>
      <c r="AB237" s="5"/>
      <c r="AC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69"/>
      <c r="S238" s="69"/>
      <c r="T238" s="69"/>
      <c r="U238" s="69"/>
      <c r="V238" s="69"/>
      <c r="W238" s="69"/>
      <c r="X238" s="69"/>
      <c r="Y238" s="5"/>
      <c r="Z238" s="5"/>
      <c r="AA238" s="5"/>
      <c r="AB238" s="5"/>
      <c r="AC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69"/>
      <c r="S239" s="69"/>
      <c r="T239" s="69"/>
      <c r="U239" s="69"/>
      <c r="V239" s="69"/>
      <c r="W239" s="69"/>
      <c r="X239" s="69"/>
      <c r="Y239" s="5"/>
      <c r="Z239" s="5"/>
      <c r="AA239" s="5"/>
      <c r="AB239" s="5"/>
      <c r="AC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69"/>
      <c r="S240" s="69"/>
      <c r="T240" s="69"/>
      <c r="U240" s="69"/>
      <c r="V240" s="69"/>
      <c r="W240" s="69"/>
      <c r="X240" s="69"/>
      <c r="Y240" s="5"/>
      <c r="Z240" s="5"/>
      <c r="AA240" s="5"/>
      <c r="AB240" s="5"/>
      <c r="AC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9"/>
      <c r="S241" s="69"/>
      <c r="T241" s="69"/>
      <c r="U241" s="69"/>
      <c r="V241" s="69"/>
      <c r="W241" s="69"/>
      <c r="X241" s="69"/>
      <c r="Y241" s="5"/>
      <c r="Z241" s="5"/>
      <c r="AA241" s="5"/>
      <c r="AB241" s="5"/>
      <c r="AC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69"/>
      <c r="S242" s="69"/>
      <c r="T242" s="69"/>
      <c r="U242" s="69"/>
      <c r="V242" s="69"/>
      <c r="W242" s="69"/>
      <c r="X242" s="69"/>
      <c r="Y242" s="5"/>
      <c r="Z242" s="5"/>
      <c r="AA242" s="5"/>
      <c r="AB242" s="5"/>
      <c r="AC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69"/>
      <c r="S243" s="69"/>
      <c r="T243" s="69"/>
      <c r="U243" s="69"/>
      <c r="V243" s="69"/>
      <c r="W243" s="69"/>
      <c r="X243" s="69"/>
      <c r="Y243" s="5"/>
      <c r="Z243" s="5"/>
      <c r="AA243" s="5"/>
      <c r="AB243" s="5"/>
      <c r="AC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69"/>
      <c r="S244" s="69"/>
      <c r="T244" s="69"/>
      <c r="U244" s="69"/>
      <c r="V244" s="69"/>
      <c r="W244" s="69"/>
      <c r="X244" s="69"/>
      <c r="Y244" s="5"/>
      <c r="Z244" s="5"/>
      <c r="AA244" s="5"/>
      <c r="AB244" s="5"/>
      <c r="AC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69"/>
      <c r="S245" s="69"/>
      <c r="T245" s="69"/>
      <c r="U245" s="69"/>
      <c r="V245" s="69"/>
      <c r="W245" s="69"/>
      <c r="X245" s="69"/>
      <c r="Y245" s="5"/>
      <c r="Z245" s="5"/>
      <c r="AA245" s="5"/>
      <c r="AB245" s="5"/>
      <c r="AC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69"/>
      <c r="S246" s="69"/>
      <c r="T246" s="69"/>
      <c r="U246" s="69"/>
      <c r="V246" s="69"/>
      <c r="W246" s="69"/>
      <c r="X246" s="69"/>
      <c r="Y246" s="5"/>
      <c r="Z246" s="5"/>
      <c r="AA246" s="5"/>
      <c r="AB246" s="5"/>
      <c r="AC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69"/>
      <c r="S247" s="69"/>
      <c r="T247" s="69"/>
      <c r="U247" s="69"/>
      <c r="V247" s="69"/>
      <c r="W247" s="69"/>
      <c r="X247" s="69"/>
      <c r="Y247" s="5"/>
      <c r="Z247" s="5"/>
      <c r="AA247" s="5"/>
      <c r="AB247" s="5"/>
      <c r="AC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69"/>
      <c r="S248" s="69"/>
      <c r="T248" s="69"/>
      <c r="U248" s="69"/>
      <c r="V248" s="69"/>
      <c r="W248" s="69"/>
      <c r="X248" s="69"/>
      <c r="Y248" s="5"/>
      <c r="Z248" s="5"/>
      <c r="AA248" s="5"/>
      <c r="AB248" s="5"/>
      <c r="AC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69"/>
      <c r="S249" s="69"/>
      <c r="T249" s="69"/>
      <c r="U249" s="69"/>
      <c r="V249" s="69"/>
      <c r="W249" s="69"/>
      <c r="X249" s="69"/>
      <c r="Y249" s="5"/>
      <c r="Z249" s="5"/>
      <c r="AA249" s="5"/>
      <c r="AB249" s="5"/>
      <c r="AC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69"/>
      <c r="S250" s="69"/>
      <c r="T250" s="69"/>
      <c r="U250" s="69"/>
      <c r="V250" s="69"/>
      <c r="W250" s="69"/>
      <c r="X250" s="69"/>
      <c r="Y250" s="5"/>
      <c r="Z250" s="5"/>
      <c r="AA250" s="5"/>
      <c r="AB250" s="5"/>
      <c r="AC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69"/>
      <c r="S251" s="69"/>
      <c r="T251" s="69"/>
      <c r="U251" s="69"/>
      <c r="V251" s="69"/>
      <c r="W251" s="69"/>
      <c r="X251" s="69"/>
      <c r="Y251" s="5"/>
      <c r="Z251" s="5"/>
      <c r="AA251" s="5"/>
      <c r="AB251" s="5"/>
      <c r="AC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69"/>
      <c r="S252" s="69"/>
      <c r="T252" s="69"/>
      <c r="U252" s="69"/>
      <c r="V252" s="69"/>
      <c r="W252" s="69"/>
      <c r="X252" s="69"/>
      <c r="Y252" s="5"/>
      <c r="Z252" s="5"/>
      <c r="AA252" s="5"/>
      <c r="AB252" s="5"/>
      <c r="AC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69"/>
      <c r="S253" s="69"/>
      <c r="T253" s="69"/>
      <c r="U253" s="69"/>
      <c r="V253" s="69"/>
      <c r="W253" s="69"/>
      <c r="X253" s="69"/>
      <c r="Y253" s="5"/>
      <c r="Z253" s="5"/>
      <c r="AA253" s="5"/>
      <c r="AB253" s="5"/>
      <c r="AC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69"/>
      <c r="S254" s="69"/>
      <c r="T254" s="69"/>
      <c r="U254" s="69"/>
      <c r="V254" s="69"/>
      <c r="W254" s="69"/>
      <c r="X254" s="69"/>
      <c r="Y254" s="5"/>
      <c r="Z254" s="5"/>
      <c r="AA254" s="5"/>
      <c r="AB254" s="5"/>
      <c r="AC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69"/>
      <c r="S255" s="69"/>
      <c r="T255" s="69"/>
      <c r="U255" s="69"/>
      <c r="V255" s="69"/>
      <c r="W255" s="69"/>
      <c r="X255" s="69"/>
      <c r="Y255" s="5"/>
      <c r="Z255" s="5"/>
      <c r="AA255" s="5"/>
      <c r="AB255" s="5"/>
      <c r="AC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69"/>
      <c r="S256" s="69"/>
      <c r="T256" s="69"/>
      <c r="U256" s="69"/>
      <c r="V256" s="69"/>
      <c r="W256" s="69"/>
      <c r="X256" s="69"/>
      <c r="Y256" s="5"/>
      <c r="Z256" s="5"/>
      <c r="AA256" s="5"/>
      <c r="AB256" s="5"/>
      <c r="AC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69"/>
      <c r="S257" s="69"/>
      <c r="T257" s="69"/>
      <c r="U257" s="69"/>
      <c r="V257" s="69"/>
      <c r="W257" s="69"/>
      <c r="X257" s="69"/>
      <c r="Y257" s="5"/>
      <c r="Z257" s="5"/>
      <c r="AA257" s="5"/>
      <c r="AB257" s="5"/>
      <c r="AC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69"/>
      <c r="S258" s="69"/>
      <c r="T258" s="69"/>
      <c r="U258" s="69"/>
      <c r="V258" s="69"/>
      <c r="W258" s="69"/>
      <c r="X258" s="69"/>
      <c r="Y258" s="5"/>
      <c r="Z258" s="5"/>
      <c r="AA258" s="5"/>
      <c r="AB258" s="5"/>
      <c r="AC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69"/>
      <c r="S259" s="69"/>
      <c r="T259" s="69"/>
      <c r="U259" s="69"/>
      <c r="V259" s="69"/>
      <c r="W259" s="69"/>
      <c r="X259" s="69"/>
      <c r="Y259" s="5"/>
      <c r="Z259" s="5"/>
      <c r="AA259" s="5"/>
      <c r="AB259" s="5"/>
      <c r="AC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69"/>
      <c r="S260" s="69"/>
      <c r="T260" s="69"/>
      <c r="U260" s="69"/>
      <c r="V260" s="69"/>
      <c r="W260" s="69"/>
      <c r="X260" s="69"/>
      <c r="Y260" s="5"/>
      <c r="Z260" s="5"/>
      <c r="AA260" s="5"/>
      <c r="AB260" s="5"/>
      <c r="AC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69"/>
      <c r="S261" s="69"/>
      <c r="T261" s="69"/>
      <c r="U261" s="69"/>
      <c r="V261" s="69"/>
      <c r="W261" s="69"/>
      <c r="X261" s="69"/>
      <c r="Y261" s="5"/>
      <c r="Z261" s="5"/>
      <c r="AA261" s="5"/>
      <c r="AB261" s="5"/>
      <c r="AC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69"/>
      <c r="S262" s="69"/>
      <c r="T262" s="69"/>
      <c r="U262" s="69"/>
      <c r="V262" s="69"/>
      <c r="W262" s="69"/>
      <c r="X262" s="69"/>
      <c r="Y262" s="5"/>
      <c r="Z262" s="5"/>
      <c r="AA262" s="5"/>
      <c r="AB262" s="5"/>
      <c r="AC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69"/>
      <c r="S263" s="69"/>
      <c r="T263" s="69"/>
      <c r="U263" s="69"/>
      <c r="V263" s="69"/>
      <c r="W263" s="69"/>
      <c r="X263" s="69"/>
      <c r="Y263" s="5"/>
      <c r="Z263" s="5"/>
      <c r="AA263" s="5"/>
      <c r="AB263" s="5"/>
      <c r="AC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69"/>
      <c r="S264" s="69"/>
      <c r="T264" s="69"/>
      <c r="U264" s="69"/>
      <c r="V264" s="69"/>
      <c r="W264" s="69"/>
      <c r="X264" s="69"/>
      <c r="Y264" s="5"/>
      <c r="Z264" s="5"/>
      <c r="AA264" s="5"/>
      <c r="AB264" s="5"/>
      <c r="AC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69"/>
      <c r="S265" s="69"/>
      <c r="T265" s="69"/>
      <c r="U265" s="69"/>
      <c r="V265" s="69"/>
      <c r="W265" s="69"/>
      <c r="X265" s="69"/>
      <c r="Y265" s="5"/>
      <c r="Z265" s="5"/>
      <c r="AA265" s="5"/>
      <c r="AB265" s="5"/>
      <c r="AC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9"/>
      <c r="S266" s="69"/>
      <c r="T266" s="69"/>
      <c r="U266" s="69"/>
      <c r="V266" s="69"/>
      <c r="W266" s="69"/>
      <c r="X266" s="69"/>
      <c r="Y266" s="5"/>
      <c r="Z266" s="5"/>
      <c r="AA266" s="5"/>
      <c r="AB266" s="5"/>
      <c r="AC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69"/>
      <c r="S267" s="69"/>
      <c r="T267" s="69"/>
      <c r="U267" s="69"/>
      <c r="V267" s="69"/>
      <c r="W267" s="69"/>
      <c r="X267" s="69"/>
      <c r="Y267" s="5"/>
      <c r="Z267" s="5"/>
      <c r="AA267" s="5"/>
      <c r="AB267" s="5"/>
      <c r="AC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69"/>
      <c r="S268" s="69"/>
      <c r="T268" s="69"/>
      <c r="U268" s="69"/>
      <c r="V268" s="69"/>
      <c r="W268" s="69"/>
      <c r="X268" s="69"/>
      <c r="Y268" s="5"/>
      <c r="Z268" s="5"/>
      <c r="AA268" s="5"/>
      <c r="AB268" s="5"/>
      <c r="AC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69"/>
      <c r="S269" s="69"/>
      <c r="T269" s="69"/>
      <c r="U269" s="69"/>
      <c r="V269" s="69"/>
      <c r="W269" s="69"/>
      <c r="X269" s="69"/>
      <c r="Y269" s="5"/>
      <c r="Z269" s="5"/>
      <c r="AA269" s="5"/>
      <c r="AB269" s="5"/>
      <c r="AC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69"/>
      <c r="S270" s="69"/>
      <c r="T270" s="69"/>
      <c r="U270" s="69"/>
      <c r="V270" s="69"/>
      <c r="W270" s="69"/>
      <c r="X270" s="69"/>
      <c r="Y270" s="5"/>
      <c r="Z270" s="5"/>
      <c r="AA270" s="5"/>
      <c r="AB270" s="5"/>
      <c r="AC270" s="5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1:H1"/>
    <mergeCell ref="B2:H2"/>
    <mergeCell ref="B49:B51"/>
    <mergeCell ref="B52:B54"/>
    <mergeCell ref="B55:B57"/>
    <mergeCell ref="B63:B68"/>
  </mergeCells>
  <conditionalFormatting sqref="L58:L70">
    <cfRule type="expression" dxfId="0" priority="1" stopIfTrue="1">
      <formula>MOD(ROW(),2)=0</formula>
    </cfRule>
  </conditionalFormatting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2025-07-16T22:12:09Z</dcterms:created>
  <dc:creator>IVANNIA RONDON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6F2096B50CE749FFAD63343A2B5324DD_12</vt:lpwstr>
  </property>
  <property fmtid="{D5CDD505-2E9C-101B-9397-08002B2CF9AE}" pid="3" name="KSOProductBuildVer">
    <vt:lpwstr>3082-12.2.0.21931</vt:lpwstr>
  </property>
</Properties>
</file>